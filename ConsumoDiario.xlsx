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-my.sharepoint.com/personal/mateus_bastos_versaenergia_com_br/Documents/Mateus/PYTHON/ConsumoITQ_BACKUP/consumo-shopping-garden-itaqua/"/>
    </mc:Choice>
  </mc:AlternateContent>
  <xr:revisionPtr revIDLastSave="6" documentId="13_ncr:1_{EFA4B212-D6B4-40B2-B0EF-6001CADFF9B2}" xr6:coauthVersionLast="47" xr6:coauthVersionMax="47" xr10:uidLastSave="{998626B7-54F9-41DF-A3EC-ECF642C6854B}"/>
  <bookViews>
    <workbookView xWindow="-120" yWindow="-120" windowWidth="20730" windowHeight="1104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154" i="1" l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465" i="1"/>
  <c r="H10465" i="1"/>
  <c r="I10464" i="1"/>
  <c r="H10464" i="1"/>
  <c r="I10463" i="1"/>
  <c r="H10463" i="1"/>
  <c r="I10462" i="1"/>
  <c r="H10462" i="1"/>
  <c r="I10461" i="1"/>
  <c r="H10461" i="1"/>
  <c r="I10460" i="1"/>
  <c r="H10460" i="1"/>
  <c r="I10459" i="1"/>
  <c r="H10459" i="1"/>
  <c r="I10458" i="1"/>
  <c r="H10458" i="1"/>
  <c r="I10457" i="1"/>
  <c r="H10457" i="1"/>
  <c r="I10456" i="1"/>
  <c r="H10456" i="1"/>
  <c r="I10455" i="1"/>
  <c r="H10455" i="1"/>
  <c r="I10454" i="1"/>
  <c r="H10454" i="1"/>
  <c r="I10453" i="1"/>
  <c r="H10453" i="1"/>
  <c r="I10452" i="1"/>
  <c r="H10452" i="1"/>
  <c r="I10451" i="1"/>
  <c r="H10451" i="1"/>
  <c r="I10450" i="1"/>
  <c r="H10450" i="1"/>
  <c r="I10449" i="1"/>
  <c r="H10449" i="1"/>
  <c r="I10448" i="1"/>
  <c r="H10448" i="1"/>
  <c r="I10447" i="1"/>
  <c r="H10447" i="1"/>
  <c r="I10446" i="1"/>
  <c r="H10446" i="1"/>
  <c r="I10445" i="1"/>
  <c r="H10445" i="1"/>
  <c r="I10444" i="1"/>
  <c r="H10444" i="1"/>
  <c r="I10443" i="1"/>
  <c r="H10443" i="1"/>
  <c r="I10442" i="1"/>
  <c r="H10442" i="1"/>
  <c r="I10441" i="1"/>
  <c r="H10441" i="1"/>
  <c r="I10440" i="1"/>
  <c r="H10440" i="1"/>
  <c r="I10439" i="1"/>
  <c r="H10439" i="1"/>
  <c r="I10438" i="1"/>
  <c r="H10438" i="1"/>
  <c r="I10437" i="1"/>
  <c r="H10437" i="1"/>
  <c r="I10436" i="1"/>
  <c r="H10436" i="1"/>
  <c r="I10435" i="1"/>
  <c r="H10435" i="1"/>
  <c r="I10434" i="1"/>
  <c r="H10434" i="1"/>
  <c r="I10433" i="1"/>
  <c r="H10433" i="1"/>
  <c r="I10432" i="1"/>
  <c r="H10432" i="1"/>
  <c r="I10431" i="1"/>
  <c r="H10431" i="1"/>
  <c r="I10430" i="1"/>
  <c r="H10430" i="1"/>
  <c r="I10429" i="1"/>
  <c r="H10429" i="1"/>
  <c r="I10428" i="1"/>
  <c r="H10428" i="1"/>
  <c r="I10427" i="1"/>
  <c r="H10427" i="1"/>
  <c r="I10426" i="1"/>
  <c r="H10426" i="1"/>
  <c r="I10425" i="1"/>
  <c r="H10425" i="1"/>
  <c r="I10424" i="1"/>
  <c r="H10424" i="1"/>
  <c r="I10423" i="1"/>
  <c r="H10423" i="1"/>
  <c r="I10422" i="1"/>
  <c r="H10422" i="1"/>
  <c r="I10421" i="1"/>
  <c r="H10421" i="1"/>
  <c r="I10420" i="1"/>
  <c r="H10420" i="1"/>
  <c r="I10419" i="1"/>
  <c r="H10419" i="1"/>
  <c r="I10418" i="1"/>
  <c r="H10418" i="1"/>
  <c r="I10417" i="1"/>
  <c r="H10417" i="1"/>
  <c r="I10416" i="1"/>
  <c r="H10416" i="1"/>
  <c r="I10415" i="1"/>
  <c r="H10415" i="1"/>
  <c r="I10414" i="1"/>
  <c r="H10414" i="1"/>
  <c r="I10413" i="1"/>
  <c r="H10413" i="1"/>
  <c r="I10412" i="1"/>
  <c r="H10412" i="1"/>
  <c r="I10411" i="1"/>
  <c r="H10411" i="1"/>
  <c r="I10410" i="1"/>
  <c r="H10410" i="1"/>
  <c r="I10409" i="1"/>
  <c r="H10409" i="1"/>
  <c r="I10408" i="1"/>
  <c r="H10408" i="1"/>
  <c r="I10407" i="1"/>
  <c r="H10407" i="1"/>
  <c r="I10406" i="1"/>
  <c r="H10406" i="1"/>
  <c r="I10405" i="1"/>
  <c r="H10405" i="1"/>
  <c r="I10404" i="1"/>
  <c r="H10404" i="1"/>
  <c r="I10403" i="1"/>
  <c r="H10403" i="1"/>
  <c r="I10402" i="1"/>
  <c r="H10402" i="1"/>
  <c r="I10401" i="1"/>
  <c r="H10401" i="1"/>
  <c r="I10400" i="1"/>
  <c r="H10400" i="1"/>
  <c r="I10399" i="1"/>
  <c r="H10399" i="1"/>
  <c r="I10398" i="1"/>
  <c r="H10398" i="1"/>
  <c r="I10397" i="1"/>
  <c r="H10397" i="1"/>
  <c r="I10396" i="1"/>
  <c r="H10396" i="1"/>
  <c r="I10395" i="1"/>
  <c r="H10395" i="1"/>
  <c r="I10394" i="1"/>
  <c r="H10394" i="1"/>
  <c r="I10393" i="1"/>
  <c r="H10393" i="1"/>
  <c r="I10392" i="1"/>
  <c r="H10392" i="1"/>
  <c r="I10391" i="1"/>
  <c r="H10391" i="1"/>
  <c r="I10390" i="1"/>
  <c r="H10390" i="1"/>
  <c r="I10389" i="1"/>
  <c r="H10389" i="1"/>
  <c r="I10388" i="1"/>
  <c r="H10388" i="1"/>
  <c r="I10387" i="1"/>
  <c r="H10387" i="1"/>
  <c r="I10386" i="1"/>
  <c r="H10386" i="1"/>
  <c r="I10385" i="1"/>
  <c r="H10385" i="1"/>
  <c r="I10384" i="1"/>
  <c r="H10384" i="1"/>
  <c r="I10383" i="1"/>
  <c r="H10383" i="1"/>
  <c r="I10382" i="1"/>
  <c r="H10382" i="1"/>
  <c r="I10381" i="1"/>
  <c r="H10381" i="1"/>
  <c r="I10380" i="1"/>
  <c r="H10380" i="1"/>
  <c r="I10379" i="1"/>
  <c r="H10379" i="1"/>
  <c r="I10378" i="1"/>
  <c r="H10378" i="1"/>
  <c r="I10377" i="1"/>
  <c r="H10377" i="1"/>
  <c r="I10376" i="1"/>
  <c r="H10376" i="1"/>
  <c r="I10375" i="1"/>
  <c r="H10375" i="1"/>
  <c r="I10374" i="1"/>
  <c r="H10374" i="1"/>
  <c r="I10373" i="1"/>
  <c r="H10373" i="1"/>
  <c r="I10372" i="1"/>
  <c r="H10372" i="1"/>
  <c r="I10371" i="1"/>
  <c r="H10371" i="1"/>
  <c r="I10370" i="1"/>
  <c r="H10370" i="1"/>
  <c r="I10585" i="1"/>
  <c r="H10585" i="1"/>
  <c r="I10584" i="1"/>
  <c r="H10584" i="1"/>
  <c r="I10583" i="1"/>
  <c r="H10583" i="1"/>
  <c r="I10582" i="1"/>
  <c r="H10582" i="1"/>
  <c r="I10581" i="1"/>
  <c r="H10581" i="1"/>
  <c r="I10580" i="1"/>
  <c r="H10580" i="1"/>
  <c r="I10579" i="1"/>
  <c r="H10579" i="1"/>
  <c r="I10578" i="1"/>
  <c r="H10578" i="1"/>
  <c r="I10577" i="1"/>
  <c r="H10577" i="1"/>
  <c r="I10576" i="1"/>
  <c r="H10576" i="1"/>
  <c r="I10575" i="1"/>
  <c r="H10575" i="1"/>
  <c r="I10574" i="1"/>
  <c r="H10574" i="1"/>
  <c r="I10573" i="1"/>
  <c r="H10573" i="1"/>
  <c r="I10572" i="1"/>
  <c r="H10572" i="1"/>
  <c r="I10571" i="1"/>
  <c r="H10571" i="1"/>
  <c r="I10570" i="1"/>
  <c r="H10570" i="1"/>
  <c r="I10569" i="1"/>
  <c r="H10569" i="1"/>
  <c r="I10568" i="1"/>
  <c r="H10568" i="1"/>
  <c r="I10567" i="1"/>
  <c r="H10567" i="1"/>
  <c r="I10566" i="1"/>
  <c r="H10566" i="1"/>
  <c r="I10565" i="1"/>
  <c r="H10565" i="1"/>
  <c r="I10564" i="1"/>
  <c r="H10564" i="1"/>
  <c r="I10563" i="1"/>
  <c r="H10563" i="1"/>
  <c r="I10562" i="1"/>
  <c r="H10562" i="1"/>
  <c r="I10561" i="1"/>
  <c r="H10561" i="1"/>
  <c r="I10560" i="1"/>
  <c r="H10560" i="1"/>
  <c r="I10559" i="1"/>
  <c r="H10559" i="1"/>
  <c r="I10558" i="1"/>
  <c r="H10558" i="1"/>
  <c r="I10557" i="1"/>
  <c r="H10557" i="1"/>
  <c r="I10556" i="1"/>
  <c r="H10556" i="1"/>
  <c r="I10555" i="1"/>
  <c r="H10555" i="1"/>
  <c r="I10554" i="1"/>
  <c r="H10554" i="1"/>
  <c r="I10553" i="1"/>
  <c r="H10553" i="1"/>
  <c r="I10552" i="1"/>
  <c r="H10552" i="1"/>
  <c r="I10551" i="1"/>
  <c r="H10551" i="1"/>
  <c r="I10550" i="1"/>
  <c r="H10550" i="1"/>
  <c r="I10549" i="1"/>
  <c r="H10549" i="1"/>
  <c r="I10548" i="1"/>
  <c r="H10548" i="1"/>
  <c r="I10547" i="1"/>
  <c r="H10547" i="1"/>
  <c r="I10546" i="1"/>
  <c r="H10546" i="1"/>
  <c r="I10545" i="1"/>
  <c r="H10545" i="1"/>
  <c r="I10544" i="1"/>
  <c r="H10544" i="1"/>
  <c r="I10543" i="1"/>
  <c r="H10543" i="1"/>
  <c r="I10542" i="1"/>
  <c r="H10542" i="1"/>
  <c r="I10541" i="1"/>
  <c r="H10541" i="1"/>
  <c r="I10540" i="1"/>
  <c r="H10540" i="1"/>
  <c r="I10539" i="1"/>
  <c r="H10539" i="1"/>
  <c r="I10538" i="1"/>
  <c r="H10538" i="1"/>
  <c r="I10537" i="1"/>
  <c r="H10537" i="1"/>
  <c r="I10536" i="1"/>
  <c r="H10536" i="1"/>
  <c r="I10535" i="1"/>
  <c r="H10535" i="1"/>
  <c r="I10534" i="1"/>
  <c r="H10534" i="1"/>
  <c r="I10533" i="1"/>
  <c r="H10533" i="1"/>
  <c r="I10532" i="1"/>
  <c r="H10532" i="1"/>
  <c r="I10531" i="1"/>
  <c r="H10531" i="1"/>
  <c r="I10530" i="1"/>
  <c r="H10530" i="1"/>
  <c r="I10529" i="1"/>
  <c r="H10529" i="1"/>
  <c r="I10528" i="1"/>
  <c r="H10528" i="1"/>
  <c r="I10527" i="1"/>
  <c r="H10527" i="1"/>
  <c r="I10526" i="1"/>
  <c r="H10526" i="1"/>
  <c r="I10525" i="1"/>
  <c r="H10525" i="1"/>
  <c r="I10524" i="1"/>
  <c r="H10524" i="1"/>
  <c r="I10523" i="1"/>
  <c r="H10523" i="1"/>
  <c r="I10522" i="1"/>
  <c r="H10522" i="1"/>
  <c r="I10521" i="1"/>
  <c r="H10521" i="1"/>
  <c r="I10520" i="1"/>
  <c r="H10520" i="1"/>
  <c r="I10519" i="1"/>
  <c r="H10519" i="1"/>
  <c r="I10518" i="1"/>
  <c r="H10518" i="1"/>
  <c r="I10517" i="1"/>
  <c r="H10517" i="1"/>
  <c r="I10516" i="1"/>
  <c r="H10516" i="1"/>
  <c r="I10515" i="1"/>
  <c r="H10515" i="1"/>
  <c r="I10514" i="1"/>
  <c r="H10514" i="1"/>
  <c r="I10513" i="1"/>
  <c r="H10513" i="1"/>
  <c r="I10512" i="1"/>
  <c r="H10512" i="1"/>
  <c r="I10511" i="1"/>
  <c r="H10511" i="1"/>
  <c r="I10510" i="1"/>
  <c r="H10510" i="1"/>
  <c r="I10509" i="1"/>
  <c r="H10509" i="1"/>
  <c r="I10508" i="1"/>
  <c r="H10508" i="1"/>
  <c r="I10507" i="1"/>
  <c r="H10507" i="1"/>
  <c r="I10506" i="1"/>
  <c r="H10506" i="1"/>
  <c r="I10505" i="1"/>
  <c r="H10505" i="1"/>
  <c r="I10504" i="1"/>
  <c r="H10504" i="1"/>
  <c r="I10503" i="1"/>
  <c r="H10503" i="1"/>
  <c r="I10502" i="1"/>
  <c r="H10502" i="1"/>
  <c r="I10501" i="1"/>
  <c r="H10501" i="1"/>
  <c r="I10500" i="1"/>
  <c r="H10500" i="1"/>
  <c r="I10499" i="1"/>
  <c r="H10499" i="1"/>
  <c r="I10498" i="1"/>
  <c r="H10498" i="1"/>
  <c r="I10497" i="1"/>
  <c r="H10497" i="1"/>
  <c r="I10496" i="1"/>
  <c r="H10496" i="1"/>
  <c r="I10495" i="1"/>
  <c r="H10495" i="1"/>
  <c r="I10494" i="1"/>
  <c r="H10494" i="1"/>
  <c r="I10493" i="1"/>
  <c r="H10493" i="1"/>
  <c r="I10492" i="1"/>
  <c r="H10492" i="1"/>
  <c r="I10491" i="1"/>
  <c r="H10491" i="1"/>
  <c r="I10490" i="1"/>
  <c r="H10490" i="1"/>
  <c r="I10489" i="1"/>
  <c r="H10489" i="1"/>
  <c r="I10488" i="1"/>
  <c r="H10488" i="1"/>
  <c r="I10487" i="1"/>
  <c r="H10487" i="1"/>
  <c r="I10486" i="1"/>
  <c r="H10486" i="1"/>
  <c r="I10485" i="1"/>
  <c r="H10485" i="1"/>
  <c r="I10484" i="1"/>
  <c r="H10484" i="1"/>
  <c r="I10483" i="1"/>
  <c r="H10483" i="1"/>
  <c r="I10482" i="1"/>
  <c r="H10482" i="1"/>
  <c r="I10481" i="1"/>
  <c r="H10481" i="1"/>
  <c r="I10480" i="1"/>
  <c r="H10480" i="1"/>
  <c r="I10479" i="1"/>
  <c r="H10479" i="1"/>
  <c r="I10478" i="1"/>
  <c r="H10478" i="1"/>
  <c r="I10477" i="1"/>
  <c r="H10477" i="1"/>
  <c r="I10476" i="1"/>
  <c r="H10476" i="1"/>
  <c r="I10475" i="1"/>
  <c r="H10475" i="1"/>
  <c r="I10474" i="1"/>
  <c r="H10474" i="1"/>
  <c r="I10473" i="1"/>
  <c r="H10473" i="1"/>
  <c r="I10472" i="1"/>
  <c r="H10472" i="1"/>
  <c r="I10471" i="1"/>
  <c r="H10471" i="1"/>
  <c r="I10470" i="1"/>
  <c r="H10470" i="1"/>
  <c r="I10469" i="1"/>
  <c r="H10469" i="1"/>
  <c r="I10468" i="1"/>
  <c r="H10468" i="1"/>
  <c r="I10467" i="1"/>
  <c r="H10467" i="1"/>
  <c r="I10466" i="1"/>
  <c r="H10466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I10369" i="1"/>
  <c r="I10368" i="1"/>
  <c r="I10367" i="1"/>
  <c r="I10366" i="1"/>
  <c r="I10365" i="1"/>
  <c r="I10364" i="1"/>
  <c r="I10363" i="1"/>
  <c r="I10362" i="1"/>
  <c r="I10361" i="1"/>
  <c r="I10360" i="1"/>
  <c r="I10359" i="1"/>
  <c r="I10358" i="1"/>
  <c r="I10357" i="1"/>
  <c r="I10356" i="1"/>
  <c r="I10355" i="1"/>
  <c r="I10354" i="1"/>
  <c r="I10353" i="1"/>
  <c r="I10352" i="1"/>
  <c r="I10351" i="1"/>
  <c r="I10350" i="1"/>
  <c r="I10349" i="1"/>
  <c r="I10348" i="1"/>
  <c r="I10347" i="1"/>
  <c r="I10346" i="1"/>
  <c r="I10345" i="1"/>
  <c r="I10344" i="1"/>
  <c r="I10343" i="1"/>
  <c r="I10342" i="1"/>
  <c r="I10341" i="1"/>
  <c r="I10340" i="1"/>
  <c r="I10339" i="1"/>
  <c r="I10338" i="1"/>
  <c r="I10337" i="1"/>
  <c r="I10336" i="1"/>
  <c r="I10335" i="1"/>
  <c r="I10334" i="1"/>
  <c r="I10333" i="1"/>
  <c r="I10332" i="1"/>
  <c r="I10331" i="1"/>
  <c r="I10330" i="1"/>
  <c r="I10329" i="1"/>
  <c r="I10328" i="1"/>
  <c r="I10327" i="1"/>
  <c r="I10326" i="1"/>
  <c r="I10325" i="1"/>
  <c r="I10324" i="1"/>
  <c r="I10323" i="1"/>
  <c r="I10322" i="1"/>
  <c r="I10321" i="1"/>
  <c r="I10320" i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0301" i="1"/>
  <c r="I10300" i="1"/>
  <c r="I10299" i="1"/>
  <c r="I10298" i="1"/>
  <c r="C14" i="4"/>
  <c r="B14" i="4"/>
  <c r="I10297" i="1"/>
  <c r="I10296" i="1"/>
  <c r="I10295" i="1"/>
  <c r="I10294" i="1"/>
  <c r="I10293" i="1"/>
  <c r="I10292" i="1"/>
  <c r="I10291" i="1"/>
  <c r="I10290" i="1"/>
  <c r="I10289" i="1"/>
  <c r="I10288" i="1"/>
  <c r="I10287" i="1"/>
  <c r="I10286" i="1"/>
  <c r="I10285" i="1"/>
  <c r="I10284" i="1"/>
  <c r="I10283" i="1"/>
  <c r="I10282" i="1"/>
  <c r="I10281" i="1"/>
  <c r="I10280" i="1"/>
  <c r="I10279" i="1"/>
  <c r="I10278" i="1"/>
  <c r="I10277" i="1"/>
  <c r="I10276" i="1"/>
  <c r="I10275" i="1"/>
  <c r="I10274" i="1"/>
  <c r="I10273" i="1"/>
  <c r="I10272" i="1"/>
  <c r="I10271" i="1"/>
  <c r="I10270" i="1"/>
  <c r="I10269" i="1"/>
  <c r="I10268" i="1"/>
  <c r="I10267" i="1"/>
  <c r="I10266" i="1"/>
  <c r="I10265" i="1"/>
  <c r="I10264" i="1"/>
  <c r="I10263" i="1"/>
  <c r="I10262" i="1"/>
  <c r="I10261" i="1"/>
  <c r="I10260" i="1"/>
  <c r="I10259" i="1"/>
  <c r="I10258" i="1"/>
  <c r="I10257" i="1"/>
  <c r="I10256" i="1"/>
  <c r="I10255" i="1"/>
  <c r="I10254" i="1"/>
  <c r="I10253" i="1"/>
  <c r="I10252" i="1"/>
  <c r="I10251" i="1"/>
  <c r="I10250" i="1"/>
  <c r="I10249" i="1"/>
  <c r="I10248" i="1"/>
  <c r="I10247" i="1"/>
  <c r="I10246" i="1"/>
  <c r="I10245" i="1"/>
  <c r="I10244" i="1"/>
  <c r="I10243" i="1"/>
  <c r="I10242" i="1"/>
  <c r="I10241" i="1"/>
  <c r="I10240" i="1"/>
  <c r="I10239" i="1"/>
  <c r="I10238" i="1"/>
  <c r="I10237" i="1"/>
  <c r="I10236" i="1"/>
  <c r="I10235" i="1"/>
  <c r="I10234" i="1"/>
  <c r="I10233" i="1"/>
  <c r="I10232" i="1"/>
  <c r="I10231" i="1"/>
  <c r="I10230" i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0211" i="1"/>
  <c r="I10210" i="1"/>
  <c r="I10209" i="1"/>
  <c r="I10208" i="1"/>
  <c r="I10207" i="1"/>
  <c r="I10206" i="1"/>
  <c r="I10205" i="1"/>
  <c r="I10204" i="1"/>
  <c r="I10203" i="1"/>
  <c r="I10202" i="1"/>
  <c r="I10201" i="1"/>
  <c r="I10200" i="1"/>
  <c r="I10199" i="1"/>
  <c r="I10198" i="1"/>
  <c r="I10197" i="1"/>
  <c r="I10196" i="1"/>
  <c r="I10195" i="1"/>
  <c r="I10194" i="1"/>
  <c r="I10193" i="1"/>
  <c r="I10192" i="1"/>
  <c r="I10191" i="1"/>
  <c r="I10190" i="1"/>
  <c r="I10189" i="1"/>
  <c r="I10188" i="1"/>
  <c r="I10187" i="1"/>
  <c r="I10186" i="1"/>
  <c r="I10185" i="1"/>
  <c r="I10184" i="1"/>
  <c r="I10183" i="1"/>
  <c r="I10182" i="1"/>
  <c r="I10181" i="1"/>
  <c r="I10180" i="1"/>
  <c r="I10179" i="1"/>
  <c r="I10178" i="1"/>
  <c r="I10177" i="1" l="1"/>
  <c r="H10177" i="1"/>
  <c r="I10176" i="1"/>
  <c r="H10176" i="1"/>
  <c r="I10175" i="1"/>
  <c r="H10175" i="1"/>
  <c r="I10174" i="1"/>
  <c r="H10174" i="1"/>
  <c r="I10173" i="1"/>
  <c r="H10173" i="1"/>
  <c r="I10172" i="1"/>
  <c r="H10172" i="1"/>
  <c r="I10171" i="1"/>
  <c r="H10171" i="1"/>
  <c r="I10170" i="1"/>
  <c r="H10170" i="1"/>
  <c r="I10169" i="1"/>
  <c r="H10169" i="1"/>
  <c r="I10168" i="1"/>
  <c r="H10168" i="1"/>
  <c r="I10167" i="1"/>
  <c r="H10167" i="1"/>
  <c r="I10166" i="1"/>
  <c r="H10166" i="1"/>
  <c r="I10165" i="1"/>
  <c r="H10165" i="1"/>
  <c r="I10164" i="1"/>
  <c r="H10164" i="1"/>
  <c r="I10163" i="1"/>
  <c r="H10163" i="1"/>
  <c r="I10162" i="1"/>
  <c r="H10162" i="1"/>
  <c r="I10161" i="1"/>
  <c r="H10161" i="1"/>
  <c r="I10160" i="1"/>
  <c r="H10160" i="1"/>
  <c r="I10159" i="1"/>
  <c r="H10159" i="1"/>
  <c r="I10158" i="1"/>
  <c r="H10158" i="1"/>
  <c r="I10157" i="1"/>
  <c r="H10157" i="1"/>
  <c r="I10156" i="1"/>
  <c r="H10156" i="1"/>
  <c r="I10155" i="1"/>
  <c r="H10155" i="1"/>
  <c r="I10154" i="1"/>
  <c r="H10154" i="1"/>
  <c r="I10153" i="1"/>
  <c r="H10153" i="1"/>
  <c r="I10152" i="1"/>
  <c r="H10152" i="1"/>
  <c r="I10151" i="1"/>
  <c r="H10151" i="1"/>
  <c r="I10150" i="1"/>
  <c r="H10150" i="1"/>
  <c r="I10149" i="1"/>
  <c r="H10149" i="1"/>
  <c r="I10148" i="1"/>
  <c r="H10148" i="1"/>
  <c r="I10147" i="1"/>
  <c r="H10147" i="1"/>
  <c r="I10146" i="1"/>
  <c r="H10146" i="1"/>
  <c r="I10145" i="1"/>
  <c r="H10145" i="1"/>
  <c r="I10144" i="1"/>
  <c r="H10144" i="1"/>
  <c r="I10143" i="1"/>
  <c r="H10143" i="1"/>
  <c r="I10142" i="1"/>
  <c r="H10142" i="1"/>
  <c r="I10141" i="1"/>
  <c r="H10141" i="1"/>
  <c r="I10140" i="1"/>
  <c r="H10140" i="1"/>
  <c r="I10139" i="1"/>
  <c r="H10139" i="1"/>
  <c r="I10138" i="1"/>
  <c r="H10138" i="1"/>
  <c r="I10137" i="1"/>
  <c r="H10137" i="1"/>
  <c r="I10136" i="1"/>
  <c r="H10136" i="1"/>
  <c r="I10135" i="1"/>
  <c r="H10135" i="1"/>
  <c r="I10134" i="1"/>
  <c r="H10134" i="1"/>
  <c r="I10133" i="1"/>
  <c r="H10133" i="1"/>
  <c r="I10132" i="1"/>
  <c r="H10132" i="1"/>
  <c r="I10131" i="1"/>
  <c r="H10131" i="1"/>
  <c r="I10130" i="1"/>
  <c r="H10130" i="1"/>
  <c r="I10129" i="1"/>
  <c r="H10129" i="1"/>
  <c r="I10128" i="1"/>
  <c r="H10128" i="1"/>
  <c r="I10127" i="1"/>
  <c r="H10127" i="1"/>
  <c r="I10126" i="1"/>
  <c r="H10126" i="1"/>
  <c r="I10125" i="1"/>
  <c r="H10125" i="1"/>
  <c r="I10124" i="1"/>
  <c r="H10124" i="1"/>
  <c r="I10123" i="1"/>
  <c r="H10123" i="1"/>
  <c r="I10122" i="1"/>
  <c r="H10122" i="1"/>
  <c r="I10121" i="1"/>
  <c r="H10121" i="1"/>
  <c r="I10120" i="1"/>
  <c r="H10120" i="1"/>
  <c r="I10119" i="1"/>
  <c r="H10119" i="1"/>
  <c r="I10118" i="1"/>
  <c r="H10118" i="1"/>
  <c r="I10117" i="1"/>
  <c r="H10117" i="1"/>
  <c r="I10116" i="1"/>
  <c r="H10116" i="1"/>
  <c r="I10115" i="1"/>
  <c r="H10115" i="1"/>
  <c r="I10114" i="1"/>
  <c r="H10114" i="1"/>
  <c r="I10113" i="1"/>
  <c r="H10113" i="1"/>
  <c r="I10112" i="1"/>
  <c r="H10112" i="1"/>
  <c r="I10111" i="1"/>
  <c r="H10111" i="1"/>
  <c r="I10110" i="1"/>
  <c r="H10110" i="1"/>
  <c r="I10109" i="1"/>
  <c r="H10109" i="1"/>
  <c r="I10108" i="1"/>
  <c r="H10108" i="1"/>
  <c r="I10107" i="1"/>
  <c r="H10107" i="1"/>
  <c r="I10106" i="1"/>
  <c r="H10106" i="1"/>
  <c r="I10105" i="1"/>
  <c r="H10105" i="1"/>
  <c r="I10104" i="1"/>
  <c r="H10104" i="1"/>
  <c r="I10103" i="1"/>
  <c r="H10103" i="1"/>
  <c r="I10102" i="1"/>
  <c r="H10102" i="1"/>
  <c r="I10101" i="1"/>
  <c r="H10101" i="1"/>
  <c r="I10100" i="1"/>
  <c r="H10100" i="1"/>
  <c r="I10099" i="1"/>
  <c r="H10099" i="1"/>
  <c r="I10098" i="1"/>
  <c r="H10098" i="1"/>
  <c r="I10097" i="1"/>
  <c r="H10097" i="1"/>
  <c r="I10096" i="1"/>
  <c r="H10096" i="1"/>
  <c r="I10095" i="1"/>
  <c r="H10095" i="1"/>
  <c r="I10094" i="1"/>
  <c r="H10094" i="1"/>
  <c r="I10093" i="1"/>
  <c r="H10093" i="1"/>
  <c r="I10092" i="1"/>
  <c r="H10092" i="1"/>
  <c r="I10091" i="1"/>
  <c r="H10091" i="1"/>
  <c r="I10090" i="1"/>
  <c r="H10090" i="1"/>
  <c r="I10089" i="1"/>
  <c r="H10089" i="1"/>
  <c r="I10088" i="1"/>
  <c r="H10088" i="1"/>
  <c r="I10087" i="1"/>
  <c r="H10087" i="1"/>
  <c r="I10086" i="1"/>
  <c r="H10086" i="1"/>
  <c r="I10085" i="1"/>
  <c r="H10085" i="1"/>
  <c r="I10084" i="1"/>
  <c r="H10084" i="1"/>
  <c r="I10083" i="1"/>
  <c r="H10083" i="1"/>
  <c r="I10082" i="1"/>
  <c r="H10082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3" i="4" l="1"/>
  <c r="B13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2" i="4"/>
  <c r="C11" i="4"/>
  <c r="C10" i="4"/>
  <c r="C9" i="4"/>
  <c r="C8" i="4"/>
  <c r="C7" i="4"/>
  <c r="C6" i="4"/>
  <c r="C5" i="4"/>
  <c r="C4" i="4"/>
  <c r="C3" i="4"/>
  <c r="C2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13" i="4" l="1"/>
  <c r="E13" i="4" s="1"/>
  <c r="D14" i="4"/>
  <c r="E14" i="4" s="1"/>
  <c r="D3" i="4"/>
  <c r="E3" i="4" s="1"/>
  <c r="D6" i="4"/>
  <c r="E6" i="4" s="1"/>
  <c r="D7" i="4"/>
  <c r="E7" i="4" s="1"/>
  <c r="D8" i="4"/>
  <c r="E8" i="4" s="1"/>
  <c r="D9" i="4"/>
  <c r="E9" i="4" s="1"/>
  <c r="D2" i="4"/>
  <c r="E2" i="4" s="1"/>
  <c r="D10" i="4"/>
  <c r="E10" i="4" s="1"/>
  <c r="D4" i="4"/>
  <c r="E4" i="4" s="1"/>
  <c r="D5" i="4"/>
  <c r="E5" i="4" s="1"/>
  <c r="A20" i="2"/>
  <c r="D12" i="4"/>
  <c r="E12" i="4" s="1"/>
  <c r="D11" i="4"/>
  <c r="E11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<sst xmlns="http://schemas.openxmlformats.org/spreadsheetml/2006/main" count="47855" uniqueCount="45">
  <si>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</si>
  <si>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</si>
  <si>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</si>
  <si>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</si>
  <si>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</si>
  <si>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</si>
  <si>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</si>
  <si>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</si>
  <si>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</si>
  <si>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</si>
  <si>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</si>
  <si>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</si>
  <si>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</si>
  <si>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</si>
  <si>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</si>
  <si>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</si>
  <si>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</si>
  <si>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</si>
  <si>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</si>
  <si>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</si>
  <si>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</si>
  <si>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</si>
  <si>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</si>
  <si>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</si>
  <si>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</si>
  <si>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</si>
  <si>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</si>
  <si>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</si>
  <si>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</si>
  <si>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</si>
  <si>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</si>
  <si>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</si>
  <si>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</si>
  <si>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</si>
  <si>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</si>
  <si>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</si>
  <si>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</si>
  <si>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</si>
  <si>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</si>
  <si>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</si>
  <si>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</si>
  <si>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</si>
  <si>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</si>
  <si>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</si>
  <si>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ESTIMADO HISTORICO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</si>
</sst>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3273" totalsRowShown="0">
  <autoFilter ref="A1:I13273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3273"/>
  <sheetViews>
    <sheetView topLeftCell="A13260" workbookViewId="0">
      <selection activeCell="B13263" sqref="B13263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A10034" t="s">
        <v>6</v>
      </c>
      <c r="B10034" s="1">
        <v>46076</v>
      </c>
      <c r="C10034">
        <v>1</v>
      </c>
      <c r="D10034">
        <v>231.84</v>
      </c>
      <c r="E10034">
        <v>0</v>
      </c>
      <c r="F10034" t="s">
        <v>7</v>
      </c>
      <c r="G10034" t="s">
        <v>12</v>
      </c>
      <c r="H10034" s="5">
        <f>MONTH(Tabela1[[#This Row],[data]])</f>
        <v>2</v>
      </c>
      <c r="I10034">
        <f>YEAR(Tabela1[[#This Row],[data]])</f>
        <v>2026</v>
      </c>
    </row>
    <row r="10035" spans="1:9" x14ac:dyDescent="0.25">
      <c r="A10035" t="s">
        <v>6</v>
      </c>
      <c r="B10035" s="1">
        <v>46076</v>
      </c>
      <c r="C10035">
        <v>2</v>
      </c>
      <c r="D10035">
        <v>230.16</v>
      </c>
      <c r="E10035">
        <v>0</v>
      </c>
      <c r="F10035" t="s">
        <v>7</v>
      </c>
      <c r="G10035" t="s">
        <v>12</v>
      </c>
      <c r="H10035" s="5">
        <f>MONTH(Tabela1[[#This Row],[data]])</f>
        <v>2</v>
      </c>
      <c r="I10035">
        <f>YEAR(Tabela1[[#This Row],[data]])</f>
        <v>2026</v>
      </c>
    </row>
    <row r="10036" spans="1:9" x14ac:dyDescent="0.25">
      <c r="A10036" t="s">
        <v>6</v>
      </c>
      <c r="B10036" s="1">
        <v>46076</v>
      </c>
      <c r="C10036">
        <v>3</v>
      </c>
      <c r="D10036">
        <v>225.96</v>
      </c>
      <c r="E10036">
        <v>0</v>
      </c>
      <c r="F10036" t="s">
        <v>7</v>
      </c>
      <c r="G10036" t="s">
        <v>12</v>
      </c>
      <c r="H10036" s="5">
        <f>MONTH(Tabela1[[#This Row],[data]])</f>
        <v>2</v>
      </c>
      <c r="I10036">
        <f>YEAR(Tabela1[[#This Row],[data]])</f>
        <v>2026</v>
      </c>
    </row>
    <row r="10037" spans="1:9" x14ac:dyDescent="0.25">
      <c r="A10037" t="s">
        <v>6</v>
      </c>
      <c r="B10037" s="1">
        <v>46076</v>
      </c>
      <c r="C10037">
        <v>4</v>
      </c>
      <c r="D10037">
        <v>227.64</v>
      </c>
      <c r="E10037">
        <v>0</v>
      </c>
      <c r="F10037" t="s">
        <v>7</v>
      </c>
      <c r="G10037" t="s">
        <v>12</v>
      </c>
      <c r="H10037" s="5">
        <f>MONTH(Tabela1[[#This Row],[data]])</f>
        <v>2</v>
      </c>
      <c r="I10037">
        <f>YEAR(Tabela1[[#This Row],[data]])</f>
        <v>2026</v>
      </c>
    </row>
    <row r="10038" spans="1:9" x14ac:dyDescent="0.25">
      <c r="A10038" t="s">
        <v>6</v>
      </c>
      <c r="B10038" s="1">
        <v>46076</v>
      </c>
      <c r="C10038">
        <v>5</v>
      </c>
      <c r="D10038">
        <v>222.6</v>
      </c>
      <c r="E10038">
        <v>0</v>
      </c>
      <c r="F10038" t="s">
        <v>7</v>
      </c>
      <c r="G10038" t="s">
        <v>12</v>
      </c>
      <c r="H10038" s="5">
        <f>MONTH(Tabela1[[#This Row],[data]])</f>
        <v>2</v>
      </c>
      <c r="I10038">
        <f>YEAR(Tabela1[[#This Row],[data]])</f>
        <v>2026</v>
      </c>
    </row>
    <row r="10039" spans="1:9" x14ac:dyDescent="0.25">
      <c r="A10039" t="s">
        <v>6</v>
      </c>
      <c r="B10039" s="1">
        <v>46076</v>
      </c>
      <c r="C10039">
        <v>6</v>
      </c>
      <c r="D10039">
        <v>220.08</v>
      </c>
      <c r="E10039">
        <v>0</v>
      </c>
      <c r="F10039" t="s">
        <v>7</v>
      </c>
      <c r="G10039" t="s">
        <v>12</v>
      </c>
      <c r="H10039" s="5">
        <f>MONTH(Tabela1[[#This Row],[data]])</f>
        <v>2</v>
      </c>
      <c r="I10039">
        <f>YEAR(Tabela1[[#This Row],[data]])</f>
        <v>2026</v>
      </c>
    </row>
    <row r="10040" spans="1:9" x14ac:dyDescent="0.25">
      <c r="A10040" t="s">
        <v>6</v>
      </c>
      <c r="B10040" s="1">
        <v>46076</v>
      </c>
      <c r="C10040">
        <v>7</v>
      </c>
      <c r="D10040">
        <v>230.58</v>
      </c>
      <c r="E10040">
        <v>0</v>
      </c>
      <c r="F10040" t="s">
        <v>7</v>
      </c>
      <c r="G10040" t="s">
        <v>12</v>
      </c>
      <c r="H10040" s="5">
        <f>MONTH(Tabela1[[#This Row],[data]])</f>
        <v>2</v>
      </c>
      <c r="I10040">
        <f>YEAR(Tabela1[[#This Row],[data]])</f>
        <v>2026</v>
      </c>
    </row>
    <row r="10041" spans="1:9" x14ac:dyDescent="0.25">
      <c r="A10041" t="s">
        <v>6</v>
      </c>
      <c r="B10041" s="1">
        <v>46076</v>
      </c>
      <c r="C10041">
        <v>8</v>
      </c>
      <c r="D10041">
        <v>270.89999999999998</v>
      </c>
      <c r="E10041">
        <v>0</v>
      </c>
      <c r="F10041" t="s">
        <v>7</v>
      </c>
      <c r="G10041" t="s">
        <v>12</v>
      </c>
      <c r="H10041" s="5">
        <f>MONTH(Tabela1[[#This Row],[data]])</f>
        <v>2</v>
      </c>
      <c r="I10041">
        <f>YEAR(Tabela1[[#This Row],[data]])</f>
        <v>2026</v>
      </c>
    </row>
    <row r="10042" spans="1:9" x14ac:dyDescent="0.25">
      <c r="A10042" t="s">
        <v>6</v>
      </c>
      <c r="B10042" s="1">
        <v>46076</v>
      </c>
      <c r="C10042">
        <v>9</v>
      </c>
      <c r="D10042">
        <v>360.78</v>
      </c>
      <c r="E10042">
        <v>5.46</v>
      </c>
      <c r="F10042" t="s">
        <v>7</v>
      </c>
      <c r="G10042" t="s">
        <v>12</v>
      </c>
      <c r="H10042" s="5">
        <f>MONTH(Tabela1[[#This Row],[data]])</f>
        <v>2</v>
      </c>
      <c r="I10042">
        <f>YEAR(Tabela1[[#This Row],[data]])</f>
        <v>2026</v>
      </c>
    </row>
    <row r="10043" spans="1:9" x14ac:dyDescent="0.25">
      <c r="A10043" t="s">
        <v>6</v>
      </c>
      <c r="B10043" s="1">
        <v>46076</v>
      </c>
      <c r="C10043">
        <v>10</v>
      </c>
      <c r="D10043">
        <v>535.08000000000004</v>
      </c>
      <c r="E10043">
        <v>64.260000000000005</v>
      </c>
      <c r="F10043" t="s">
        <v>7</v>
      </c>
      <c r="G10043" t="s">
        <v>12</v>
      </c>
      <c r="H10043" s="5">
        <f>MONTH(Tabela1[[#This Row],[data]])</f>
        <v>2</v>
      </c>
      <c r="I10043">
        <f>YEAR(Tabela1[[#This Row],[data]])</f>
        <v>2026</v>
      </c>
    </row>
    <row r="10044" spans="1:9" x14ac:dyDescent="0.25">
      <c r="A10044" t="s">
        <v>6</v>
      </c>
      <c r="B10044" s="1">
        <v>46076</v>
      </c>
      <c r="C10044">
        <v>11</v>
      </c>
      <c r="D10044" s="2">
        <v>1108.3800000000001</v>
      </c>
      <c r="E10044">
        <v>303.24</v>
      </c>
      <c r="F10044" t="s">
        <v>7</v>
      </c>
      <c r="G10044" t="s">
        <v>12</v>
      </c>
      <c r="H10044" s="5">
        <f>MONTH(Tabela1[[#This Row],[data]])</f>
        <v>2</v>
      </c>
      <c r="I10044">
        <f>YEAR(Tabela1[[#This Row],[data]])</f>
        <v>2026</v>
      </c>
    </row>
    <row r="10045" spans="1:9" x14ac:dyDescent="0.25">
      <c r="A10045" t="s">
        <v>6</v>
      </c>
      <c r="B10045" s="1">
        <v>46076</v>
      </c>
      <c r="C10045">
        <v>12</v>
      </c>
      <c r="D10045" s="2">
        <v>1052.52</v>
      </c>
      <c r="E10045">
        <v>300.3</v>
      </c>
      <c r="F10045" t="s">
        <v>7</v>
      </c>
      <c r="G10045" t="s">
        <v>12</v>
      </c>
      <c r="H10045" s="5">
        <f>MONTH(Tabela1[[#This Row],[data]])</f>
        <v>2</v>
      </c>
      <c r="I10045">
        <f>YEAR(Tabela1[[#This Row],[data]])</f>
        <v>2026</v>
      </c>
    </row>
    <row r="10046" spans="1:9" x14ac:dyDescent="0.25">
      <c r="A10046" t="s">
        <v>6</v>
      </c>
      <c r="B10046" s="1">
        <v>46076</v>
      </c>
      <c r="C10046">
        <v>13</v>
      </c>
      <c r="D10046" s="2">
        <v>1029</v>
      </c>
      <c r="E10046">
        <v>290.64</v>
      </c>
      <c r="F10046" t="s">
        <v>7</v>
      </c>
      <c r="G10046" t="s">
        <v>12</v>
      </c>
      <c r="H10046" s="5">
        <f>MONTH(Tabela1[[#This Row],[data]])</f>
        <v>2</v>
      </c>
      <c r="I10046">
        <f>YEAR(Tabela1[[#This Row],[data]])</f>
        <v>2026</v>
      </c>
    </row>
    <row r="10047" spans="1:9" x14ac:dyDescent="0.25">
      <c r="A10047" t="s">
        <v>6</v>
      </c>
      <c r="B10047" s="1">
        <v>46076</v>
      </c>
      <c r="C10047">
        <v>14</v>
      </c>
      <c r="D10047" s="2">
        <v>1051.26</v>
      </c>
      <c r="E10047">
        <v>281.82</v>
      </c>
      <c r="F10047" t="s">
        <v>7</v>
      </c>
      <c r="G10047" t="s">
        <v>12</v>
      </c>
      <c r="H10047" s="5">
        <f>MONTH(Tabela1[[#This Row],[data]])</f>
        <v>2</v>
      </c>
      <c r="I10047">
        <f>YEAR(Tabela1[[#This Row],[data]])</f>
        <v>2026</v>
      </c>
    </row>
    <row r="10048" spans="1:9" x14ac:dyDescent="0.25">
      <c r="A10048" t="s">
        <v>6</v>
      </c>
      <c r="B10048" s="1">
        <v>46076</v>
      </c>
      <c r="C10048">
        <v>15</v>
      </c>
      <c r="D10048" s="2">
        <v>1035.3</v>
      </c>
      <c r="E10048">
        <v>273.83999999999997</v>
      </c>
      <c r="F10048" t="s">
        <v>7</v>
      </c>
      <c r="G10048" t="s">
        <v>12</v>
      </c>
      <c r="H10048" s="5">
        <f>MONTH(Tabela1[[#This Row],[data]])</f>
        <v>2</v>
      </c>
      <c r="I10048">
        <f>YEAR(Tabela1[[#This Row],[data]])</f>
        <v>2026</v>
      </c>
    </row>
    <row r="10049" spans="1:9" x14ac:dyDescent="0.25">
      <c r="A10049" t="s">
        <v>6</v>
      </c>
      <c r="B10049" s="1">
        <v>46076</v>
      </c>
      <c r="C10049">
        <v>16</v>
      </c>
      <c r="D10049" s="2">
        <v>1036.56</v>
      </c>
      <c r="E10049">
        <v>273.42</v>
      </c>
      <c r="F10049" t="s">
        <v>7</v>
      </c>
      <c r="G10049" t="s">
        <v>12</v>
      </c>
      <c r="H10049" s="5">
        <f>MONTH(Tabela1[[#This Row],[data]])</f>
        <v>2</v>
      </c>
      <c r="I10049">
        <f>YEAR(Tabela1[[#This Row],[data]])</f>
        <v>2026</v>
      </c>
    </row>
    <row r="10050" spans="1:9" x14ac:dyDescent="0.25">
      <c r="A10050" t="s">
        <v>6</v>
      </c>
      <c r="B10050" s="1">
        <v>46076</v>
      </c>
      <c r="C10050">
        <v>17</v>
      </c>
      <c r="D10050" s="2">
        <v>1026.48</v>
      </c>
      <c r="E10050">
        <v>283.5</v>
      </c>
      <c r="F10050" t="s">
        <v>7</v>
      </c>
      <c r="G10050" t="s">
        <v>12</v>
      </c>
      <c r="H10050" s="5">
        <f>MONTH(Tabela1[[#This Row],[data]])</f>
        <v>2</v>
      </c>
      <c r="I10050">
        <f>YEAR(Tabela1[[#This Row],[data]])</f>
        <v>2026</v>
      </c>
    </row>
    <row r="10051" spans="1:9" x14ac:dyDescent="0.25">
      <c r="A10051" t="s">
        <v>6</v>
      </c>
      <c r="B10051" s="1">
        <v>46076</v>
      </c>
      <c r="C10051">
        <v>18</v>
      </c>
      <c r="D10051" s="2">
        <v>1006.32</v>
      </c>
      <c r="E10051">
        <v>275.52</v>
      </c>
      <c r="F10051" t="s">
        <v>7</v>
      </c>
      <c r="G10051" t="s">
        <v>12</v>
      </c>
      <c r="H10051" s="5">
        <f>MONTH(Tabela1[[#This Row],[data]])</f>
        <v>2</v>
      </c>
      <c r="I10051">
        <f>YEAR(Tabela1[[#This Row],[data]])</f>
        <v>2026</v>
      </c>
    </row>
    <row r="10052" spans="1:9" x14ac:dyDescent="0.25">
      <c r="A10052" t="s">
        <v>6</v>
      </c>
      <c r="B10052" s="1">
        <v>46076</v>
      </c>
      <c r="C10052">
        <v>19</v>
      </c>
      <c r="D10052">
        <v>939.54</v>
      </c>
      <c r="E10052">
        <v>210</v>
      </c>
      <c r="F10052" t="s">
        <v>7</v>
      </c>
      <c r="G10052" t="s">
        <v>12</v>
      </c>
      <c r="H10052" s="5">
        <f>MONTH(Tabela1[[#This Row],[data]])</f>
        <v>2</v>
      </c>
      <c r="I10052">
        <f>YEAR(Tabela1[[#This Row],[data]])</f>
        <v>2026</v>
      </c>
    </row>
    <row r="10053" spans="1:9" x14ac:dyDescent="0.25">
      <c r="A10053" t="s">
        <v>6</v>
      </c>
      <c r="B10053" s="1">
        <v>46076</v>
      </c>
      <c r="C10053">
        <v>20</v>
      </c>
      <c r="D10053">
        <v>933.66</v>
      </c>
      <c r="E10053">
        <v>217.98</v>
      </c>
      <c r="F10053" t="s">
        <v>7</v>
      </c>
      <c r="G10053" t="s">
        <v>12</v>
      </c>
      <c r="H10053" s="5">
        <f>MONTH(Tabela1[[#This Row],[data]])</f>
        <v>2</v>
      </c>
      <c r="I10053">
        <f>YEAR(Tabela1[[#This Row],[data]])</f>
        <v>2026</v>
      </c>
    </row>
    <row r="10054" spans="1:9" x14ac:dyDescent="0.25">
      <c r="A10054" t="s">
        <v>6</v>
      </c>
      <c r="B10054" s="1">
        <v>46076</v>
      </c>
      <c r="C10054">
        <v>21</v>
      </c>
      <c r="D10054">
        <v>910.98</v>
      </c>
      <c r="E10054">
        <v>217.98</v>
      </c>
      <c r="F10054" t="s">
        <v>7</v>
      </c>
      <c r="G10054" t="s">
        <v>12</v>
      </c>
      <c r="H10054" s="5">
        <f>MONTH(Tabela1[[#This Row],[data]])</f>
        <v>2</v>
      </c>
      <c r="I10054">
        <f>YEAR(Tabela1[[#This Row],[data]])</f>
        <v>2026</v>
      </c>
    </row>
    <row r="10055" spans="1:9" x14ac:dyDescent="0.25">
      <c r="A10055" t="s">
        <v>6</v>
      </c>
      <c r="B10055" s="1">
        <v>46076</v>
      </c>
      <c r="C10055">
        <v>22</v>
      </c>
      <c r="D10055">
        <v>769.44</v>
      </c>
      <c r="E10055">
        <v>143.63999999999999</v>
      </c>
      <c r="F10055" t="s">
        <v>7</v>
      </c>
      <c r="G10055" t="s">
        <v>12</v>
      </c>
      <c r="H10055" s="5">
        <f>MONTH(Tabela1[[#This Row],[data]])</f>
        <v>2</v>
      </c>
      <c r="I10055">
        <f>YEAR(Tabela1[[#This Row],[data]])</f>
        <v>2026</v>
      </c>
    </row>
    <row r="10056" spans="1:9" x14ac:dyDescent="0.25">
      <c r="A10056" t="s">
        <v>6</v>
      </c>
      <c r="B10056" s="1">
        <v>46076</v>
      </c>
      <c r="C10056">
        <v>23</v>
      </c>
      <c r="D10056">
        <v>374.64</v>
      </c>
      <c r="E10056">
        <v>3.78</v>
      </c>
      <c r="F10056" t="s">
        <v>7</v>
      </c>
      <c r="G10056" t="s">
        <v>12</v>
      </c>
      <c r="H10056" s="5">
        <f>MONTH(Tabela1[[#This Row],[data]])</f>
        <v>2</v>
      </c>
      <c r="I10056">
        <f>YEAR(Tabela1[[#This Row],[data]])</f>
        <v>2026</v>
      </c>
    </row>
    <row r="10057" spans="1:9" x14ac:dyDescent="0.25">
      <c r="A10057" t="s">
        <v>6</v>
      </c>
      <c r="B10057" s="1">
        <v>46076</v>
      </c>
      <c r="C10057">
        <v>24</v>
      </c>
      <c r="D10057">
        <v>270.06</v>
      </c>
      <c r="E10057">
        <v>0</v>
      </c>
      <c r="F10057" t="s">
        <v>7</v>
      </c>
      <c r="G10057" t="s">
        <v>12</v>
      </c>
      <c r="H10057" s="5">
        <f>MONTH(Tabela1[[#This Row],[data]])</f>
        <v>2</v>
      </c>
      <c r="I10057">
        <f>YEAR(Tabela1[[#This Row],[data]])</f>
        <v>2026</v>
      </c>
    </row>
    <row r="10058" spans="1:9" x14ac:dyDescent="0.25">
      <c r="A10058" t="s">
        <v>6</v>
      </c>
      <c r="B10058" s="1">
        <v>46077</v>
      </c>
      <c r="C10058">
        <v>1</v>
      </c>
      <c r="D10058">
        <v>239.4</v>
      </c>
      <c r="E10058">
        <v>0</v>
      </c>
      <c r="F10058" t="s">
        <v>7</v>
      </c>
      <c r="G10058" t="s">
        <v>12</v>
      </c>
      <c r="H10058" s="5">
        <f>MONTH(Tabela1[[#This Row],[data]])</f>
        <v>2</v>
      </c>
      <c r="I10058">
        <f>YEAR(Tabela1[[#This Row],[data]])</f>
        <v>2026</v>
      </c>
    </row>
    <row r="10059" spans="1:9" x14ac:dyDescent="0.25">
      <c r="A10059" t="s">
        <v>6</v>
      </c>
      <c r="B10059" s="1">
        <v>46077</v>
      </c>
      <c r="C10059">
        <v>2</v>
      </c>
      <c r="D10059">
        <v>239.82</v>
      </c>
      <c r="E10059">
        <v>0</v>
      </c>
      <c r="F10059" t="s">
        <v>7</v>
      </c>
      <c r="G10059" t="s">
        <v>12</v>
      </c>
      <c r="H10059" s="5">
        <f>MONTH(Tabela1[[#This Row],[data]])</f>
        <v>2</v>
      </c>
      <c r="I10059">
        <f>YEAR(Tabela1[[#This Row],[data]])</f>
        <v>2026</v>
      </c>
    </row>
    <row r="10060" spans="1:9" x14ac:dyDescent="0.25">
      <c r="A10060" t="s">
        <v>6</v>
      </c>
      <c r="B10060" s="1">
        <v>46077</v>
      </c>
      <c r="C10060">
        <v>3</v>
      </c>
      <c r="D10060">
        <v>233.52</v>
      </c>
      <c r="E10060">
        <v>0</v>
      </c>
      <c r="F10060" t="s">
        <v>7</v>
      </c>
      <c r="G10060" t="s">
        <v>12</v>
      </c>
      <c r="H10060" s="5">
        <f>MONTH(Tabela1[[#This Row],[data]])</f>
        <v>2</v>
      </c>
      <c r="I10060">
        <f>YEAR(Tabela1[[#This Row],[data]])</f>
        <v>2026</v>
      </c>
    </row>
    <row r="10061" spans="1:9" x14ac:dyDescent="0.25">
      <c r="A10061" t="s">
        <v>6</v>
      </c>
      <c r="B10061" s="1">
        <v>46077</v>
      </c>
      <c r="C10061">
        <v>4</v>
      </c>
      <c r="D10061">
        <v>236.04</v>
      </c>
      <c r="E10061">
        <v>0</v>
      </c>
      <c r="F10061" t="s">
        <v>7</v>
      </c>
      <c r="G10061" t="s">
        <v>12</v>
      </c>
      <c r="H10061" s="5">
        <f>MONTH(Tabela1[[#This Row],[data]])</f>
        <v>2</v>
      </c>
      <c r="I10061">
        <f>YEAR(Tabela1[[#This Row],[data]])</f>
        <v>2026</v>
      </c>
    </row>
    <row r="10062" spans="1:9" x14ac:dyDescent="0.25">
      <c r="A10062" t="s">
        <v>6</v>
      </c>
      <c r="B10062" s="1">
        <v>46077</v>
      </c>
      <c r="C10062">
        <v>5</v>
      </c>
      <c r="D10062">
        <v>238.98</v>
      </c>
      <c r="E10062">
        <v>0</v>
      </c>
      <c r="F10062" t="s">
        <v>7</v>
      </c>
      <c r="G10062" t="s">
        <v>12</v>
      </c>
      <c r="H10062" s="5">
        <f>MONTH(Tabela1[[#This Row],[data]])</f>
        <v>2</v>
      </c>
      <c r="I10062">
        <f>YEAR(Tabela1[[#This Row],[data]])</f>
        <v>2026</v>
      </c>
    </row>
    <row r="10063" spans="1:9" x14ac:dyDescent="0.25">
      <c r="A10063" t="s">
        <v>6</v>
      </c>
      <c r="B10063" s="1">
        <v>46077</v>
      </c>
      <c r="C10063">
        <v>6</v>
      </c>
      <c r="D10063">
        <v>233.94</v>
      </c>
      <c r="E10063">
        <v>0</v>
      </c>
      <c r="F10063" t="s">
        <v>7</v>
      </c>
      <c r="G10063" t="s">
        <v>12</v>
      </c>
      <c r="H10063" s="5">
        <f>MONTH(Tabela1[[#This Row],[data]])</f>
        <v>2</v>
      </c>
      <c r="I10063">
        <f>YEAR(Tabela1[[#This Row],[data]])</f>
        <v>2026</v>
      </c>
    </row>
    <row r="10064" spans="1:9" x14ac:dyDescent="0.25">
      <c r="A10064" t="s">
        <v>6</v>
      </c>
      <c r="B10064" s="1">
        <v>46077</v>
      </c>
      <c r="C10064">
        <v>7</v>
      </c>
      <c r="D10064">
        <v>242.34</v>
      </c>
      <c r="E10064">
        <v>0</v>
      </c>
      <c r="F10064" t="s">
        <v>7</v>
      </c>
      <c r="G10064" t="s">
        <v>12</v>
      </c>
      <c r="H10064" s="5">
        <f>MONTH(Tabela1[[#This Row],[data]])</f>
        <v>2</v>
      </c>
      <c r="I10064">
        <f>YEAR(Tabela1[[#This Row],[data]])</f>
        <v>2026</v>
      </c>
    </row>
    <row r="10065" spans="1:9" x14ac:dyDescent="0.25">
      <c r="A10065" t="s">
        <v>6</v>
      </c>
      <c r="B10065" s="1">
        <v>46077</v>
      </c>
      <c r="C10065">
        <v>8</v>
      </c>
      <c r="D10065">
        <v>260.82</v>
      </c>
      <c r="E10065">
        <v>0</v>
      </c>
      <c r="F10065" t="s">
        <v>7</v>
      </c>
      <c r="G10065" t="s">
        <v>12</v>
      </c>
      <c r="H10065" s="5">
        <f>MONTH(Tabela1[[#This Row],[data]])</f>
        <v>2</v>
      </c>
      <c r="I10065">
        <f>YEAR(Tabela1[[#This Row],[data]])</f>
        <v>2026</v>
      </c>
    </row>
    <row r="10066" spans="1:9" x14ac:dyDescent="0.25">
      <c r="A10066" t="s">
        <v>6</v>
      </c>
      <c r="B10066" s="1">
        <v>46077</v>
      </c>
      <c r="C10066">
        <v>9</v>
      </c>
      <c r="D10066">
        <v>398.58</v>
      </c>
      <c r="E10066">
        <v>8.82</v>
      </c>
      <c r="F10066" t="s">
        <v>7</v>
      </c>
      <c r="G10066" t="s">
        <v>12</v>
      </c>
      <c r="H10066" s="5">
        <f>MONTH(Tabela1[[#This Row],[data]])</f>
        <v>2</v>
      </c>
      <c r="I10066">
        <f>YEAR(Tabela1[[#This Row],[data]])</f>
        <v>2026</v>
      </c>
    </row>
    <row r="10067" spans="1:9" x14ac:dyDescent="0.25">
      <c r="A10067" t="s">
        <v>6</v>
      </c>
      <c r="B10067" s="1">
        <v>46077</v>
      </c>
      <c r="C10067">
        <v>10</v>
      </c>
      <c r="D10067">
        <v>698.88</v>
      </c>
      <c r="E10067">
        <v>145.74</v>
      </c>
      <c r="F10067" t="s">
        <v>7</v>
      </c>
      <c r="G10067" t="s">
        <v>12</v>
      </c>
      <c r="H10067" s="5">
        <f>MONTH(Tabela1[[#This Row],[data]])</f>
        <v>2</v>
      </c>
      <c r="I10067">
        <f>YEAR(Tabela1[[#This Row],[data]])</f>
        <v>2026</v>
      </c>
    </row>
    <row r="10068" spans="1:9" x14ac:dyDescent="0.25">
      <c r="A10068" t="s">
        <v>6</v>
      </c>
      <c r="B10068" s="1">
        <v>46077</v>
      </c>
      <c r="C10068">
        <v>11</v>
      </c>
      <c r="D10068" s="2">
        <v>1002.54</v>
      </c>
      <c r="E10068">
        <v>278.45999999999998</v>
      </c>
      <c r="F10068" t="s">
        <v>7</v>
      </c>
      <c r="G10068" t="s">
        <v>12</v>
      </c>
      <c r="H10068" s="5">
        <f>MONTH(Tabela1[[#This Row],[data]])</f>
        <v>2</v>
      </c>
      <c r="I10068">
        <f>YEAR(Tabela1[[#This Row],[data]])</f>
        <v>2026</v>
      </c>
    </row>
    <row r="10069" spans="1:9" x14ac:dyDescent="0.25">
      <c r="A10069" t="s">
        <v>6</v>
      </c>
      <c r="B10069" s="1">
        <v>46077</v>
      </c>
      <c r="C10069">
        <v>12</v>
      </c>
      <c r="D10069" s="2">
        <v>1010.94</v>
      </c>
      <c r="E10069">
        <v>301.98</v>
      </c>
      <c r="F10069" t="s">
        <v>7</v>
      </c>
      <c r="G10069" t="s">
        <v>12</v>
      </c>
      <c r="H10069" s="5">
        <f>MONTH(Tabela1[[#This Row],[data]])</f>
        <v>2</v>
      </c>
      <c r="I10069">
        <f>YEAR(Tabela1[[#This Row],[data]])</f>
        <v>2026</v>
      </c>
    </row>
    <row r="10070" spans="1:9" x14ac:dyDescent="0.25">
      <c r="A10070" t="s">
        <v>6</v>
      </c>
      <c r="B10070" s="1">
        <v>46077</v>
      </c>
      <c r="C10070">
        <v>13</v>
      </c>
      <c r="D10070" s="2">
        <v>1068.9000000000001</v>
      </c>
      <c r="E10070">
        <v>307.86</v>
      </c>
      <c r="F10070" t="s">
        <v>7</v>
      </c>
      <c r="G10070" t="s">
        <v>12</v>
      </c>
      <c r="H10070" s="5">
        <f>MONTH(Tabela1[[#This Row],[data]])</f>
        <v>2</v>
      </c>
      <c r="I10070">
        <f>YEAR(Tabela1[[#This Row],[data]])</f>
        <v>2026</v>
      </c>
    </row>
    <row r="10071" spans="1:9" x14ac:dyDescent="0.25">
      <c r="A10071" t="s">
        <v>6</v>
      </c>
      <c r="B10071" s="1">
        <v>46077</v>
      </c>
      <c r="C10071">
        <v>14</v>
      </c>
      <c r="D10071" s="2">
        <v>1046.6400000000001</v>
      </c>
      <c r="E10071">
        <v>265.02</v>
      </c>
      <c r="F10071" t="s">
        <v>7</v>
      </c>
      <c r="G10071" t="s">
        <v>12</v>
      </c>
      <c r="H10071" s="5">
        <f>MONTH(Tabela1[[#This Row],[data]])</f>
        <v>2</v>
      </c>
      <c r="I10071">
        <f>YEAR(Tabela1[[#This Row],[data]])</f>
        <v>2026</v>
      </c>
    </row>
    <row r="10072" spans="1:9" x14ac:dyDescent="0.25">
      <c r="A10072" t="s">
        <v>6</v>
      </c>
      <c r="B10072" s="1">
        <v>46077</v>
      </c>
      <c r="C10072">
        <v>15</v>
      </c>
      <c r="D10072" s="2">
        <v>1002.12</v>
      </c>
      <c r="E10072">
        <v>271.74</v>
      </c>
      <c r="F10072" t="s">
        <v>7</v>
      </c>
      <c r="G10072" t="s">
        <v>12</v>
      </c>
      <c r="H10072" s="5">
        <f>MONTH(Tabela1[[#This Row],[data]])</f>
        <v>2</v>
      </c>
      <c r="I10072">
        <f>YEAR(Tabela1[[#This Row],[data]])</f>
        <v>2026</v>
      </c>
    </row>
    <row r="10073" spans="1:9" x14ac:dyDescent="0.25">
      <c r="A10073" t="s">
        <v>6</v>
      </c>
      <c r="B10073" s="1">
        <v>46077</v>
      </c>
      <c r="C10073">
        <v>16</v>
      </c>
      <c r="D10073">
        <v>992.04</v>
      </c>
      <c r="E10073">
        <v>260.39999999999998</v>
      </c>
      <c r="F10073" t="s">
        <v>7</v>
      </c>
      <c r="G10073" t="s">
        <v>12</v>
      </c>
      <c r="H10073" s="5">
        <f>MONTH(Tabela1[[#This Row],[data]])</f>
        <v>2</v>
      </c>
      <c r="I10073">
        <f>YEAR(Tabela1[[#This Row],[data]])</f>
        <v>2026</v>
      </c>
    </row>
    <row r="10074" spans="1:9" x14ac:dyDescent="0.25">
      <c r="A10074" t="s">
        <v>6</v>
      </c>
      <c r="B10074" s="1">
        <v>46077</v>
      </c>
      <c r="C10074">
        <v>17</v>
      </c>
      <c r="D10074" s="2">
        <v>1014.72</v>
      </c>
      <c r="E10074">
        <v>267.54000000000002</v>
      </c>
      <c r="F10074" t="s">
        <v>7</v>
      </c>
      <c r="G10074" t="s">
        <v>12</v>
      </c>
      <c r="H10074" s="5">
        <f>MONTH(Tabela1[[#This Row],[data]])</f>
        <v>2</v>
      </c>
      <c r="I10074">
        <f>YEAR(Tabela1[[#This Row],[data]])</f>
        <v>2026</v>
      </c>
    </row>
    <row r="10075" spans="1:9" x14ac:dyDescent="0.25">
      <c r="A10075" t="s">
        <v>6</v>
      </c>
      <c r="B10075" s="1">
        <v>46077</v>
      </c>
      <c r="C10075">
        <v>18</v>
      </c>
      <c r="D10075" s="2">
        <v>1036.98</v>
      </c>
      <c r="E10075">
        <v>277.2</v>
      </c>
      <c r="F10075" t="s">
        <v>7</v>
      </c>
      <c r="G10075" t="s">
        <v>12</v>
      </c>
      <c r="H10075" s="5">
        <f>MONTH(Tabela1[[#This Row],[data]])</f>
        <v>2</v>
      </c>
      <c r="I10075">
        <f>YEAR(Tabela1[[#This Row],[data]])</f>
        <v>2026</v>
      </c>
    </row>
    <row r="10076" spans="1:9" x14ac:dyDescent="0.25">
      <c r="A10076" t="s">
        <v>6</v>
      </c>
      <c r="B10076" s="1">
        <v>46077</v>
      </c>
      <c r="C10076">
        <v>19</v>
      </c>
      <c r="D10076">
        <v>959.7</v>
      </c>
      <c r="E10076">
        <v>246.54</v>
      </c>
      <c r="F10076" t="s">
        <v>7</v>
      </c>
      <c r="G10076" t="s">
        <v>12</v>
      </c>
      <c r="H10076" s="5">
        <f>MONTH(Tabela1[[#This Row],[data]])</f>
        <v>2</v>
      </c>
      <c r="I10076">
        <f>YEAR(Tabela1[[#This Row],[data]])</f>
        <v>2026</v>
      </c>
    </row>
    <row r="10077" spans="1:9" x14ac:dyDescent="0.25">
      <c r="A10077" t="s">
        <v>6</v>
      </c>
      <c r="B10077" s="1">
        <v>46077</v>
      </c>
      <c r="C10077">
        <v>20</v>
      </c>
      <c r="D10077">
        <v>940.38</v>
      </c>
      <c r="E10077">
        <v>223.02</v>
      </c>
      <c r="F10077" t="s">
        <v>7</v>
      </c>
      <c r="G10077" t="s">
        <v>12</v>
      </c>
      <c r="H10077" s="5">
        <f>MONTH(Tabela1[[#This Row],[data]])</f>
        <v>2</v>
      </c>
      <c r="I10077">
        <f>YEAR(Tabela1[[#This Row],[data]])</f>
        <v>2026</v>
      </c>
    </row>
    <row r="10078" spans="1:9" x14ac:dyDescent="0.25">
      <c r="A10078" t="s">
        <v>6</v>
      </c>
      <c r="B10078" s="1">
        <v>46077</v>
      </c>
      <c r="C10078">
        <v>21</v>
      </c>
      <c r="D10078">
        <v>935.34</v>
      </c>
      <c r="E10078">
        <v>228.06</v>
      </c>
      <c r="F10078" t="s">
        <v>7</v>
      </c>
      <c r="G10078" t="s">
        <v>12</v>
      </c>
      <c r="H10078" s="5">
        <f>MONTH(Tabela1[[#This Row],[data]])</f>
        <v>2</v>
      </c>
      <c r="I10078">
        <f>YEAR(Tabela1[[#This Row],[data]])</f>
        <v>2026</v>
      </c>
    </row>
    <row r="10079" spans="1:9" x14ac:dyDescent="0.25">
      <c r="A10079" t="s">
        <v>6</v>
      </c>
      <c r="B10079" s="1">
        <v>46077</v>
      </c>
      <c r="C10079">
        <v>22</v>
      </c>
      <c r="D10079">
        <v>870.66</v>
      </c>
      <c r="E10079">
        <v>202.02</v>
      </c>
      <c r="F10079" t="s">
        <v>7</v>
      </c>
      <c r="G10079" t="s">
        <v>12</v>
      </c>
      <c r="H10079" s="5">
        <f>MONTH(Tabela1[[#This Row],[data]])</f>
        <v>2</v>
      </c>
      <c r="I10079">
        <f>YEAR(Tabela1[[#This Row],[data]])</f>
        <v>2026</v>
      </c>
    </row>
    <row r="10080" spans="1:9" x14ac:dyDescent="0.25">
      <c r="A10080" t="s">
        <v>6</v>
      </c>
      <c r="B10080" s="1">
        <v>46077</v>
      </c>
      <c r="C10080">
        <v>23</v>
      </c>
      <c r="D10080">
        <v>483.84</v>
      </c>
      <c r="E10080">
        <v>31.08</v>
      </c>
      <c r="F10080" t="s">
        <v>7</v>
      </c>
      <c r="G10080" t="s">
        <v>12</v>
      </c>
      <c r="H10080" s="5">
        <f>MONTH(Tabela1[[#This Row],[data]])</f>
        <v>2</v>
      </c>
      <c r="I10080">
        <f>YEAR(Tabela1[[#This Row],[data]])</f>
        <v>2026</v>
      </c>
    </row>
    <row r="10081" spans="1:9" x14ac:dyDescent="0.25">
      <c r="A10081" t="s">
        <v>6</v>
      </c>
      <c r="B10081" s="1">
        <v>46077</v>
      </c>
      <c r="C10081">
        <v>24</v>
      </c>
      <c r="D10081">
        <v>376.74</v>
      </c>
      <c r="E10081">
        <v>7.98</v>
      </c>
      <c r="F10081" t="s">
        <v>7</v>
      </c>
      <c r="G10081" t="s">
        <v>12</v>
      </c>
      <c r="H10081" s="5">
        <f>MONTH(Tabela1[[#This Row],[data]])</f>
        <v>2</v>
      </c>
      <c r="I10081">
        <f>YEAR(Tabela1[[#This Row],[data]])</f>
        <v>2026</v>
      </c>
    </row>
    <row r="10082" spans="1:9" x14ac:dyDescent="0.25">
      <c r="A10082" t="s">
        <v>6</v>
      </c>
      <c r="B10082" s="1">
        <v>46078</v>
      </c>
      <c r="C10082">
        <v>1</v>
      </c>
      <c r="D10082">
        <v>328.02</v>
      </c>
      <c r="E10082">
        <v>0</v>
      </c>
      <c r="F10082" t="s">
        <v>7</v>
      </c>
      <c r="G10082" t="s">
        <v>12</v>
      </c>
      <c r="H10082" s="5">
        <f>MONTH(Tabela1[[#This Row],[data]])</f>
        <v>2</v>
      </c>
      <c r="I10082">
        <f>YEAR(Tabela1[[#This Row],[data]])</f>
        <v>2026</v>
      </c>
    </row>
    <row r="10083" spans="1:9" x14ac:dyDescent="0.25">
      <c r="A10083" t="s">
        <v>6</v>
      </c>
      <c r="B10083" s="1">
        <v>46078</v>
      </c>
      <c r="C10083">
        <v>2</v>
      </c>
      <c r="D10083">
        <v>325.5</v>
      </c>
      <c r="E10083">
        <v>0.42</v>
      </c>
      <c r="F10083" t="s">
        <v>7</v>
      </c>
      <c r="G10083" t="s">
        <v>12</v>
      </c>
      <c r="H10083" s="5">
        <f>MONTH(Tabela1[[#This Row],[data]])</f>
        <v>2</v>
      </c>
      <c r="I10083">
        <f>YEAR(Tabela1[[#This Row],[data]])</f>
        <v>2026</v>
      </c>
    </row>
    <row r="10084" spans="1:9" x14ac:dyDescent="0.25">
      <c r="A10084" t="s">
        <v>6</v>
      </c>
      <c r="B10084" s="1">
        <v>46078</v>
      </c>
      <c r="C10084">
        <v>3</v>
      </c>
      <c r="D10084">
        <v>252</v>
      </c>
      <c r="E10084">
        <v>0</v>
      </c>
      <c r="F10084" t="s">
        <v>7</v>
      </c>
      <c r="G10084" t="s">
        <v>12</v>
      </c>
      <c r="H10084" s="5">
        <f>MONTH(Tabela1[[#This Row],[data]])</f>
        <v>2</v>
      </c>
      <c r="I10084">
        <f>YEAR(Tabela1[[#This Row],[data]])</f>
        <v>2026</v>
      </c>
    </row>
    <row r="10085" spans="1:9" x14ac:dyDescent="0.25">
      <c r="A10085" t="s">
        <v>6</v>
      </c>
      <c r="B10085" s="1">
        <v>46078</v>
      </c>
      <c r="C10085">
        <v>4</v>
      </c>
      <c r="D10085">
        <v>216.72</v>
      </c>
      <c r="E10085">
        <v>0</v>
      </c>
      <c r="F10085" t="s">
        <v>7</v>
      </c>
      <c r="G10085" t="s">
        <v>12</v>
      </c>
      <c r="H10085" s="5">
        <f>MONTH(Tabela1[[#This Row],[data]])</f>
        <v>2</v>
      </c>
      <c r="I10085">
        <f>YEAR(Tabela1[[#This Row],[data]])</f>
        <v>2026</v>
      </c>
    </row>
    <row r="10086" spans="1:9" x14ac:dyDescent="0.25">
      <c r="A10086" t="s">
        <v>6</v>
      </c>
      <c r="B10086" s="1">
        <v>46078</v>
      </c>
      <c r="C10086">
        <v>5</v>
      </c>
      <c r="D10086">
        <v>220.5</v>
      </c>
      <c r="E10086">
        <v>0</v>
      </c>
      <c r="F10086" t="s">
        <v>7</v>
      </c>
      <c r="G10086" t="s">
        <v>12</v>
      </c>
      <c r="H10086" s="5">
        <f>MONTH(Tabela1[[#This Row],[data]])</f>
        <v>2</v>
      </c>
      <c r="I10086">
        <f>YEAR(Tabela1[[#This Row],[data]])</f>
        <v>2026</v>
      </c>
    </row>
    <row r="10087" spans="1:9" x14ac:dyDescent="0.25">
      <c r="A10087" t="s">
        <v>6</v>
      </c>
      <c r="B10087" s="1">
        <v>46078</v>
      </c>
      <c r="C10087">
        <v>6</v>
      </c>
      <c r="D10087">
        <v>216.72</v>
      </c>
      <c r="E10087">
        <v>0</v>
      </c>
      <c r="F10087" t="s">
        <v>7</v>
      </c>
      <c r="G10087" t="s">
        <v>12</v>
      </c>
      <c r="H10087" s="5">
        <f>MONTH(Tabela1[[#This Row],[data]])</f>
        <v>2</v>
      </c>
      <c r="I10087">
        <f>YEAR(Tabela1[[#This Row],[data]])</f>
        <v>2026</v>
      </c>
    </row>
    <row r="10088" spans="1:9" x14ac:dyDescent="0.25">
      <c r="A10088" t="s">
        <v>6</v>
      </c>
      <c r="B10088" s="1">
        <v>46078</v>
      </c>
      <c r="C10088">
        <v>7</v>
      </c>
      <c r="D10088">
        <v>231.42</v>
      </c>
      <c r="E10088">
        <v>0</v>
      </c>
      <c r="F10088" t="s">
        <v>7</v>
      </c>
      <c r="G10088" t="s">
        <v>12</v>
      </c>
      <c r="H10088" s="5">
        <f>MONTH(Tabela1[[#This Row],[data]])</f>
        <v>2</v>
      </c>
      <c r="I10088">
        <f>YEAR(Tabela1[[#This Row],[data]])</f>
        <v>2026</v>
      </c>
    </row>
    <row r="10089" spans="1:9" x14ac:dyDescent="0.25">
      <c r="A10089" t="s">
        <v>6</v>
      </c>
      <c r="B10089" s="1">
        <v>46078</v>
      </c>
      <c r="C10089">
        <v>8</v>
      </c>
      <c r="D10089">
        <v>243.18</v>
      </c>
      <c r="E10089">
        <v>0</v>
      </c>
      <c r="F10089" t="s">
        <v>7</v>
      </c>
      <c r="G10089" t="s">
        <v>12</v>
      </c>
      <c r="H10089" s="5">
        <f>MONTH(Tabela1[[#This Row],[data]])</f>
        <v>2</v>
      </c>
      <c r="I10089">
        <f>YEAR(Tabela1[[#This Row],[data]])</f>
        <v>2026</v>
      </c>
    </row>
    <row r="10090" spans="1:9" x14ac:dyDescent="0.25">
      <c r="A10090" t="s">
        <v>6</v>
      </c>
      <c r="B10090" s="1">
        <v>46078</v>
      </c>
      <c r="C10090">
        <v>9</v>
      </c>
      <c r="D10090">
        <v>367.08</v>
      </c>
      <c r="E10090">
        <v>4.2</v>
      </c>
      <c r="F10090" t="s">
        <v>7</v>
      </c>
      <c r="G10090" t="s">
        <v>12</v>
      </c>
      <c r="H10090" s="5">
        <f>MONTH(Tabela1[[#This Row],[data]])</f>
        <v>2</v>
      </c>
      <c r="I10090">
        <f>YEAR(Tabela1[[#This Row],[data]])</f>
        <v>2026</v>
      </c>
    </row>
    <row r="10091" spans="1:9" x14ac:dyDescent="0.25">
      <c r="A10091" t="s">
        <v>6</v>
      </c>
      <c r="B10091" s="1">
        <v>46078</v>
      </c>
      <c r="C10091">
        <v>10</v>
      </c>
      <c r="D10091">
        <v>659.4</v>
      </c>
      <c r="E10091">
        <v>108.36</v>
      </c>
      <c r="F10091" t="s">
        <v>7</v>
      </c>
      <c r="G10091" t="s">
        <v>12</v>
      </c>
      <c r="H10091" s="5">
        <f>MONTH(Tabela1[[#This Row],[data]])</f>
        <v>2</v>
      </c>
      <c r="I10091">
        <f>YEAR(Tabela1[[#This Row],[data]])</f>
        <v>2026</v>
      </c>
    </row>
    <row r="10092" spans="1:9" x14ac:dyDescent="0.25">
      <c r="A10092" t="s">
        <v>6</v>
      </c>
      <c r="B10092" s="1">
        <v>46078</v>
      </c>
      <c r="C10092">
        <v>11</v>
      </c>
      <c r="D10092">
        <v>991.2</v>
      </c>
      <c r="E10092">
        <v>282.24</v>
      </c>
      <c r="F10092" t="s">
        <v>7</v>
      </c>
      <c r="G10092" t="s">
        <v>12</v>
      </c>
      <c r="H10092" s="5">
        <f>MONTH(Tabela1[[#This Row],[data]])</f>
        <v>2</v>
      </c>
      <c r="I10092">
        <f>YEAR(Tabela1[[#This Row],[data]])</f>
        <v>2026</v>
      </c>
    </row>
    <row r="10093" spans="1:9" x14ac:dyDescent="0.25">
      <c r="A10093" t="s">
        <v>6</v>
      </c>
      <c r="B10093" s="1">
        <v>46078</v>
      </c>
      <c r="C10093">
        <v>12</v>
      </c>
      <c r="D10093" s="2">
        <v>1027.74</v>
      </c>
      <c r="E10093">
        <v>299.88</v>
      </c>
      <c r="F10093" t="s">
        <v>7</v>
      </c>
      <c r="G10093" t="s">
        <v>12</v>
      </c>
      <c r="H10093" s="5">
        <f>MONTH(Tabela1[[#This Row],[data]])</f>
        <v>2</v>
      </c>
      <c r="I10093">
        <f>YEAR(Tabela1[[#This Row],[data]])</f>
        <v>2026</v>
      </c>
    </row>
    <row r="10094" spans="1:9" x14ac:dyDescent="0.25">
      <c r="A10094" t="s">
        <v>6</v>
      </c>
      <c r="B10094" s="1">
        <v>46078</v>
      </c>
      <c r="C10094">
        <v>13</v>
      </c>
      <c r="D10094" s="2">
        <v>1042.8599999999999</v>
      </c>
      <c r="E10094">
        <v>299.88</v>
      </c>
      <c r="F10094" t="s">
        <v>7</v>
      </c>
      <c r="G10094" t="s">
        <v>12</v>
      </c>
      <c r="H10094" s="5">
        <f>MONTH(Tabela1[[#This Row],[data]])</f>
        <v>2</v>
      </c>
      <c r="I10094">
        <f>YEAR(Tabela1[[#This Row],[data]])</f>
        <v>2026</v>
      </c>
    </row>
    <row r="10095" spans="1:9" x14ac:dyDescent="0.25">
      <c r="A10095" t="s">
        <v>6</v>
      </c>
      <c r="B10095" s="1">
        <v>46078</v>
      </c>
      <c r="C10095">
        <v>14</v>
      </c>
      <c r="D10095" s="2">
        <v>1064.28</v>
      </c>
      <c r="E10095">
        <v>282.66000000000003</v>
      </c>
      <c r="F10095" t="s">
        <v>7</v>
      </c>
      <c r="G10095" t="s">
        <v>12</v>
      </c>
      <c r="H10095" s="5">
        <f>MONTH(Tabela1[[#This Row],[data]])</f>
        <v>2</v>
      </c>
      <c r="I10095">
        <f>YEAR(Tabela1[[#This Row],[data]])</f>
        <v>2026</v>
      </c>
    </row>
    <row r="10096" spans="1:9" x14ac:dyDescent="0.25">
      <c r="A10096" t="s">
        <v>6</v>
      </c>
      <c r="B10096" s="1">
        <v>46078</v>
      </c>
      <c r="C10096">
        <v>15</v>
      </c>
      <c r="D10096" s="2">
        <v>1048.32</v>
      </c>
      <c r="E10096">
        <v>273.83999999999997</v>
      </c>
      <c r="F10096" t="s">
        <v>7</v>
      </c>
      <c r="G10096" t="s">
        <v>12</v>
      </c>
      <c r="H10096" s="5">
        <f>MONTH(Tabela1[[#This Row],[data]])</f>
        <v>2</v>
      </c>
      <c r="I10096">
        <f>YEAR(Tabela1[[#This Row],[data]])</f>
        <v>2026</v>
      </c>
    </row>
    <row r="10097" spans="1:9" x14ac:dyDescent="0.25">
      <c r="A10097" t="s">
        <v>6</v>
      </c>
      <c r="B10097" s="1">
        <v>46078</v>
      </c>
      <c r="C10097">
        <v>16</v>
      </c>
      <c r="D10097" s="2">
        <v>1044.96</v>
      </c>
      <c r="E10097">
        <v>269.64</v>
      </c>
      <c r="F10097" t="s">
        <v>7</v>
      </c>
      <c r="G10097" t="s">
        <v>12</v>
      </c>
      <c r="H10097" s="5">
        <f>MONTH(Tabela1[[#This Row],[data]])</f>
        <v>2</v>
      </c>
      <c r="I10097">
        <f>YEAR(Tabela1[[#This Row],[data]])</f>
        <v>2026</v>
      </c>
    </row>
    <row r="10098" spans="1:9" x14ac:dyDescent="0.25">
      <c r="A10098" t="s">
        <v>6</v>
      </c>
      <c r="B10098" s="1">
        <v>46078</v>
      </c>
      <c r="C10098">
        <v>17</v>
      </c>
      <c r="D10098" s="2">
        <v>1053.3599999999999</v>
      </c>
      <c r="E10098">
        <v>291.06</v>
      </c>
      <c r="F10098" t="s">
        <v>7</v>
      </c>
      <c r="G10098" t="s">
        <v>12</v>
      </c>
      <c r="H10098" s="5">
        <f>MONTH(Tabela1[[#This Row],[data]])</f>
        <v>2</v>
      </c>
      <c r="I10098">
        <f>YEAR(Tabela1[[#This Row],[data]])</f>
        <v>2026</v>
      </c>
    </row>
    <row r="10099" spans="1:9" x14ac:dyDescent="0.25">
      <c r="A10099" t="s">
        <v>6</v>
      </c>
      <c r="B10099" s="1">
        <v>46078</v>
      </c>
      <c r="C10099">
        <v>18</v>
      </c>
      <c r="D10099" s="2">
        <v>1039.92</v>
      </c>
      <c r="E10099">
        <v>284.33999999999997</v>
      </c>
      <c r="F10099" t="s">
        <v>7</v>
      </c>
      <c r="G10099" t="s">
        <v>12</v>
      </c>
      <c r="H10099" s="5">
        <f>MONTH(Tabela1[[#This Row],[data]])</f>
        <v>2</v>
      </c>
      <c r="I10099">
        <f>YEAR(Tabela1[[#This Row],[data]])</f>
        <v>2026</v>
      </c>
    </row>
    <row r="10100" spans="1:9" x14ac:dyDescent="0.25">
      <c r="A10100" t="s">
        <v>6</v>
      </c>
      <c r="B10100" s="1">
        <v>46078</v>
      </c>
      <c r="C10100">
        <v>19</v>
      </c>
      <c r="D10100">
        <v>967.68</v>
      </c>
      <c r="E10100">
        <v>243.6</v>
      </c>
      <c r="F10100" t="s">
        <v>7</v>
      </c>
      <c r="G10100" t="s">
        <v>12</v>
      </c>
      <c r="H10100" s="5">
        <f>MONTH(Tabela1[[#This Row],[data]])</f>
        <v>2</v>
      </c>
      <c r="I10100">
        <f>YEAR(Tabela1[[#This Row],[data]])</f>
        <v>2026</v>
      </c>
    </row>
    <row r="10101" spans="1:9" x14ac:dyDescent="0.25">
      <c r="A10101" t="s">
        <v>6</v>
      </c>
      <c r="B10101" s="1">
        <v>46078</v>
      </c>
      <c r="C10101">
        <v>20</v>
      </c>
      <c r="D10101">
        <v>947.1</v>
      </c>
      <c r="E10101">
        <v>239.4</v>
      </c>
      <c r="F10101" t="s">
        <v>7</v>
      </c>
      <c r="G10101" t="s">
        <v>12</v>
      </c>
      <c r="H10101" s="5">
        <f>MONTH(Tabela1[[#This Row],[data]])</f>
        <v>2</v>
      </c>
      <c r="I10101">
        <f>YEAR(Tabela1[[#This Row],[data]])</f>
        <v>2026</v>
      </c>
    </row>
    <row r="10102" spans="1:9" x14ac:dyDescent="0.25">
      <c r="A10102" t="s">
        <v>6</v>
      </c>
      <c r="B10102" s="1">
        <v>46078</v>
      </c>
      <c r="C10102">
        <v>21</v>
      </c>
      <c r="D10102">
        <v>935.76</v>
      </c>
      <c r="E10102">
        <v>238.56</v>
      </c>
      <c r="F10102" t="s">
        <v>7</v>
      </c>
      <c r="G10102" t="s">
        <v>12</v>
      </c>
      <c r="H10102" s="5">
        <f>MONTH(Tabela1[[#This Row],[data]])</f>
        <v>2</v>
      </c>
      <c r="I10102">
        <f>YEAR(Tabela1[[#This Row],[data]])</f>
        <v>2026</v>
      </c>
    </row>
    <row r="10103" spans="1:9" x14ac:dyDescent="0.25">
      <c r="A10103" t="s">
        <v>6</v>
      </c>
      <c r="B10103" s="1">
        <v>46078</v>
      </c>
      <c r="C10103">
        <v>22</v>
      </c>
      <c r="D10103">
        <v>766.92</v>
      </c>
      <c r="E10103">
        <v>159.6</v>
      </c>
      <c r="F10103" t="s">
        <v>7</v>
      </c>
      <c r="G10103" t="s">
        <v>12</v>
      </c>
      <c r="H10103" s="5">
        <f>MONTH(Tabela1[[#This Row],[data]])</f>
        <v>2</v>
      </c>
      <c r="I10103">
        <f>YEAR(Tabela1[[#This Row],[data]])</f>
        <v>2026</v>
      </c>
    </row>
    <row r="10104" spans="1:9" x14ac:dyDescent="0.25">
      <c r="A10104" t="s">
        <v>6</v>
      </c>
      <c r="B10104" s="1">
        <v>46078</v>
      </c>
      <c r="C10104">
        <v>23</v>
      </c>
      <c r="D10104">
        <v>357.42</v>
      </c>
      <c r="E10104">
        <v>1.68</v>
      </c>
      <c r="F10104" t="s">
        <v>7</v>
      </c>
      <c r="G10104" t="s">
        <v>12</v>
      </c>
      <c r="H10104" s="5">
        <f>MONTH(Tabela1[[#This Row],[data]])</f>
        <v>2</v>
      </c>
      <c r="I10104">
        <f>YEAR(Tabela1[[#This Row],[data]])</f>
        <v>2026</v>
      </c>
    </row>
    <row r="10105" spans="1:9" x14ac:dyDescent="0.25">
      <c r="A10105" t="s">
        <v>6</v>
      </c>
      <c r="B10105" s="1">
        <v>46078</v>
      </c>
      <c r="C10105">
        <v>24</v>
      </c>
      <c r="D10105">
        <v>265.86</v>
      </c>
      <c r="E10105">
        <v>0</v>
      </c>
      <c r="F10105" t="s">
        <v>7</v>
      </c>
      <c r="G10105" t="s">
        <v>12</v>
      </c>
      <c r="H10105" s="5">
        <f>MONTH(Tabela1[[#This Row],[data]])</f>
        <v>2</v>
      </c>
      <c r="I10105">
        <f>YEAR(Tabela1[[#This Row],[data]])</f>
        <v>2026</v>
      </c>
    </row>
    <row r="10106" spans="1:9" x14ac:dyDescent="0.25">
      <c r="A10106" t="s">
        <v>6</v>
      </c>
      <c r="B10106" s="1">
        <v>46079</v>
      </c>
      <c r="C10106">
        <v>1</v>
      </c>
      <c r="D10106">
        <v>225.54</v>
      </c>
      <c r="E10106">
        <v>0</v>
      </c>
      <c r="F10106" t="s">
        <v>7</v>
      </c>
      <c r="G10106" t="s">
        <v>12</v>
      </c>
      <c r="H10106" s="5">
        <f>MONTH(Tabela1[[#This Row],[data]])</f>
        <v>2</v>
      </c>
      <c r="I10106">
        <f>YEAR(Tabela1[[#This Row],[data]])</f>
        <v>2026</v>
      </c>
    </row>
    <row r="10107" spans="1:9" x14ac:dyDescent="0.25">
      <c r="A10107" t="s">
        <v>6</v>
      </c>
      <c r="B10107" s="1">
        <v>46079</v>
      </c>
      <c r="C10107">
        <v>2</v>
      </c>
      <c r="D10107">
        <v>223.86</v>
      </c>
      <c r="E10107">
        <v>0</v>
      </c>
      <c r="F10107" t="s">
        <v>7</v>
      </c>
      <c r="G10107" t="s">
        <v>12</v>
      </c>
      <c r="H10107" s="5">
        <f>MONTH(Tabela1[[#This Row],[data]])</f>
        <v>2</v>
      </c>
      <c r="I10107">
        <f>YEAR(Tabela1[[#This Row],[data]])</f>
        <v>2026</v>
      </c>
    </row>
    <row r="10108" spans="1:9" x14ac:dyDescent="0.25">
      <c r="A10108" t="s">
        <v>6</v>
      </c>
      <c r="B10108" s="1">
        <v>46079</v>
      </c>
      <c r="C10108">
        <v>3</v>
      </c>
      <c r="D10108">
        <v>217.14</v>
      </c>
      <c r="E10108">
        <v>0</v>
      </c>
      <c r="F10108" t="s">
        <v>7</v>
      </c>
      <c r="G10108" t="s">
        <v>12</v>
      </c>
      <c r="H10108" s="5">
        <f>MONTH(Tabela1[[#This Row],[data]])</f>
        <v>2</v>
      </c>
      <c r="I10108">
        <f>YEAR(Tabela1[[#This Row],[data]])</f>
        <v>2026</v>
      </c>
    </row>
    <row r="10109" spans="1:9" x14ac:dyDescent="0.25">
      <c r="A10109" t="s">
        <v>6</v>
      </c>
      <c r="B10109" s="1">
        <v>46079</v>
      </c>
      <c r="C10109">
        <v>4</v>
      </c>
      <c r="D10109">
        <v>217.56</v>
      </c>
      <c r="E10109">
        <v>0</v>
      </c>
      <c r="F10109" t="s">
        <v>7</v>
      </c>
      <c r="G10109" t="s">
        <v>12</v>
      </c>
      <c r="H10109" s="5">
        <f>MONTH(Tabela1[[#This Row],[data]])</f>
        <v>2</v>
      </c>
      <c r="I10109">
        <f>YEAR(Tabela1[[#This Row],[data]])</f>
        <v>2026</v>
      </c>
    </row>
    <row r="10110" spans="1:9" x14ac:dyDescent="0.25">
      <c r="A10110" t="s">
        <v>6</v>
      </c>
      <c r="B10110" s="1">
        <v>46079</v>
      </c>
      <c r="C10110">
        <v>5</v>
      </c>
      <c r="D10110">
        <v>217.14</v>
      </c>
      <c r="E10110">
        <v>0</v>
      </c>
      <c r="F10110" t="s">
        <v>7</v>
      </c>
      <c r="G10110" t="s">
        <v>12</v>
      </c>
      <c r="H10110" s="5">
        <f>MONTH(Tabela1[[#This Row],[data]])</f>
        <v>2</v>
      </c>
      <c r="I10110">
        <f>YEAR(Tabela1[[#This Row],[data]])</f>
        <v>2026</v>
      </c>
    </row>
    <row r="10111" spans="1:9" x14ac:dyDescent="0.25">
      <c r="A10111" t="s">
        <v>6</v>
      </c>
      <c r="B10111" s="1">
        <v>46079</v>
      </c>
      <c r="C10111">
        <v>6</v>
      </c>
      <c r="D10111">
        <v>214.2</v>
      </c>
      <c r="E10111">
        <v>0</v>
      </c>
      <c r="F10111" t="s">
        <v>7</v>
      </c>
      <c r="G10111" t="s">
        <v>12</v>
      </c>
      <c r="H10111" s="5">
        <f>MONTH(Tabela1[[#This Row],[data]])</f>
        <v>2</v>
      </c>
      <c r="I10111">
        <f>YEAR(Tabela1[[#This Row],[data]])</f>
        <v>2026</v>
      </c>
    </row>
    <row r="10112" spans="1:9" x14ac:dyDescent="0.25">
      <c r="A10112" t="s">
        <v>6</v>
      </c>
      <c r="B10112" s="1">
        <v>46079</v>
      </c>
      <c r="C10112">
        <v>7</v>
      </c>
      <c r="D10112">
        <v>232.68</v>
      </c>
      <c r="E10112">
        <v>0</v>
      </c>
      <c r="F10112" t="s">
        <v>7</v>
      </c>
      <c r="G10112" t="s">
        <v>12</v>
      </c>
      <c r="H10112" s="5">
        <f>MONTH(Tabela1[[#This Row],[data]])</f>
        <v>2</v>
      </c>
      <c r="I10112">
        <f>YEAR(Tabela1[[#This Row],[data]])</f>
        <v>2026</v>
      </c>
    </row>
    <row r="10113" spans="1:9" x14ac:dyDescent="0.25">
      <c r="A10113" t="s">
        <v>6</v>
      </c>
      <c r="B10113" s="1">
        <v>46079</v>
      </c>
      <c r="C10113">
        <v>8</v>
      </c>
      <c r="D10113">
        <v>294.83999999999997</v>
      </c>
      <c r="E10113">
        <v>0</v>
      </c>
      <c r="F10113" t="s">
        <v>7</v>
      </c>
      <c r="G10113" t="s">
        <v>12</v>
      </c>
      <c r="H10113" s="5">
        <f>MONTH(Tabela1[[#This Row],[data]])</f>
        <v>2</v>
      </c>
      <c r="I10113">
        <f>YEAR(Tabela1[[#This Row],[data]])</f>
        <v>2026</v>
      </c>
    </row>
    <row r="10114" spans="1:9" x14ac:dyDescent="0.25">
      <c r="A10114" t="s">
        <v>6</v>
      </c>
      <c r="B10114" s="1">
        <v>46079</v>
      </c>
      <c r="C10114">
        <v>9</v>
      </c>
      <c r="D10114">
        <v>368.76</v>
      </c>
      <c r="E10114">
        <v>0</v>
      </c>
      <c r="F10114" t="s">
        <v>7</v>
      </c>
      <c r="G10114" t="s">
        <v>12</v>
      </c>
      <c r="H10114" s="5">
        <f>MONTH(Tabela1[[#This Row],[data]])</f>
        <v>2</v>
      </c>
      <c r="I10114">
        <f>YEAR(Tabela1[[#This Row],[data]])</f>
        <v>2026</v>
      </c>
    </row>
    <row r="10115" spans="1:9" x14ac:dyDescent="0.25">
      <c r="A10115" t="s">
        <v>6</v>
      </c>
      <c r="B10115" s="1">
        <v>46079</v>
      </c>
      <c r="C10115">
        <v>10</v>
      </c>
      <c r="D10115">
        <v>559.86</v>
      </c>
      <c r="E10115">
        <v>76.02</v>
      </c>
      <c r="F10115" t="s">
        <v>7</v>
      </c>
      <c r="G10115" t="s">
        <v>12</v>
      </c>
      <c r="H10115" s="5">
        <f>MONTH(Tabela1[[#This Row],[data]])</f>
        <v>2</v>
      </c>
      <c r="I10115">
        <f>YEAR(Tabela1[[#This Row],[data]])</f>
        <v>2026</v>
      </c>
    </row>
    <row r="10116" spans="1:9" x14ac:dyDescent="0.25">
      <c r="A10116" t="s">
        <v>6</v>
      </c>
      <c r="B10116" s="1">
        <v>46079</v>
      </c>
      <c r="C10116">
        <v>11</v>
      </c>
      <c r="D10116" s="2">
        <v>1032.78</v>
      </c>
      <c r="E10116">
        <v>292.74</v>
      </c>
      <c r="F10116" t="s">
        <v>7</v>
      </c>
      <c r="G10116" t="s">
        <v>12</v>
      </c>
      <c r="H10116" s="5">
        <f>MONTH(Tabela1[[#This Row],[data]])</f>
        <v>2</v>
      </c>
      <c r="I10116">
        <f>YEAR(Tabela1[[#This Row],[data]])</f>
        <v>2026</v>
      </c>
    </row>
    <row r="10117" spans="1:9" x14ac:dyDescent="0.25">
      <c r="A10117" t="s">
        <v>6</v>
      </c>
      <c r="B10117" s="1">
        <v>46079</v>
      </c>
      <c r="C10117">
        <v>12</v>
      </c>
      <c r="D10117">
        <v>979.44</v>
      </c>
      <c r="E10117">
        <v>278.88</v>
      </c>
      <c r="F10117" t="s">
        <v>7</v>
      </c>
      <c r="G10117" t="s">
        <v>12</v>
      </c>
      <c r="H10117" s="5">
        <f>MONTH(Tabela1[[#This Row],[data]])</f>
        <v>2</v>
      </c>
      <c r="I10117">
        <f>YEAR(Tabela1[[#This Row],[data]])</f>
        <v>2026</v>
      </c>
    </row>
    <row r="10118" spans="1:9" x14ac:dyDescent="0.25">
      <c r="A10118" t="s">
        <v>6</v>
      </c>
      <c r="B10118" s="1">
        <v>46079</v>
      </c>
      <c r="C10118">
        <v>13</v>
      </c>
      <c r="D10118">
        <v>965.16</v>
      </c>
      <c r="E10118">
        <v>256.62</v>
      </c>
      <c r="F10118" t="s">
        <v>7</v>
      </c>
      <c r="G10118" t="s">
        <v>12</v>
      </c>
      <c r="H10118" s="5">
        <f>MONTH(Tabela1[[#This Row],[data]])</f>
        <v>2</v>
      </c>
      <c r="I10118">
        <f>YEAR(Tabela1[[#This Row],[data]])</f>
        <v>2026</v>
      </c>
    </row>
    <row r="10119" spans="1:9" x14ac:dyDescent="0.25">
      <c r="A10119" t="s">
        <v>6</v>
      </c>
      <c r="B10119" s="1">
        <v>46079</v>
      </c>
      <c r="C10119">
        <v>14</v>
      </c>
      <c r="D10119">
        <v>990.36</v>
      </c>
      <c r="E10119">
        <v>260.82</v>
      </c>
      <c r="F10119" t="s">
        <v>7</v>
      </c>
      <c r="G10119" t="s">
        <v>12</v>
      </c>
      <c r="H10119" s="5">
        <f>MONTH(Tabela1[[#This Row],[data]])</f>
        <v>2</v>
      </c>
      <c r="I10119">
        <f>YEAR(Tabela1[[#This Row],[data]])</f>
        <v>2026</v>
      </c>
    </row>
    <row r="10120" spans="1:9" x14ac:dyDescent="0.25">
      <c r="A10120" t="s">
        <v>6</v>
      </c>
      <c r="B10120" s="1">
        <v>46079</v>
      </c>
      <c r="C10120">
        <v>15</v>
      </c>
      <c r="D10120">
        <v>977.34</v>
      </c>
      <c r="E10120">
        <v>269.22000000000003</v>
      </c>
      <c r="F10120" t="s">
        <v>7</v>
      </c>
      <c r="G10120" t="s">
        <v>12</v>
      </c>
      <c r="H10120" s="5">
        <f>MONTH(Tabela1[[#This Row],[data]])</f>
        <v>2</v>
      </c>
      <c r="I10120">
        <f>YEAR(Tabela1[[#This Row],[data]])</f>
        <v>2026</v>
      </c>
    </row>
    <row r="10121" spans="1:9" x14ac:dyDescent="0.25">
      <c r="A10121" t="s">
        <v>6</v>
      </c>
      <c r="B10121" s="1">
        <v>46079</v>
      </c>
      <c r="C10121">
        <v>16</v>
      </c>
      <c r="D10121">
        <v>981.54</v>
      </c>
      <c r="E10121">
        <v>262.08</v>
      </c>
      <c r="F10121" t="s">
        <v>7</v>
      </c>
      <c r="G10121" t="s">
        <v>12</v>
      </c>
      <c r="H10121" s="5">
        <f>MONTH(Tabela1[[#This Row],[data]])</f>
        <v>2</v>
      </c>
      <c r="I10121">
        <f>YEAR(Tabela1[[#This Row],[data]])</f>
        <v>2026</v>
      </c>
    </row>
    <row r="10122" spans="1:9" x14ac:dyDescent="0.25">
      <c r="A10122" t="s">
        <v>6</v>
      </c>
      <c r="B10122" s="1">
        <v>46079</v>
      </c>
      <c r="C10122">
        <v>17</v>
      </c>
      <c r="D10122">
        <v>972.72</v>
      </c>
      <c r="E10122">
        <v>251.58</v>
      </c>
      <c r="F10122" t="s">
        <v>7</v>
      </c>
      <c r="G10122" t="s">
        <v>12</v>
      </c>
      <c r="H10122" s="5">
        <f>MONTH(Tabela1[[#This Row],[data]])</f>
        <v>2</v>
      </c>
      <c r="I10122">
        <f>YEAR(Tabela1[[#This Row],[data]])</f>
        <v>2026</v>
      </c>
    </row>
    <row r="10123" spans="1:9" x14ac:dyDescent="0.25">
      <c r="A10123" t="s">
        <v>6</v>
      </c>
      <c r="B10123" s="1">
        <v>46079</v>
      </c>
      <c r="C10123">
        <v>18</v>
      </c>
      <c r="D10123">
        <v>943.32</v>
      </c>
      <c r="E10123">
        <v>238.56</v>
      </c>
      <c r="F10123" t="s">
        <v>7</v>
      </c>
      <c r="G10123" t="s">
        <v>12</v>
      </c>
      <c r="H10123" s="5">
        <f>MONTH(Tabela1[[#This Row],[data]])</f>
        <v>2</v>
      </c>
      <c r="I10123">
        <f>YEAR(Tabela1[[#This Row],[data]])</f>
        <v>2026</v>
      </c>
    </row>
    <row r="10124" spans="1:9" x14ac:dyDescent="0.25">
      <c r="A10124" t="s">
        <v>6</v>
      </c>
      <c r="B10124" s="1">
        <v>46079</v>
      </c>
      <c r="C10124">
        <v>19</v>
      </c>
      <c r="D10124">
        <v>908.04</v>
      </c>
      <c r="E10124">
        <v>222.18</v>
      </c>
      <c r="F10124" t="s">
        <v>7</v>
      </c>
      <c r="G10124" t="s">
        <v>12</v>
      </c>
      <c r="H10124" s="5">
        <f>MONTH(Tabela1[[#This Row],[data]])</f>
        <v>2</v>
      </c>
      <c r="I10124">
        <f>YEAR(Tabela1[[#This Row],[data]])</f>
        <v>2026</v>
      </c>
    </row>
    <row r="10125" spans="1:9" x14ac:dyDescent="0.25">
      <c r="A10125" t="s">
        <v>6</v>
      </c>
      <c r="B10125" s="1">
        <v>46079</v>
      </c>
      <c r="C10125">
        <v>20</v>
      </c>
      <c r="D10125">
        <v>884.1</v>
      </c>
      <c r="E10125">
        <v>193.2</v>
      </c>
      <c r="F10125" t="s">
        <v>7</v>
      </c>
      <c r="G10125" t="s">
        <v>12</v>
      </c>
      <c r="H10125" s="5">
        <f>MONTH(Tabela1[[#This Row],[data]])</f>
        <v>2</v>
      </c>
      <c r="I10125">
        <f>YEAR(Tabela1[[#This Row],[data]])</f>
        <v>2026</v>
      </c>
    </row>
    <row r="10126" spans="1:9" x14ac:dyDescent="0.25">
      <c r="A10126" t="s">
        <v>6</v>
      </c>
      <c r="B10126" s="1">
        <v>46079</v>
      </c>
      <c r="C10126">
        <v>21</v>
      </c>
      <c r="D10126">
        <v>839.58</v>
      </c>
      <c r="E10126">
        <v>183.12</v>
      </c>
      <c r="F10126" t="s">
        <v>7</v>
      </c>
      <c r="G10126" t="s">
        <v>12</v>
      </c>
      <c r="H10126" s="5">
        <f>MONTH(Tabela1[[#This Row],[data]])</f>
        <v>2</v>
      </c>
      <c r="I10126">
        <f>YEAR(Tabela1[[#This Row],[data]])</f>
        <v>2026</v>
      </c>
    </row>
    <row r="10127" spans="1:9" x14ac:dyDescent="0.25">
      <c r="A10127" t="s">
        <v>6</v>
      </c>
      <c r="B10127" s="1">
        <v>46079</v>
      </c>
      <c r="C10127">
        <v>22</v>
      </c>
      <c r="D10127">
        <v>698.88</v>
      </c>
      <c r="E10127">
        <v>117.6</v>
      </c>
      <c r="F10127" t="s">
        <v>7</v>
      </c>
      <c r="G10127" t="s">
        <v>12</v>
      </c>
      <c r="H10127" s="5">
        <f>MONTH(Tabela1[[#This Row],[data]])</f>
        <v>2</v>
      </c>
      <c r="I10127">
        <f>YEAR(Tabela1[[#This Row],[data]])</f>
        <v>2026</v>
      </c>
    </row>
    <row r="10128" spans="1:9" x14ac:dyDescent="0.25">
      <c r="A10128" t="s">
        <v>6</v>
      </c>
      <c r="B10128" s="1">
        <v>46079</v>
      </c>
      <c r="C10128">
        <v>23</v>
      </c>
      <c r="D10128">
        <v>340.2</v>
      </c>
      <c r="E10128">
        <v>0</v>
      </c>
      <c r="F10128" t="s">
        <v>7</v>
      </c>
      <c r="G10128" t="s">
        <v>12</v>
      </c>
      <c r="H10128" s="5">
        <f>MONTH(Tabela1[[#This Row],[data]])</f>
        <v>2</v>
      </c>
      <c r="I10128">
        <f>YEAR(Tabela1[[#This Row],[data]])</f>
        <v>2026</v>
      </c>
    </row>
    <row r="10129" spans="1:9" x14ac:dyDescent="0.25">
      <c r="A10129" t="s">
        <v>6</v>
      </c>
      <c r="B10129" s="1">
        <v>46079</v>
      </c>
      <c r="C10129">
        <v>24</v>
      </c>
      <c r="D10129">
        <v>261.66000000000003</v>
      </c>
      <c r="E10129">
        <v>0</v>
      </c>
      <c r="F10129" t="s">
        <v>7</v>
      </c>
      <c r="G10129" t="s">
        <v>12</v>
      </c>
      <c r="H10129" s="5">
        <f>MONTH(Tabela1[[#This Row],[data]])</f>
        <v>2</v>
      </c>
      <c r="I10129">
        <f>YEAR(Tabela1[[#This Row],[data]])</f>
        <v>2026</v>
      </c>
    </row>
    <row r="10130" spans="1:9" x14ac:dyDescent="0.25">
      <c r="A10130" t="s">
        <v>6</v>
      </c>
      <c r="B10130" s="1">
        <v>46080</v>
      </c>
      <c r="C10130">
        <v>1</v>
      </c>
      <c r="D10130">
        <v>233.52</v>
      </c>
      <c r="E10130">
        <v>0</v>
      </c>
      <c r="F10130" t="s">
        <v>7</v>
      </c>
      <c r="G10130" t="s">
        <v>11</v>
      </c>
      <c r="H10130" s="5">
        <f>MONTH(Tabela1[[#This Row],[data]])</f>
        <v>2</v>
      </c>
      <c r="I10130">
        <f>YEAR(Tabela1[[#This Row],[data]])</f>
        <v>2026</v>
      </c>
    </row>
    <row r="10131" spans="1:9" x14ac:dyDescent="0.25">
      <c r="A10131" t="s">
        <v>6</v>
      </c>
      <c r="B10131" s="1">
        <v>46080</v>
      </c>
      <c r="C10131">
        <v>2</v>
      </c>
      <c r="D10131">
        <v>223.02</v>
      </c>
      <c r="E10131">
        <v>0</v>
      </c>
      <c r="F10131" t="s">
        <v>7</v>
      </c>
      <c r="G10131" t="s">
        <v>11</v>
      </c>
      <c r="H10131" s="5">
        <f>MONTH(Tabela1[[#This Row],[data]])</f>
        <v>2</v>
      </c>
      <c r="I10131">
        <f>YEAR(Tabela1[[#This Row],[data]])</f>
        <v>2026</v>
      </c>
    </row>
    <row r="10132" spans="1:9" x14ac:dyDescent="0.25">
      <c r="A10132" t="s">
        <v>6</v>
      </c>
      <c r="B10132" s="1">
        <v>46080</v>
      </c>
      <c r="C10132">
        <v>3</v>
      </c>
      <c r="D10132">
        <v>221.34</v>
      </c>
      <c r="E10132">
        <v>0</v>
      </c>
      <c r="F10132" t="s">
        <v>7</v>
      </c>
      <c r="G10132" t="s">
        <v>11</v>
      </c>
      <c r="H10132" s="5">
        <f>MONTH(Tabela1[[#This Row],[data]])</f>
        <v>2</v>
      </c>
      <c r="I10132">
        <f>YEAR(Tabela1[[#This Row],[data]])</f>
        <v>2026</v>
      </c>
    </row>
    <row r="10133" spans="1:9" x14ac:dyDescent="0.25">
      <c r="A10133" t="s">
        <v>6</v>
      </c>
      <c r="B10133" s="1">
        <v>46080</v>
      </c>
      <c r="C10133">
        <v>4</v>
      </c>
      <c r="D10133">
        <v>217.14</v>
      </c>
      <c r="E10133">
        <v>0</v>
      </c>
      <c r="F10133" t="s">
        <v>7</v>
      </c>
      <c r="G10133" t="s">
        <v>11</v>
      </c>
      <c r="H10133" s="5">
        <f>MONTH(Tabela1[[#This Row],[data]])</f>
        <v>2</v>
      </c>
      <c r="I10133">
        <f>YEAR(Tabela1[[#This Row],[data]])</f>
        <v>2026</v>
      </c>
    </row>
    <row r="10134" spans="1:9" x14ac:dyDescent="0.25">
      <c r="A10134" t="s">
        <v>6</v>
      </c>
      <c r="B10134" s="1">
        <v>46080</v>
      </c>
      <c r="C10134">
        <v>5</v>
      </c>
      <c r="D10134">
        <v>214.62</v>
      </c>
      <c r="E10134">
        <v>0</v>
      </c>
      <c r="F10134" t="s">
        <v>7</v>
      </c>
      <c r="G10134" t="s">
        <v>11</v>
      </c>
      <c r="H10134" s="5">
        <f>MONTH(Tabela1[[#This Row],[data]])</f>
        <v>2</v>
      </c>
      <c r="I10134">
        <f>YEAR(Tabela1[[#This Row],[data]])</f>
        <v>2026</v>
      </c>
    </row>
    <row r="10135" spans="1:9" x14ac:dyDescent="0.25">
      <c r="A10135" t="s">
        <v>6</v>
      </c>
      <c r="B10135" s="1">
        <v>46080</v>
      </c>
      <c r="C10135">
        <v>6</v>
      </c>
      <c r="D10135">
        <v>213.36</v>
      </c>
      <c r="E10135">
        <v>0</v>
      </c>
      <c r="F10135" t="s">
        <v>7</v>
      </c>
      <c r="G10135" t="s">
        <v>11</v>
      </c>
      <c r="H10135" s="5">
        <f>MONTH(Tabela1[[#This Row],[data]])</f>
        <v>2</v>
      </c>
      <c r="I10135">
        <f>YEAR(Tabela1[[#This Row],[data]])</f>
        <v>2026</v>
      </c>
    </row>
    <row r="10136" spans="1:9" x14ac:dyDescent="0.25">
      <c r="A10136" t="s">
        <v>6</v>
      </c>
      <c r="B10136" s="1">
        <v>46080</v>
      </c>
      <c r="C10136">
        <v>7</v>
      </c>
      <c r="D10136">
        <v>202.86</v>
      </c>
      <c r="E10136">
        <v>0</v>
      </c>
      <c r="F10136" t="s">
        <v>7</v>
      </c>
      <c r="G10136" t="s">
        <v>11</v>
      </c>
      <c r="H10136" s="5">
        <f>MONTH(Tabela1[[#This Row],[data]])</f>
        <v>2</v>
      </c>
      <c r="I10136">
        <f>YEAR(Tabela1[[#This Row],[data]])</f>
        <v>2026</v>
      </c>
    </row>
    <row r="10137" spans="1:9" x14ac:dyDescent="0.25">
      <c r="A10137" t="s">
        <v>6</v>
      </c>
      <c r="B10137" s="1">
        <v>46080</v>
      </c>
      <c r="C10137">
        <v>8</v>
      </c>
      <c r="D10137">
        <v>236.46</v>
      </c>
      <c r="E10137">
        <v>0</v>
      </c>
      <c r="F10137" t="s">
        <v>7</v>
      </c>
      <c r="G10137" t="s">
        <v>11</v>
      </c>
      <c r="H10137" s="5">
        <f>MONTH(Tabela1[[#This Row],[data]])</f>
        <v>2</v>
      </c>
      <c r="I10137">
        <f>YEAR(Tabela1[[#This Row],[data]])</f>
        <v>2026</v>
      </c>
    </row>
    <row r="10138" spans="1:9" x14ac:dyDescent="0.25">
      <c r="A10138" t="s">
        <v>6</v>
      </c>
      <c r="B10138" s="1">
        <v>46080</v>
      </c>
      <c r="C10138">
        <v>9</v>
      </c>
      <c r="D10138">
        <v>342.72</v>
      </c>
      <c r="E10138">
        <v>0</v>
      </c>
      <c r="F10138" t="s">
        <v>7</v>
      </c>
      <c r="G10138" t="s">
        <v>11</v>
      </c>
      <c r="H10138" s="5">
        <f>MONTH(Tabela1[[#This Row],[data]])</f>
        <v>2</v>
      </c>
      <c r="I10138">
        <f>YEAR(Tabela1[[#This Row],[data]])</f>
        <v>2026</v>
      </c>
    </row>
    <row r="10139" spans="1:9" x14ac:dyDescent="0.25">
      <c r="A10139" t="s">
        <v>6</v>
      </c>
      <c r="B10139" s="1">
        <v>46080</v>
      </c>
      <c r="C10139">
        <v>10</v>
      </c>
      <c r="D10139">
        <v>511.14</v>
      </c>
      <c r="E10139">
        <v>47.04</v>
      </c>
      <c r="F10139" t="s">
        <v>7</v>
      </c>
      <c r="G10139" t="s">
        <v>11</v>
      </c>
      <c r="H10139" s="5">
        <f>MONTH(Tabela1[[#This Row],[data]])</f>
        <v>2</v>
      </c>
      <c r="I10139">
        <f>YEAR(Tabela1[[#This Row],[data]])</f>
        <v>2026</v>
      </c>
    </row>
    <row r="10140" spans="1:9" x14ac:dyDescent="0.25">
      <c r="A10140" t="s">
        <v>6</v>
      </c>
      <c r="B10140" s="1">
        <v>46080</v>
      </c>
      <c r="C10140">
        <v>11</v>
      </c>
      <c r="D10140">
        <v>847.56</v>
      </c>
      <c r="E10140">
        <v>224.7</v>
      </c>
      <c r="F10140" t="s">
        <v>7</v>
      </c>
      <c r="G10140" t="s">
        <v>11</v>
      </c>
      <c r="H10140" s="5">
        <f>MONTH(Tabela1[[#This Row],[data]])</f>
        <v>2</v>
      </c>
      <c r="I10140">
        <f>YEAR(Tabela1[[#This Row],[data]])</f>
        <v>2026</v>
      </c>
    </row>
    <row r="10141" spans="1:9" x14ac:dyDescent="0.25">
      <c r="A10141" t="s">
        <v>6</v>
      </c>
      <c r="B10141" s="1">
        <v>46080</v>
      </c>
      <c r="C10141">
        <v>12</v>
      </c>
      <c r="D10141">
        <v>809.34</v>
      </c>
      <c r="E10141">
        <v>200.76</v>
      </c>
      <c r="F10141" t="s">
        <v>7</v>
      </c>
      <c r="G10141" t="s">
        <v>11</v>
      </c>
      <c r="H10141" s="5">
        <f>MONTH(Tabela1[[#This Row],[data]])</f>
        <v>2</v>
      </c>
      <c r="I10141">
        <f>YEAR(Tabela1[[#This Row],[data]])</f>
        <v>2026</v>
      </c>
    </row>
    <row r="10142" spans="1:9" x14ac:dyDescent="0.25">
      <c r="A10142" t="s">
        <v>6</v>
      </c>
      <c r="B10142" s="1">
        <v>46080</v>
      </c>
      <c r="C10142">
        <v>13</v>
      </c>
      <c r="D10142">
        <v>816.06</v>
      </c>
      <c r="E10142">
        <v>186.48</v>
      </c>
      <c r="F10142" t="s">
        <v>7</v>
      </c>
      <c r="G10142" t="s">
        <v>11</v>
      </c>
      <c r="H10142" s="5">
        <f>MONTH(Tabela1[[#This Row],[data]])</f>
        <v>2</v>
      </c>
      <c r="I10142">
        <f>YEAR(Tabela1[[#This Row],[data]])</f>
        <v>2026</v>
      </c>
    </row>
    <row r="10143" spans="1:9" x14ac:dyDescent="0.25">
      <c r="A10143" t="s">
        <v>6</v>
      </c>
      <c r="B10143" s="1">
        <v>46080</v>
      </c>
      <c r="C10143">
        <v>14</v>
      </c>
      <c r="D10143">
        <v>817.74</v>
      </c>
      <c r="E10143">
        <v>161.28</v>
      </c>
      <c r="F10143" t="s">
        <v>7</v>
      </c>
      <c r="G10143" t="s">
        <v>11</v>
      </c>
      <c r="H10143" s="5">
        <f>MONTH(Tabela1[[#This Row],[data]])</f>
        <v>2</v>
      </c>
      <c r="I10143">
        <f>YEAR(Tabela1[[#This Row],[data]])</f>
        <v>2026</v>
      </c>
    </row>
    <row r="10144" spans="1:9" x14ac:dyDescent="0.25">
      <c r="A10144" t="s">
        <v>6</v>
      </c>
      <c r="B10144" s="1">
        <v>46080</v>
      </c>
      <c r="C10144">
        <v>15</v>
      </c>
      <c r="D10144">
        <v>832.02</v>
      </c>
      <c r="E10144">
        <v>164.64</v>
      </c>
      <c r="F10144" t="s">
        <v>7</v>
      </c>
      <c r="G10144" t="s">
        <v>11</v>
      </c>
      <c r="H10144" s="5">
        <f>MONTH(Tabela1[[#This Row],[data]])</f>
        <v>2</v>
      </c>
      <c r="I10144">
        <f>YEAR(Tabela1[[#This Row],[data]])</f>
        <v>2026</v>
      </c>
    </row>
    <row r="10145" spans="1:9" x14ac:dyDescent="0.25">
      <c r="A10145" t="s">
        <v>6</v>
      </c>
      <c r="B10145" s="1">
        <v>46080</v>
      </c>
      <c r="C10145">
        <v>16</v>
      </c>
      <c r="D10145">
        <v>823.62</v>
      </c>
      <c r="E10145">
        <v>173.46</v>
      </c>
      <c r="F10145" t="s">
        <v>7</v>
      </c>
      <c r="G10145" t="s">
        <v>11</v>
      </c>
      <c r="H10145" s="5">
        <f>MONTH(Tabela1[[#This Row],[data]])</f>
        <v>2</v>
      </c>
      <c r="I10145">
        <f>YEAR(Tabela1[[#This Row],[data]])</f>
        <v>2026</v>
      </c>
    </row>
    <row r="10146" spans="1:9" x14ac:dyDescent="0.25">
      <c r="A10146" t="s">
        <v>6</v>
      </c>
      <c r="B10146" s="1">
        <v>46080</v>
      </c>
      <c r="C10146">
        <v>17</v>
      </c>
      <c r="D10146">
        <v>807.24</v>
      </c>
      <c r="E10146">
        <v>181.86</v>
      </c>
      <c r="F10146" t="s">
        <v>7</v>
      </c>
      <c r="G10146" t="s">
        <v>11</v>
      </c>
      <c r="H10146" s="5">
        <f>MONTH(Tabela1[[#This Row],[data]])</f>
        <v>2</v>
      </c>
      <c r="I10146">
        <f>YEAR(Tabela1[[#This Row],[data]])</f>
        <v>2026</v>
      </c>
    </row>
    <row r="10147" spans="1:9" x14ac:dyDescent="0.25">
      <c r="A10147" t="s">
        <v>6</v>
      </c>
      <c r="B10147" s="1">
        <v>46080</v>
      </c>
      <c r="C10147">
        <v>18</v>
      </c>
      <c r="D10147">
        <v>832.44</v>
      </c>
      <c r="E10147">
        <v>178.92</v>
      </c>
      <c r="F10147" t="s">
        <v>7</v>
      </c>
      <c r="G10147" t="s">
        <v>11</v>
      </c>
      <c r="H10147" s="5">
        <f>MONTH(Tabela1[[#This Row],[data]])</f>
        <v>2</v>
      </c>
      <c r="I10147">
        <f>YEAR(Tabela1[[#This Row],[data]])</f>
        <v>2026</v>
      </c>
    </row>
    <row r="10148" spans="1:9" x14ac:dyDescent="0.25">
      <c r="A10148" t="s">
        <v>6</v>
      </c>
      <c r="B10148" s="1">
        <v>46080</v>
      </c>
      <c r="C10148">
        <v>19</v>
      </c>
      <c r="D10148">
        <v>788.34</v>
      </c>
      <c r="E10148">
        <v>148.68</v>
      </c>
      <c r="F10148" t="s">
        <v>7</v>
      </c>
      <c r="G10148" t="s">
        <v>11</v>
      </c>
      <c r="H10148" s="5">
        <f>MONTH(Tabela1[[#This Row],[data]])</f>
        <v>2</v>
      </c>
      <c r="I10148">
        <f>YEAR(Tabela1[[#This Row],[data]])</f>
        <v>2026</v>
      </c>
    </row>
    <row r="10149" spans="1:9" x14ac:dyDescent="0.25">
      <c r="A10149" t="s">
        <v>6</v>
      </c>
      <c r="B10149" s="1">
        <v>46080</v>
      </c>
      <c r="C10149">
        <v>20</v>
      </c>
      <c r="D10149">
        <v>773.22</v>
      </c>
      <c r="E10149">
        <v>137.34</v>
      </c>
      <c r="F10149" t="s">
        <v>7</v>
      </c>
      <c r="G10149" t="s">
        <v>11</v>
      </c>
      <c r="H10149" s="5">
        <f>MONTH(Tabela1[[#This Row],[data]])</f>
        <v>2</v>
      </c>
      <c r="I10149">
        <f>YEAR(Tabela1[[#This Row],[data]])</f>
        <v>2026</v>
      </c>
    </row>
    <row r="10150" spans="1:9" x14ac:dyDescent="0.25">
      <c r="A10150" t="s">
        <v>6</v>
      </c>
      <c r="B10150" s="1">
        <v>46080</v>
      </c>
      <c r="C10150">
        <v>21</v>
      </c>
      <c r="D10150">
        <v>781.2</v>
      </c>
      <c r="E10150">
        <v>144.47999999999999</v>
      </c>
      <c r="F10150" t="s">
        <v>7</v>
      </c>
      <c r="G10150" t="s">
        <v>11</v>
      </c>
      <c r="H10150" s="5">
        <f>MONTH(Tabela1[[#This Row],[data]])</f>
        <v>2</v>
      </c>
      <c r="I10150">
        <f>YEAR(Tabela1[[#This Row],[data]])</f>
        <v>2026</v>
      </c>
    </row>
    <row r="10151" spans="1:9" x14ac:dyDescent="0.25">
      <c r="A10151" t="s">
        <v>6</v>
      </c>
      <c r="B10151" s="1">
        <v>46080</v>
      </c>
      <c r="C10151">
        <v>22</v>
      </c>
      <c r="D10151">
        <v>753.06</v>
      </c>
      <c r="E10151">
        <v>134.4</v>
      </c>
      <c r="F10151" t="s">
        <v>7</v>
      </c>
      <c r="G10151" t="s">
        <v>11</v>
      </c>
      <c r="H10151" s="5">
        <f>MONTH(Tabela1[[#This Row],[data]])</f>
        <v>2</v>
      </c>
      <c r="I10151">
        <f>YEAR(Tabela1[[#This Row],[data]])</f>
        <v>2026</v>
      </c>
    </row>
    <row r="10152" spans="1:9" x14ac:dyDescent="0.25">
      <c r="A10152" t="s">
        <v>6</v>
      </c>
      <c r="B10152" s="1">
        <v>46080</v>
      </c>
      <c r="C10152">
        <v>23</v>
      </c>
      <c r="D10152">
        <v>420.84</v>
      </c>
      <c r="E10152">
        <v>21</v>
      </c>
      <c r="F10152" t="s">
        <v>7</v>
      </c>
      <c r="G10152" t="s">
        <v>11</v>
      </c>
      <c r="H10152" s="5">
        <f>MONTH(Tabela1[[#This Row],[data]])</f>
        <v>2</v>
      </c>
      <c r="I10152">
        <f>YEAR(Tabela1[[#This Row],[data]])</f>
        <v>2026</v>
      </c>
    </row>
    <row r="10153" spans="1:9" x14ac:dyDescent="0.25">
      <c r="A10153" t="s">
        <v>6</v>
      </c>
      <c r="B10153" s="1">
        <v>46080</v>
      </c>
      <c r="C10153">
        <v>24</v>
      </c>
      <c r="D10153">
        <v>267.12</v>
      </c>
      <c r="E10153">
        <v>0</v>
      </c>
      <c r="F10153" t="s">
        <v>7</v>
      </c>
      <c r="G10153" t="s">
        <v>11</v>
      </c>
      <c r="H10153" s="5">
        <f>MONTH(Tabela1[[#This Row],[data]])</f>
        <v>2</v>
      </c>
      <c r="I10153">
        <f>YEAR(Tabela1[[#This Row],[data]])</f>
        <v>2026</v>
      </c>
    </row>
    <row r="10154" spans="1:9" x14ac:dyDescent="0.25">
      <c r="A10154" t="s">
        <v>6</v>
      </c>
      <c r="B10154" s="1">
        <v>46081</v>
      </c>
      <c r="C10154">
        <v>1</v>
      </c>
      <c r="D10154">
        <v>223.86</v>
      </c>
      <c r="E10154">
        <v>0</v>
      </c>
      <c r="F10154" t="s">
        <v>7</v>
      </c>
      <c r="G10154" t="s">
        <v>11</v>
      </c>
      <c r="H10154" s="5">
        <f>MONTH(Tabela1[[#This Row],[data]])</f>
        <v>2</v>
      </c>
      <c r="I10154">
        <f>YEAR(Tabela1[[#This Row],[data]])</f>
        <v>2026</v>
      </c>
    </row>
    <row r="10155" spans="1:9" x14ac:dyDescent="0.25">
      <c r="A10155" t="s">
        <v>6</v>
      </c>
      <c r="B10155" s="1">
        <v>46081</v>
      </c>
      <c r="C10155">
        <v>2</v>
      </c>
      <c r="D10155">
        <v>217.56</v>
      </c>
      <c r="E10155">
        <v>0</v>
      </c>
      <c r="F10155" t="s">
        <v>7</v>
      </c>
      <c r="G10155" t="s">
        <v>11</v>
      </c>
      <c r="H10155" s="5">
        <f>MONTH(Tabela1[[#This Row],[data]])</f>
        <v>2</v>
      </c>
      <c r="I10155">
        <f>YEAR(Tabela1[[#This Row],[data]])</f>
        <v>2026</v>
      </c>
    </row>
    <row r="10156" spans="1:9" x14ac:dyDescent="0.25">
      <c r="A10156" t="s">
        <v>6</v>
      </c>
      <c r="B10156" s="1">
        <v>46081</v>
      </c>
      <c r="C10156">
        <v>3</v>
      </c>
      <c r="D10156">
        <v>214.62</v>
      </c>
      <c r="E10156">
        <v>0</v>
      </c>
      <c r="F10156" t="s">
        <v>7</v>
      </c>
      <c r="G10156" t="s">
        <v>11</v>
      </c>
      <c r="H10156" s="5">
        <f>MONTH(Tabela1[[#This Row],[data]])</f>
        <v>2</v>
      </c>
      <c r="I10156">
        <f>YEAR(Tabela1[[#This Row],[data]])</f>
        <v>2026</v>
      </c>
    </row>
    <row r="10157" spans="1:9" x14ac:dyDescent="0.25">
      <c r="A10157" t="s">
        <v>6</v>
      </c>
      <c r="B10157" s="1">
        <v>46081</v>
      </c>
      <c r="C10157">
        <v>4</v>
      </c>
      <c r="D10157">
        <v>212.1</v>
      </c>
      <c r="E10157">
        <v>0</v>
      </c>
      <c r="F10157" t="s">
        <v>7</v>
      </c>
      <c r="G10157" t="s">
        <v>11</v>
      </c>
      <c r="H10157" s="5">
        <f>MONTH(Tabela1[[#This Row],[data]])</f>
        <v>2</v>
      </c>
      <c r="I10157">
        <f>YEAR(Tabela1[[#This Row],[data]])</f>
        <v>2026</v>
      </c>
    </row>
    <row r="10158" spans="1:9" x14ac:dyDescent="0.25">
      <c r="A10158" t="s">
        <v>6</v>
      </c>
      <c r="B10158" s="1">
        <v>46081</v>
      </c>
      <c r="C10158">
        <v>5</v>
      </c>
      <c r="D10158">
        <v>217.56</v>
      </c>
      <c r="E10158">
        <v>0</v>
      </c>
      <c r="F10158" t="s">
        <v>7</v>
      </c>
      <c r="G10158" t="s">
        <v>11</v>
      </c>
      <c r="H10158" s="5">
        <f>MONTH(Tabela1[[#This Row],[data]])</f>
        <v>2</v>
      </c>
      <c r="I10158">
        <f>YEAR(Tabela1[[#This Row],[data]])</f>
        <v>2026</v>
      </c>
    </row>
    <row r="10159" spans="1:9" x14ac:dyDescent="0.25">
      <c r="A10159" t="s">
        <v>6</v>
      </c>
      <c r="B10159" s="1">
        <v>46081</v>
      </c>
      <c r="C10159">
        <v>6</v>
      </c>
      <c r="D10159">
        <v>212.52</v>
      </c>
      <c r="E10159">
        <v>0</v>
      </c>
      <c r="F10159" t="s">
        <v>7</v>
      </c>
      <c r="G10159" t="s">
        <v>11</v>
      </c>
      <c r="H10159" s="5">
        <f>MONTH(Tabela1[[#This Row],[data]])</f>
        <v>2</v>
      </c>
      <c r="I10159">
        <f>YEAR(Tabela1[[#This Row],[data]])</f>
        <v>2026</v>
      </c>
    </row>
    <row r="10160" spans="1:9" x14ac:dyDescent="0.25">
      <c r="A10160" t="s">
        <v>6</v>
      </c>
      <c r="B10160" s="1">
        <v>46081</v>
      </c>
      <c r="C10160">
        <v>7</v>
      </c>
      <c r="D10160">
        <v>219.66</v>
      </c>
      <c r="E10160">
        <v>0</v>
      </c>
      <c r="F10160" t="s">
        <v>7</v>
      </c>
      <c r="G10160" t="s">
        <v>11</v>
      </c>
      <c r="H10160" s="5">
        <f>MONTH(Tabela1[[#This Row],[data]])</f>
        <v>2</v>
      </c>
      <c r="I10160">
        <f>YEAR(Tabela1[[#This Row],[data]])</f>
        <v>2026</v>
      </c>
    </row>
    <row r="10161" spans="1:9" x14ac:dyDescent="0.25">
      <c r="A10161" t="s">
        <v>6</v>
      </c>
      <c r="B10161" s="1">
        <v>46081</v>
      </c>
      <c r="C10161">
        <v>8</v>
      </c>
      <c r="D10161">
        <v>243.18</v>
      </c>
      <c r="E10161">
        <v>0</v>
      </c>
      <c r="F10161" t="s">
        <v>7</v>
      </c>
      <c r="G10161" t="s">
        <v>11</v>
      </c>
      <c r="H10161" s="5">
        <f>MONTH(Tabela1[[#This Row],[data]])</f>
        <v>2</v>
      </c>
      <c r="I10161">
        <f>YEAR(Tabela1[[#This Row],[data]])</f>
        <v>2026</v>
      </c>
    </row>
    <row r="10162" spans="1:9" x14ac:dyDescent="0.25">
      <c r="A10162" t="s">
        <v>6</v>
      </c>
      <c r="B10162" s="1">
        <v>46081</v>
      </c>
      <c r="C10162">
        <v>9</v>
      </c>
      <c r="D10162">
        <v>359.52</v>
      </c>
      <c r="E10162">
        <v>0</v>
      </c>
      <c r="F10162" t="s">
        <v>7</v>
      </c>
      <c r="G10162" t="s">
        <v>11</v>
      </c>
      <c r="H10162" s="5">
        <f>MONTH(Tabela1[[#This Row],[data]])</f>
        <v>2</v>
      </c>
      <c r="I10162">
        <f>YEAR(Tabela1[[#This Row],[data]])</f>
        <v>2026</v>
      </c>
    </row>
    <row r="10163" spans="1:9" x14ac:dyDescent="0.25">
      <c r="A10163" t="s">
        <v>6</v>
      </c>
      <c r="B10163" s="1">
        <v>46081</v>
      </c>
      <c r="C10163">
        <v>10</v>
      </c>
      <c r="D10163">
        <v>461.58</v>
      </c>
      <c r="E10163">
        <v>23.94</v>
      </c>
      <c r="F10163" t="s">
        <v>7</v>
      </c>
      <c r="G10163" t="s">
        <v>11</v>
      </c>
      <c r="H10163" s="5">
        <f>MONTH(Tabela1[[#This Row],[data]])</f>
        <v>2</v>
      </c>
      <c r="I10163">
        <f>YEAR(Tabela1[[#This Row],[data]])</f>
        <v>2026</v>
      </c>
    </row>
    <row r="10164" spans="1:9" x14ac:dyDescent="0.25">
      <c r="A10164" t="s">
        <v>6</v>
      </c>
      <c r="B10164" s="1">
        <v>46081</v>
      </c>
      <c r="C10164">
        <v>11</v>
      </c>
      <c r="D10164">
        <v>955.92</v>
      </c>
      <c r="E10164">
        <v>224.7</v>
      </c>
      <c r="F10164" t="s">
        <v>7</v>
      </c>
      <c r="G10164" t="s">
        <v>11</v>
      </c>
      <c r="H10164" s="5">
        <f>MONTH(Tabela1[[#This Row],[data]])</f>
        <v>2</v>
      </c>
      <c r="I10164">
        <f>YEAR(Tabela1[[#This Row],[data]])</f>
        <v>2026</v>
      </c>
    </row>
    <row r="10165" spans="1:9" x14ac:dyDescent="0.25">
      <c r="A10165" t="s">
        <v>6</v>
      </c>
      <c r="B10165" s="1">
        <v>46081</v>
      </c>
      <c r="C10165">
        <v>12</v>
      </c>
      <c r="D10165">
        <v>881.16</v>
      </c>
      <c r="E10165">
        <v>186.48</v>
      </c>
      <c r="F10165" t="s">
        <v>7</v>
      </c>
      <c r="G10165" t="s">
        <v>11</v>
      </c>
      <c r="H10165" s="5">
        <f>MONTH(Tabela1[[#This Row],[data]])</f>
        <v>2</v>
      </c>
      <c r="I10165">
        <f>YEAR(Tabela1[[#This Row],[data]])</f>
        <v>2026</v>
      </c>
    </row>
    <row r="10166" spans="1:9" x14ac:dyDescent="0.25">
      <c r="A10166" t="s">
        <v>6</v>
      </c>
      <c r="B10166" s="1">
        <v>46081</v>
      </c>
      <c r="C10166">
        <v>13</v>
      </c>
      <c r="D10166">
        <v>870.24</v>
      </c>
      <c r="E10166">
        <v>183.12</v>
      </c>
      <c r="F10166" t="s">
        <v>7</v>
      </c>
      <c r="G10166" t="s">
        <v>11</v>
      </c>
      <c r="H10166" s="5">
        <f>MONTH(Tabela1[[#This Row],[data]])</f>
        <v>2</v>
      </c>
      <c r="I10166">
        <f>YEAR(Tabela1[[#This Row],[data]])</f>
        <v>2026</v>
      </c>
    </row>
    <row r="10167" spans="1:9" x14ac:dyDescent="0.25">
      <c r="A10167" t="s">
        <v>6</v>
      </c>
      <c r="B10167" s="1">
        <v>46081</v>
      </c>
      <c r="C10167">
        <v>14</v>
      </c>
      <c r="D10167">
        <v>864.36</v>
      </c>
      <c r="E10167">
        <v>178.08</v>
      </c>
      <c r="F10167" t="s">
        <v>7</v>
      </c>
      <c r="G10167" t="s">
        <v>11</v>
      </c>
      <c r="H10167" s="5">
        <f>MONTH(Tabela1[[#This Row],[data]])</f>
        <v>2</v>
      </c>
      <c r="I10167">
        <f>YEAR(Tabela1[[#This Row],[data]])</f>
        <v>2026</v>
      </c>
    </row>
    <row r="10168" spans="1:9" x14ac:dyDescent="0.25">
      <c r="A10168" t="s">
        <v>6</v>
      </c>
      <c r="B10168" s="1">
        <v>46081</v>
      </c>
      <c r="C10168">
        <v>15</v>
      </c>
      <c r="D10168">
        <v>884.1</v>
      </c>
      <c r="E10168">
        <v>183.54</v>
      </c>
      <c r="F10168" t="s">
        <v>7</v>
      </c>
      <c r="G10168" t="s">
        <v>11</v>
      </c>
      <c r="H10168" s="5">
        <f>MONTH(Tabela1[[#This Row],[data]])</f>
        <v>2</v>
      </c>
      <c r="I10168">
        <f>YEAR(Tabela1[[#This Row],[data]])</f>
        <v>2026</v>
      </c>
    </row>
    <row r="10169" spans="1:9" x14ac:dyDescent="0.25">
      <c r="A10169" t="s">
        <v>6</v>
      </c>
      <c r="B10169" s="1">
        <v>46081</v>
      </c>
      <c r="C10169">
        <v>16</v>
      </c>
      <c r="D10169">
        <v>906.78</v>
      </c>
      <c r="E10169">
        <v>207.06</v>
      </c>
      <c r="F10169" t="s">
        <v>7</v>
      </c>
      <c r="G10169" t="s">
        <v>11</v>
      </c>
      <c r="H10169" s="5">
        <f>MONTH(Tabela1[[#This Row],[data]])</f>
        <v>2</v>
      </c>
      <c r="I10169">
        <f>YEAR(Tabela1[[#This Row],[data]])</f>
        <v>2026</v>
      </c>
    </row>
    <row r="10170" spans="1:9" x14ac:dyDescent="0.25">
      <c r="A10170" t="s">
        <v>6</v>
      </c>
      <c r="B10170" s="1">
        <v>46081</v>
      </c>
      <c r="C10170">
        <v>17</v>
      </c>
      <c r="D10170">
        <v>904.68</v>
      </c>
      <c r="E10170">
        <v>235.62</v>
      </c>
      <c r="F10170" t="s">
        <v>7</v>
      </c>
      <c r="G10170" t="s">
        <v>11</v>
      </c>
      <c r="H10170" s="5">
        <f>MONTH(Tabela1[[#This Row],[data]])</f>
        <v>2</v>
      </c>
      <c r="I10170">
        <f>YEAR(Tabela1[[#This Row],[data]])</f>
        <v>2026</v>
      </c>
    </row>
    <row r="10171" spans="1:9" x14ac:dyDescent="0.25">
      <c r="A10171" t="s">
        <v>6</v>
      </c>
      <c r="B10171" s="1">
        <v>46081</v>
      </c>
      <c r="C10171">
        <v>18</v>
      </c>
      <c r="D10171">
        <v>883.68</v>
      </c>
      <c r="E10171">
        <v>192.36</v>
      </c>
      <c r="F10171" t="s">
        <v>7</v>
      </c>
      <c r="G10171" t="s">
        <v>11</v>
      </c>
      <c r="H10171" s="5">
        <f>MONTH(Tabela1[[#This Row],[data]])</f>
        <v>2</v>
      </c>
      <c r="I10171">
        <f>YEAR(Tabela1[[#This Row],[data]])</f>
        <v>2026</v>
      </c>
    </row>
    <row r="10172" spans="1:9" x14ac:dyDescent="0.25">
      <c r="A10172" t="s">
        <v>6</v>
      </c>
      <c r="B10172" s="1">
        <v>46081</v>
      </c>
      <c r="C10172">
        <v>19</v>
      </c>
      <c r="D10172">
        <v>859.32</v>
      </c>
      <c r="E10172">
        <v>169.26</v>
      </c>
      <c r="F10172" t="s">
        <v>7</v>
      </c>
      <c r="G10172" t="s">
        <v>11</v>
      </c>
      <c r="H10172" s="5">
        <f>MONTH(Tabela1[[#This Row],[data]])</f>
        <v>2</v>
      </c>
      <c r="I10172">
        <f>YEAR(Tabela1[[#This Row],[data]])</f>
        <v>2026</v>
      </c>
    </row>
    <row r="10173" spans="1:9" x14ac:dyDescent="0.25">
      <c r="A10173" t="s">
        <v>6</v>
      </c>
      <c r="B10173" s="1">
        <v>46081</v>
      </c>
      <c r="C10173">
        <v>20</v>
      </c>
      <c r="D10173">
        <v>848.82</v>
      </c>
      <c r="E10173">
        <v>175.98</v>
      </c>
      <c r="F10173" t="s">
        <v>7</v>
      </c>
      <c r="G10173" t="s">
        <v>11</v>
      </c>
      <c r="H10173" s="5">
        <f>MONTH(Tabela1[[#This Row],[data]])</f>
        <v>2</v>
      </c>
      <c r="I10173">
        <f>YEAR(Tabela1[[#This Row],[data]])</f>
        <v>2026</v>
      </c>
    </row>
    <row r="10174" spans="1:9" x14ac:dyDescent="0.25">
      <c r="A10174" t="s">
        <v>6</v>
      </c>
      <c r="B10174" s="1">
        <v>46081</v>
      </c>
      <c r="C10174">
        <v>21</v>
      </c>
      <c r="D10174">
        <v>859.74</v>
      </c>
      <c r="E10174">
        <v>192.36</v>
      </c>
      <c r="F10174" t="s">
        <v>7</v>
      </c>
      <c r="G10174" t="s">
        <v>11</v>
      </c>
      <c r="H10174" s="5">
        <f>MONTH(Tabela1[[#This Row],[data]])</f>
        <v>2</v>
      </c>
      <c r="I10174">
        <f>YEAR(Tabela1[[#This Row],[data]])</f>
        <v>2026</v>
      </c>
    </row>
    <row r="10175" spans="1:9" x14ac:dyDescent="0.25">
      <c r="A10175" t="s">
        <v>6</v>
      </c>
      <c r="B10175" s="1">
        <v>46081</v>
      </c>
      <c r="C10175">
        <v>22</v>
      </c>
      <c r="D10175">
        <v>774.06</v>
      </c>
      <c r="E10175">
        <v>144.06</v>
      </c>
      <c r="F10175" t="s">
        <v>7</v>
      </c>
      <c r="G10175" t="s">
        <v>11</v>
      </c>
      <c r="H10175" s="5">
        <f>MONTH(Tabela1[[#This Row],[data]])</f>
        <v>2</v>
      </c>
      <c r="I10175">
        <f>YEAR(Tabela1[[#This Row],[data]])</f>
        <v>2026</v>
      </c>
    </row>
    <row r="10176" spans="1:9" x14ac:dyDescent="0.25">
      <c r="A10176" t="s">
        <v>6</v>
      </c>
      <c r="B10176" s="1">
        <v>46081</v>
      </c>
      <c r="C10176">
        <v>23</v>
      </c>
      <c r="D10176">
        <v>423.78</v>
      </c>
      <c r="E10176">
        <v>2.1</v>
      </c>
      <c r="F10176" t="s">
        <v>7</v>
      </c>
      <c r="G10176" t="s">
        <v>11</v>
      </c>
      <c r="H10176" s="5">
        <f>MONTH(Tabela1[[#This Row],[data]])</f>
        <v>2</v>
      </c>
      <c r="I10176">
        <f>YEAR(Tabela1[[#This Row],[data]])</f>
        <v>2026</v>
      </c>
    </row>
    <row r="10177" spans="1:9" x14ac:dyDescent="0.25">
      <c r="A10177" t="s">
        <v>6</v>
      </c>
      <c r="B10177" s="1">
        <v>46081</v>
      </c>
      <c r="C10177">
        <v>24</v>
      </c>
      <c r="D10177">
        <v>286.02</v>
      </c>
      <c r="E10177">
        <v>0</v>
      </c>
      <c r="F10177" t="s">
        <v>7</v>
      </c>
      <c r="G10177" t="s">
        <v>11</v>
      </c>
      <c r="H10177" s="5">
        <f>MONTH(Tabela1[[#This Row],[data]])</f>
        <v>2</v>
      </c>
      <c r="I10177">
        <f>YEAR(Tabela1[[#This Row],[data]])</f>
        <v>2026</v>
      </c>
    </row>
    <row r="10178" spans="1:9" x14ac:dyDescent="0.25">
      <c r="A10178" t="s">
        <v>6</v>
      </c>
      <c r="B10178" s="1">
        <v>46082</v>
      </c>
      <c r="C10178">
        <v>1</v>
      </c>
      <c r="D10178">
        <v>241.5</v>
      </c>
      <c r="E10178">
        <v>0</v>
      </c>
      <c r="F10178" t="s">
        <v>7</v>
      </c>
      <c r="G10178" t="s">
        <v>11</v>
      </c>
      <c r="H10178" s="5">
        <f>MONTH(Tabela1[[#This Row],[data]])</f>
        <v>3</v>
      </c>
      <c r="I10178">
        <f>YEAR(Tabela1[[#This Row],[data]])</f>
        <v>2026</v>
      </c>
    </row>
    <row r="10179" spans="1:9" x14ac:dyDescent="0.25">
      <c r="A10179" t="s">
        <v>6</v>
      </c>
      <c r="B10179" s="1">
        <v>46082</v>
      </c>
      <c r="C10179">
        <v>2</v>
      </c>
      <c r="D10179">
        <v>221.34</v>
      </c>
      <c r="E10179">
        <v>0</v>
      </c>
      <c r="F10179" t="s">
        <v>7</v>
      </c>
      <c r="G10179" t="s">
        <v>11</v>
      </c>
      <c r="H10179" s="5">
        <f>MONTH(Tabela1[[#This Row],[data]])</f>
        <v>3</v>
      </c>
      <c r="I10179">
        <f>YEAR(Tabela1[[#This Row],[data]])</f>
        <v>2026</v>
      </c>
    </row>
    <row r="10180" spans="1:9" x14ac:dyDescent="0.25">
      <c r="A10180" t="s">
        <v>6</v>
      </c>
      <c r="B10180" s="1">
        <v>46082</v>
      </c>
      <c r="C10180">
        <v>3</v>
      </c>
      <c r="D10180">
        <v>221.76</v>
      </c>
      <c r="E10180">
        <v>0</v>
      </c>
      <c r="F10180" t="s">
        <v>7</v>
      </c>
      <c r="G10180" t="s">
        <v>11</v>
      </c>
      <c r="H10180" s="5">
        <f>MONTH(Tabela1[[#This Row],[data]])</f>
        <v>3</v>
      </c>
      <c r="I10180">
        <f>YEAR(Tabela1[[#This Row],[data]])</f>
        <v>2026</v>
      </c>
    </row>
    <row r="10181" spans="1:9" x14ac:dyDescent="0.25">
      <c r="A10181" t="s">
        <v>6</v>
      </c>
      <c r="B10181" s="1">
        <v>46082</v>
      </c>
      <c r="C10181">
        <v>4</v>
      </c>
      <c r="D10181">
        <v>214.2</v>
      </c>
      <c r="E10181">
        <v>0</v>
      </c>
      <c r="F10181" t="s">
        <v>7</v>
      </c>
      <c r="G10181" t="s">
        <v>11</v>
      </c>
      <c r="H10181" s="5">
        <f>MONTH(Tabela1[[#This Row],[data]])</f>
        <v>3</v>
      </c>
      <c r="I10181">
        <f>YEAR(Tabela1[[#This Row],[data]])</f>
        <v>2026</v>
      </c>
    </row>
    <row r="10182" spans="1:9" x14ac:dyDescent="0.25">
      <c r="A10182" t="s">
        <v>6</v>
      </c>
      <c r="B10182" s="1">
        <v>46082</v>
      </c>
      <c r="C10182">
        <v>5</v>
      </c>
      <c r="D10182">
        <v>217.14</v>
      </c>
      <c r="E10182">
        <v>0</v>
      </c>
      <c r="F10182" t="s">
        <v>7</v>
      </c>
      <c r="G10182" t="s">
        <v>11</v>
      </c>
      <c r="H10182" s="5">
        <f>MONTH(Tabela1[[#This Row],[data]])</f>
        <v>3</v>
      </c>
      <c r="I10182">
        <f>YEAR(Tabela1[[#This Row],[data]])</f>
        <v>2026</v>
      </c>
    </row>
    <row r="10183" spans="1:9" x14ac:dyDescent="0.25">
      <c r="A10183" t="s">
        <v>6</v>
      </c>
      <c r="B10183" s="1">
        <v>46082</v>
      </c>
      <c r="C10183">
        <v>6</v>
      </c>
      <c r="D10183">
        <v>215.04</v>
      </c>
      <c r="E10183">
        <v>0</v>
      </c>
      <c r="F10183" t="s">
        <v>7</v>
      </c>
      <c r="G10183" t="s">
        <v>11</v>
      </c>
      <c r="H10183" s="5">
        <f>MONTH(Tabela1[[#This Row],[data]])</f>
        <v>3</v>
      </c>
      <c r="I10183">
        <f>YEAR(Tabela1[[#This Row],[data]])</f>
        <v>2026</v>
      </c>
    </row>
    <row r="10184" spans="1:9" x14ac:dyDescent="0.25">
      <c r="A10184" t="s">
        <v>6</v>
      </c>
      <c r="B10184" s="1">
        <v>46082</v>
      </c>
      <c r="C10184">
        <v>7</v>
      </c>
      <c r="D10184">
        <v>192.78</v>
      </c>
      <c r="E10184">
        <v>0</v>
      </c>
      <c r="F10184" t="s">
        <v>7</v>
      </c>
      <c r="G10184" t="s">
        <v>11</v>
      </c>
      <c r="H10184" s="5">
        <f>MONTH(Tabela1[[#This Row],[data]])</f>
        <v>3</v>
      </c>
      <c r="I10184">
        <f>YEAR(Tabela1[[#This Row],[data]])</f>
        <v>2026</v>
      </c>
    </row>
    <row r="10185" spans="1:9" x14ac:dyDescent="0.25">
      <c r="A10185" t="s">
        <v>6</v>
      </c>
      <c r="B10185" s="1">
        <v>46082</v>
      </c>
      <c r="C10185">
        <v>8</v>
      </c>
      <c r="D10185">
        <v>215.46</v>
      </c>
      <c r="E10185">
        <v>0</v>
      </c>
      <c r="F10185" t="s">
        <v>7</v>
      </c>
      <c r="G10185" t="s">
        <v>11</v>
      </c>
      <c r="H10185" s="5">
        <f>MONTH(Tabela1[[#This Row],[data]])</f>
        <v>3</v>
      </c>
      <c r="I10185">
        <f>YEAR(Tabela1[[#This Row],[data]])</f>
        <v>2026</v>
      </c>
    </row>
    <row r="10186" spans="1:9" x14ac:dyDescent="0.25">
      <c r="A10186" t="s">
        <v>6</v>
      </c>
      <c r="B10186" s="1">
        <v>46082</v>
      </c>
      <c r="C10186">
        <v>9</v>
      </c>
      <c r="D10186">
        <v>268.8</v>
      </c>
      <c r="E10186">
        <v>0</v>
      </c>
      <c r="F10186" t="s">
        <v>7</v>
      </c>
      <c r="G10186" t="s">
        <v>11</v>
      </c>
      <c r="H10186" s="5">
        <f>MONTH(Tabela1[[#This Row],[data]])</f>
        <v>3</v>
      </c>
      <c r="I10186">
        <f>YEAR(Tabela1[[#This Row],[data]])</f>
        <v>2026</v>
      </c>
    </row>
    <row r="10187" spans="1:9" x14ac:dyDescent="0.25">
      <c r="A10187" t="s">
        <v>6</v>
      </c>
      <c r="B10187" s="1">
        <v>46082</v>
      </c>
      <c r="C10187">
        <v>10</v>
      </c>
      <c r="D10187">
        <v>312.06</v>
      </c>
      <c r="E10187">
        <v>0</v>
      </c>
      <c r="F10187" t="s">
        <v>7</v>
      </c>
      <c r="G10187" t="s">
        <v>11</v>
      </c>
      <c r="H10187" s="5">
        <f>MONTH(Tabela1[[#This Row],[data]])</f>
        <v>3</v>
      </c>
      <c r="I10187">
        <f>YEAR(Tabela1[[#This Row],[data]])</f>
        <v>2026</v>
      </c>
    </row>
    <row r="10188" spans="1:9" x14ac:dyDescent="0.25">
      <c r="A10188" t="s">
        <v>6</v>
      </c>
      <c r="B10188" s="1">
        <v>46082</v>
      </c>
      <c r="C10188">
        <v>11</v>
      </c>
      <c r="D10188">
        <v>389.34</v>
      </c>
      <c r="E10188">
        <v>5.04</v>
      </c>
      <c r="F10188" t="s">
        <v>7</v>
      </c>
      <c r="G10188" t="s">
        <v>11</v>
      </c>
      <c r="H10188" s="5">
        <f>MONTH(Tabela1[[#This Row],[data]])</f>
        <v>3</v>
      </c>
      <c r="I10188">
        <f>YEAR(Tabela1[[#This Row],[data]])</f>
        <v>2026</v>
      </c>
    </row>
    <row r="10189" spans="1:9" x14ac:dyDescent="0.25">
      <c r="A10189" t="s">
        <v>6</v>
      </c>
      <c r="B10189" s="1">
        <v>46082</v>
      </c>
      <c r="C10189">
        <v>12</v>
      </c>
      <c r="D10189">
        <v>459.9</v>
      </c>
      <c r="E10189">
        <v>14.28</v>
      </c>
      <c r="F10189" t="s">
        <v>7</v>
      </c>
      <c r="G10189" t="s">
        <v>11</v>
      </c>
      <c r="H10189" s="5">
        <f>MONTH(Tabela1[[#This Row],[data]])</f>
        <v>3</v>
      </c>
      <c r="I10189">
        <f>YEAR(Tabela1[[#This Row],[data]])</f>
        <v>2026</v>
      </c>
    </row>
    <row r="10190" spans="1:9" x14ac:dyDescent="0.25">
      <c r="A10190" t="s">
        <v>6</v>
      </c>
      <c r="B10190" s="1">
        <v>46082</v>
      </c>
      <c r="C10190">
        <v>13</v>
      </c>
      <c r="D10190">
        <v>539.28</v>
      </c>
      <c r="E10190">
        <v>34.020000000000003</v>
      </c>
      <c r="F10190" t="s">
        <v>7</v>
      </c>
      <c r="G10190" t="s">
        <v>11</v>
      </c>
      <c r="H10190" s="5">
        <f>MONTH(Tabela1[[#This Row],[data]])</f>
        <v>3</v>
      </c>
      <c r="I10190">
        <f>YEAR(Tabela1[[#This Row],[data]])</f>
        <v>2026</v>
      </c>
    </row>
    <row r="10191" spans="1:9" x14ac:dyDescent="0.25">
      <c r="A10191" t="s">
        <v>6</v>
      </c>
      <c r="B10191" s="1">
        <v>46082</v>
      </c>
      <c r="C10191">
        <v>14</v>
      </c>
      <c r="D10191">
        <v>588.84</v>
      </c>
      <c r="E10191">
        <v>54.18</v>
      </c>
      <c r="F10191" t="s">
        <v>7</v>
      </c>
      <c r="G10191" t="s">
        <v>11</v>
      </c>
      <c r="H10191" s="5">
        <f>MONTH(Tabela1[[#This Row],[data]])</f>
        <v>3</v>
      </c>
      <c r="I10191">
        <f>YEAR(Tabela1[[#This Row],[data]])</f>
        <v>2026</v>
      </c>
    </row>
    <row r="10192" spans="1:9" x14ac:dyDescent="0.25">
      <c r="A10192" t="s">
        <v>6</v>
      </c>
      <c r="B10192" s="1">
        <v>46082</v>
      </c>
      <c r="C10192">
        <v>15</v>
      </c>
      <c r="D10192">
        <v>615.72</v>
      </c>
      <c r="E10192">
        <v>67.2</v>
      </c>
      <c r="F10192" t="s">
        <v>7</v>
      </c>
      <c r="G10192" t="s">
        <v>11</v>
      </c>
      <c r="H10192" s="5">
        <f>MONTH(Tabela1[[#This Row],[data]])</f>
        <v>3</v>
      </c>
      <c r="I10192">
        <f>YEAR(Tabela1[[#This Row],[data]])</f>
        <v>2026</v>
      </c>
    </row>
    <row r="10193" spans="1:9" x14ac:dyDescent="0.25">
      <c r="A10193" t="s">
        <v>6</v>
      </c>
      <c r="B10193" s="1">
        <v>46082</v>
      </c>
      <c r="C10193">
        <v>16</v>
      </c>
      <c r="D10193">
        <v>624.54</v>
      </c>
      <c r="E10193">
        <v>75.180000000000007</v>
      </c>
      <c r="F10193" t="s">
        <v>7</v>
      </c>
      <c r="G10193" t="s">
        <v>11</v>
      </c>
      <c r="H10193" s="5">
        <f>MONTH(Tabela1[[#This Row],[data]])</f>
        <v>3</v>
      </c>
      <c r="I10193">
        <f>YEAR(Tabela1[[#This Row],[data]])</f>
        <v>2026</v>
      </c>
    </row>
    <row r="10194" spans="1:9" x14ac:dyDescent="0.25">
      <c r="A10194" t="s">
        <v>6</v>
      </c>
      <c r="B10194" s="1">
        <v>46082</v>
      </c>
      <c r="C10194">
        <v>17</v>
      </c>
      <c r="D10194">
        <v>606.05999999999995</v>
      </c>
      <c r="E10194">
        <v>76.44</v>
      </c>
      <c r="F10194" t="s">
        <v>7</v>
      </c>
      <c r="G10194" t="s">
        <v>11</v>
      </c>
      <c r="H10194" s="5">
        <f>MONTH(Tabela1[[#This Row],[data]])</f>
        <v>3</v>
      </c>
      <c r="I10194">
        <f>YEAR(Tabela1[[#This Row],[data]])</f>
        <v>2026</v>
      </c>
    </row>
    <row r="10195" spans="1:9" x14ac:dyDescent="0.25">
      <c r="A10195" t="s">
        <v>6</v>
      </c>
      <c r="B10195" s="1">
        <v>46082</v>
      </c>
      <c r="C10195">
        <v>18</v>
      </c>
      <c r="D10195">
        <v>639.24</v>
      </c>
      <c r="E10195">
        <v>76.44</v>
      </c>
      <c r="F10195" t="s">
        <v>7</v>
      </c>
      <c r="G10195" t="s">
        <v>11</v>
      </c>
      <c r="H10195" s="5">
        <f>MONTH(Tabela1[[#This Row],[data]])</f>
        <v>3</v>
      </c>
      <c r="I10195">
        <f>YEAR(Tabela1[[#This Row],[data]])</f>
        <v>2026</v>
      </c>
    </row>
    <row r="10196" spans="1:9" x14ac:dyDescent="0.25">
      <c r="A10196" t="s">
        <v>6</v>
      </c>
      <c r="B10196" s="1">
        <v>46082</v>
      </c>
      <c r="C10196">
        <v>19</v>
      </c>
      <c r="D10196">
        <v>904.26</v>
      </c>
      <c r="E10196">
        <v>178.08</v>
      </c>
      <c r="F10196" t="s">
        <v>7</v>
      </c>
      <c r="G10196" t="s">
        <v>11</v>
      </c>
      <c r="H10196" s="5">
        <f>MONTH(Tabela1[[#This Row],[data]])</f>
        <v>3</v>
      </c>
      <c r="I10196">
        <f>YEAR(Tabela1[[#This Row],[data]])</f>
        <v>2026</v>
      </c>
    </row>
    <row r="10197" spans="1:9" x14ac:dyDescent="0.25">
      <c r="A10197" t="s">
        <v>6</v>
      </c>
      <c r="B10197" s="1">
        <v>46082</v>
      </c>
      <c r="C10197">
        <v>20</v>
      </c>
      <c r="D10197">
        <v>813.12</v>
      </c>
      <c r="E10197">
        <v>160.02000000000001</v>
      </c>
      <c r="F10197" t="s">
        <v>7</v>
      </c>
      <c r="G10197" t="s">
        <v>11</v>
      </c>
      <c r="H10197" s="5">
        <f>MONTH(Tabela1[[#This Row],[data]])</f>
        <v>3</v>
      </c>
      <c r="I10197">
        <f>YEAR(Tabela1[[#This Row],[data]])</f>
        <v>2026</v>
      </c>
    </row>
    <row r="10198" spans="1:9" x14ac:dyDescent="0.25">
      <c r="A10198" t="s">
        <v>6</v>
      </c>
      <c r="B10198" s="1">
        <v>46082</v>
      </c>
      <c r="C10198">
        <v>21</v>
      </c>
      <c r="D10198">
        <v>728.7</v>
      </c>
      <c r="E10198">
        <v>150.78</v>
      </c>
      <c r="F10198" t="s">
        <v>7</v>
      </c>
      <c r="G10198" t="s">
        <v>11</v>
      </c>
      <c r="H10198" s="5">
        <f>MONTH(Tabela1[[#This Row],[data]])</f>
        <v>3</v>
      </c>
      <c r="I10198">
        <f>YEAR(Tabela1[[#This Row],[data]])</f>
        <v>2026</v>
      </c>
    </row>
    <row r="10199" spans="1:9" x14ac:dyDescent="0.25">
      <c r="A10199" t="s">
        <v>6</v>
      </c>
      <c r="B10199" s="1">
        <v>46082</v>
      </c>
      <c r="C10199">
        <v>22</v>
      </c>
      <c r="D10199">
        <v>592.62</v>
      </c>
      <c r="E10199">
        <v>96.6</v>
      </c>
      <c r="F10199" t="s">
        <v>7</v>
      </c>
      <c r="G10199" t="s">
        <v>11</v>
      </c>
      <c r="H10199" s="5">
        <f>MONTH(Tabela1[[#This Row],[data]])</f>
        <v>3</v>
      </c>
      <c r="I10199">
        <f>YEAR(Tabela1[[#This Row],[data]])</f>
        <v>2026</v>
      </c>
    </row>
    <row r="10200" spans="1:9" x14ac:dyDescent="0.25">
      <c r="A10200" t="s">
        <v>6</v>
      </c>
      <c r="B10200" s="1">
        <v>46082</v>
      </c>
      <c r="C10200">
        <v>23</v>
      </c>
      <c r="D10200">
        <v>343.56</v>
      </c>
      <c r="E10200">
        <v>8.4</v>
      </c>
      <c r="F10200" t="s">
        <v>7</v>
      </c>
      <c r="G10200" t="s">
        <v>11</v>
      </c>
      <c r="H10200" s="5">
        <f>MONTH(Tabela1[[#This Row],[data]])</f>
        <v>3</v>
      </c>
      <c r="I10200">
        <f>YEAR(Tabela1[[#This Row],[data]])</f>
        <v>2026</v>
      </c>
    </row>
    <row r="10201" spans="1:9" x14ac:dyDescent="0.25">
      <c r="A10201" t="s">
        <v>6</v>
      </c>
      <c r="B10201" s="1">
        <v>46082</v>
      </c>
      <c r="C10201">
        <v>24</v>
      </c>
      <c r="D10201">
        <v>260.39999999999998</v>
      </c>
      <c r="E10201">
        <v>0</v>
      </c>
      <c r="F10201" t="s">
        <v>7</v>
      </c>
      <c r="G10201" t="s">
        <v>11</v>
      </c>
      <c r="H10201" s="5">
        <f>MONTH(Tabela1[[#This Row],[data]])</f>
        <v>3</v>
      </c>
      <c r="I10201">
        <f>YEAR(Tabela1[[#This Row],[data]])</f>
        <v>2026</v>
      </c>
    </row>
    <row r="10202" spans="1:9" x14ac:dyDescent="0.25">
      <c r="A10202" t="s">
        <v>6</v>
      </c>
      <c r="B10202" s="1">
        <v>46083</v>
      </c>
      <c r="C10202">
        <v>1</v>
      </c>
      <c r="D10202">
        <v>229.74</v>
      </c>
      <c r="E10202">
        <v>0</v>
      </c>
      <c r="F10202" t="s">
        <v>7</v>
      </c>
      <c r="G10202" t="s">
        <v>11</v>
      </c>
      <c r="H10202" s="5">
        <f>MONTH(Tabela1[[#This Row],[data]])</f>
        <v>3</v>
      </c>
      <c r="I10202">
        <f>YEAR(Tabela1[[#This Row],[data]])</f>
        <v>2026</v>
      </c>
    </row>
    <row r="10203" spans="1:9" x14ac:dyDescent="0.25">
      <c r="A10203" t="s">
        <v>6</v>
      </c>
      <c r="B10203" s="1">
        <v>46083</v>
      </c>
      <c r="C10203">
        <v>2</v>
      </c>
      <c r="D10203">
        <v>218.4</v>
      </c>
      <c r="E10203">
        <v>0</v>
      </c>
      <c r="F10203" t="s">
        <v>7</v>
      </c>
      <c r="G10203" t="s">
        <v>11</v>
      </c>
      <c r="H10203" s="5">
        <f>MONTH(Tabela1[[#This Row],[data]])</f>
        <v>3</v>
      </c>
      <c r="I10203">
        <f>YEAR(Tabela1[[#This Row],[data]])</f>
        <v>2026</v>
      </c>
    </row>
    <row r="10204" spans="1:9" x14ac:dyDescent="0.25">
      <c r="A10204" t="s">
        <v>6</v>
      </c>
      <c r="B10204" s="1">
        <v>46083</v>
      </c>
      <c r="C10204">
        <v>3</v>
      </c>
      <c r="D10204">
        <v>215.88</v>
      </c>
      <c r="E10204">
        <v>0</v>
      </c>
      <c r="F10204" t="s">
        <v>7</v>
      </c>
      <c r="G10204" t="s">
        <v>11</v>
      </c>
      <c r="H10204" s="5">
        <f>MONTH(Tabela1[[#This Row],[data]])</f>
        <v>3</v>
      </c>
      <c r="I10204">
        <f>YEAR(Tabela1[[#This Row],[data]])</f>
        <v>2026</v>
      </c>
    </row>
    <row r="10205" spans="1:9" x14ac:dyDescent="0.25">
      <c r="A10205" t="s">
        <v>6</v>
      </c>
      <c r="B10205" s="1">
        <v>46083</v>
      </c>
      <c r="C10205">
        <v>4</v>
      </c>
      <c r="D10205">
        <v>209.58</v>
      </c>
      <c r="E10205">
        <v>0</v>
      </c>
      <c r="F10205" t="s">
        <v>7</v>
      </c>
      <c r="G10205" t="s">
        <v>11</v>
      </c>
      <c r="H10205" s="5">
        <f>MONTH(Tabela1[[#This Row],[data]])</f>
        <v>3</v>
      </c>
      <c r="I10205">
        <f>YEAR(Tabela1[[#This Row],[data]])</f>
        <v>2026</v>
      </c>
    </row>
    <row r="10206" spans="1:9" x14ac:dyDescent="0.25">
      <c r="A10206" t="s">
        <v>6</v>
      </c>
      <c r="B10206" s="1">
        <v>46083</v>
      </c>
      <c r="C10206">
        <v>5</v>
      </c>
      <c r="D10206">
        <v>214.2</v>
      </c>
      <c r="E10206">
        <v>0</v>
      </c>
      <c r="F10206" t="s">
        <v>7</v>
      </c>
      <c r="G10206" t="s">
        <v>11</v>
      </c>
      <c r="H10206" s="5">
        <f>MONTH(Tabela1[[#This Row],[data]])</f>
        <v>3</v>
      </c>
      <c r="I10206">
        <f>YEAR(Tabela1[[#This Row],[data]])</f>
        <v>2026</v>
      </c>
    </row>
    <row r="10207" spans="1:9" x14ac:dyDescent="0.25">
      <c r="A10207" t="s">
        <v>6</v>
      </c>
      <c r="B10207" s="1">
        <v>46083</v>
      </c>
      <c r="C10207">
        <v>6</v>
      </c>
      <c r="D10207">
        <v>211.26</v>
      </c>
      <c r="E10207">
        <v>0</v>
      </c>
      <c r="F10207" t="s">
        <v>7</v>
      </c>
      <c r="G10207" t="s">
        <v>11</v>
      </c>
      <c r="H10207" s="5">
        <f>MONTH(Tabela1[[#This Row],[data]])</f>
        <v>3</v>
      </c>
      <c r="I10207">
        <f>YEAR(Tabela1[[#This Row],[data]])</f>
        <v>2026</v>
      </c>
    </row>
    <row r="10208" spans="1:9" x14ac:dyDescent="0.25">
      <c r="A10208" t="s">
        <v>6</v>
      </c>
      <c r="B10208" s="1">
        <v>46083</v>
      </c>
      <c r="C10208">
        <v>7</v>
      </c>
      <c r="D10208">
        <v>225.96</v>
      </c>
      <c r="E10208">
        <v>0</v>
      </c>
      <c r="F10208" t="s">
        <v>7</v>
      </c>
      <c r="G10208" t="s">
        <v>11</v>
      </c>
      <c r="H10208" s="5">
        <f>MONTH(Tabela1[[#This Row],[data]])</f>
        <v>3</v>
      </c>
      <c r="I10208">
        <f>YEAR(Tabela1[[#This Row],[data]])</f>
        <v>2026</v>
      </c>
    </row>
    <row r="10209" spans="1:9" x14ac:dyDescent="0.25">
      <c r="A10209" t="s">
        <v>6</v>
      </c>
      <c r="B10209" s="1">
        <v>46083</v>
      </c>
      <c r="C10209">
        <v>8</v>
      </c>
      <c r="D10209">
        <v>266.27999999999997</v>
      </c>
      <c r="E10209">
        <v>0</v>
      </c>
      <c r="F10209" t="s">
        <v>7</v>
      </c>
      <c r="G10209" t="s">
        <v>11</v>
      </c>
      <c r="H10209" s="5">
        <f>MONTH(Tabela1[[#This Row],[data]])</f>
        <v>3</v>
      </c>
      <c r="I10209">
        <f>YEAR(Tabela1[[#This Row],[data]])</f>
        <v>2026</v>
      </c>
    </row>
    <row r="10210" spans="1:9" x14ac:dyDescent="0.25">
      <c r="A10210" t="s">
        <v>6</v>
      </c>
      <c r="B10210" s="1">
        <v>46083</v>
      </c>
      <c r="C10210">
        <v>9</v>
      </c>
      <c r="D10210">
        <v>341.04</v>
      </c>
      <c r="E10210">
        <v>0</v>
      </c>
      <c r="F10210" t="s">
        <v>7</v>
      </c>
      <c r="G10210" t="s">
        <v>11</v>
      </c>
      <c r="H10210" s="5">
        <f>MONTH(Tabela1[[#This Row],[data]])</f>
        <v>3</v>
      </c>
      <c r="I10210">
        <f>YEAR(Tabela1[[#This Row],[data]])</f>
        <v>2026</v>
      </c>
    </row>
    <row r="10211" spans="1:9" x14ac:dyDescent="0.25">
      <c r="A10211" t="s">
        <v>6</v>
      </c>
      <c r="B10211" s="1">
        <v>46083</v>
      </c>
      <c r="C10211">
        <v>10</v>
      </c>
      <c r="D10211">
        <v>439.74</v>
      </c>
      <c r="E10211">
        <v>30.66</v>
      </c>
      <c r="F10211" t="s">
        <v>7</v>
      </c>
      <c r="G10211" t="s">
        <v>11</v>
      </c>
      <c r="H10211" s="5">
        <f>MONTH(Tabela1[[#This Row],[data]])</f>
        <v>3</v>
      </c>
      <c r="I10211">
        <f>YEAR(Tabela1[[#This Row],[data]])</f>
        <v>2026</v>
      </c>
    </row>
    <row r="10212" spans="1:9" x14ac:dyDescent="0.25">
      <c r="A10212" t="s">
        <v>6</v>
      </c>
      <c r="B10212" s="1">
        <v>46083</v>
      </c>
      <c r="C10212">
        <v>11</v>
      </c>
      <c r="D10212">
        <v>821.52</v>
      </c>
      <c r="E10212">
        <v>203.7</v>
      </c>
      <c r="F10212" t="s">
        <v>7</v>
      </c>
      <c r="G10212" t="s">
        <v>11</v>
      </c>
      <c r="H10212" s="5">
        <f>MONTH(Tabela1[[#This Row],[data]])</f>
        <v>3</v>
      </c>
      <c r="I10212">
        <f>YEAR(Tabela1[[#This Row],[data]])</f>
        <v>2026</v>
      </c>
    </row>
    <row r="10213" spans="1:9" x14ac:dyDescent="0.25">
      <c r="A10213" t="s">
        <v>6</v>
      </c>
      <c r="B10213" s="1">
        <v>46083</v>
      </c>
      <c r="C10213">
        <v>12</v>
      </c>
      <c r="D10213">
        <v>825.3</v>
      </c>
      <c r="E10213">
        <v>203.28</v>
      </c>
      <c r="F10213" t="s">
        <v>7</v>
      </c>
      <c r="G10213" t="s">
        <v>11</v>
      </c>
      <c r="H10213" s="5">
        <f>MONTH(Tabela1[[#This Row],[data]])</f>
        <v>3</v>
      </c>
      <c r="I10213">
        <f>YEAR(Tabela1[[#This Row],[data]])</f>
        <v>2026</v>
      </c>
    </row>
    <row r="10214" spans="1:9" x14ac:dyDescent="0.25">
      <c r="A10214" t="s">
        <v>6</v>
      </c>
      <c r="B10214" s="1">
        <v>46083</v>
      </c>
      <c r="C10214">
        <v>13</v>
      </c>
      <c r="D10214">
        <v>854.7</v>
      </c>
      <c r="E10214">
        <v>219.24</v>
      </c>
      <c r="F10214" t="s">
        <v>7</v>
      </c>
      <c r="G10214" t="s">
        <v>11</v>
      </c>
      <c r="H10214" s="5">
        <f>MONTH(Tabela1[[#This Row],[data]])</f>
        <v>3</v>
      </c>
      <c r="I10214">
        <f>YEAR(Tabela1[[#This Row],[data]])</f>
        <v>2026</v>
      </c>
    </row>
    <row r="10215" spans="1:9" x14ac:dyDescent="0.25">
      <c r="A10215" t="s">
        <v>6</v>
      </c>
      <c r="B10215" s="1">
        <v>46083</v>
      </c>
      <c r="C10215">
        <v>14</v>
      </c>
      <c r="D10215">
        <v>848.4</v>
      </c>
      <c r="E10215">
        <v>192.78</v>
      </c>
      <c r="F10215" t="s">
        <v>7</v>
      </c>
      <c r="G10215" t="s">
        <v>11</v>
      </c>
      <c r="H10215" s="5">
        <f>MONTH(Tabela1[[#This Row],[data]])</f>
        <v>3</v>
      </c>
      <c r="I10215">
        <f>YEAR(Tabela1[[#This Row],[data]])</f>
        <v>2026</v>
      </c>
    </row>
    <row r="10216" spans="1:9" x14ac:dyDescent="0.25">
      <c r="A10216" t="s">
        <v>6</v>
      </c>
      <c r="B10216" s="1">
        <v>46083</v>
      </c>
      <c r="C10216">
        <v>15</v>
      </c>
      <c r="D10216">
        <v>840.42</v>
      </c>
      <c r="E10216">
        <v>181.44</v>
      </c>
      <c r="F10216" t="s">
        <v>7</v>
      </c>
      <c r="G10216" t="s">
        <v>11</v>
      </c>
      <c r="H10216" s="5">
        <f>MONTH(Tabela1[[#This Row],[data]])</f>
        <v>3</v>
      </c>
      <c r="I10216">
        <f>YEAR(Tabela1[[#This Row],[data]])</f>
        <v>2026</v>
      </c>
    </row>
    <row r="10217" spans="1:9" x14ac:dyDescent="0.25">
      <c r="A10217" t="s">
        <v>6</v>
      </c>
      <c r="B10217" s="1">
        <v>46083</v>
      </c>
      <c r="C10217">
        <v>16</v>
      </c>
      <c r="D10217">
        <v>863.1</v>
      </c>
      <c r="E10217">
        <v>206.22</v>
      </c>
      <c r="F10217" t="s">
        <v>7</v>
      </c>
      <c r="G10217" t="s">
        <v>11</v>
      </c>
      <c r="H10217" s="5">
        <f>MONTH(Tabela1[[#This Row],[data]])</f>
        <v>3</v>
      </c>
      <c r="I10217">
        <f>YEAR(Tabela1[[#This Row],[data]])</f>
        <v>2026</v>
      </c>
    </row>
    <row r="10218" spans="1:9" x14ac:dyDescent="0.25">
      <c r="A10218" t="s">
        <v>6</v>
      </c>
      <c r="B10218" s="1">
        <v>46083</v>
      </c>
      <c r="C10218">
        <v>17</v>
      </c>
      <c r="D10218">
        <v>857.64</v>
      </c>
      <c r="E10218">
        <v>211.68</v>
      </c>
      <c r="F10218" t="s">
        <v>7</v>
      </c>
      <c r="G10218" t="s">
        <v>11</v>
      </c>
      <c r="H10218" s="5">
        <f>MONTH(Tabela1[[#This Row],[data]])</f>
        <v>3</v>
      </c>
      <c r="I10218">
        <f>YEAR(Tabela1[[#This Row],[data]])</f>
        <v>2026</v>
      </c>
    </row>
    <row r="10219" spans="1:9" x14ac:dyDescent="0.25">
      <c r="A10219" t="s">
        <v>6</v>
      </c>
      <c r="B10219" s="1">
        <v>46083</v>
      </c>
      <c r="C10219">
        <v>18</v>
      </c>
      <c r="D10219">
        <v>827.4</v>
      </c>
      <c r="E10219">
        <v>215.46</v>
      </c>
      <c r="F10219" t="s">
        <v>7</v>
      </c>
      <c r="G10219" t="s">
        <v>11</v>
      </c>
      <c r="H10219" s="5">
        <f>MONTH(Tabela1[[#This Row],[data]])</f>
        <v>3</v>
      </c>
      <c r="I10219">
        <f>YEAR(Tabela1[[#This Row],[data]])</f>
        <v>2026</v>
      </c>
    </row>
    <row r="10220" spans="1:9" x14ac:dyDescent="0.25">
      <c r="A10220" t="s">
        <v>6</v>
      </c>
      <c r="B10220" s="1">
        <v>46083</v>
      </c>
      <c r="C10220">
        <v>19</v>
      </c>
      <c r="D10220">
        <v>781.2</v>
      </c>
      <c r="E10220">
        <v>184.38</v>
      </c>
      <c r="F10220" t="s">
        <v>7</v>
      </c>
      <c r="G10220" t="s">
        <v>11</v>
      </c>
      <c r="H10220" s="5">
        <f>MONTH(Tabela1[[#This Row],[data]])</f>
        <v>3</v>
      </c>
      <c r="I10220">
        <f>YEAR(Tabela1[[#This Row],[data]])</f>
        <v>2026</v>
      </c>
    </row>
    <row r="10221" spans="1:9" x14ac:dyDescent="0.25">
      <c r="A10221" t="s">
        <v>6</v>
      </c>
      <c r="B10221" s="1">
        <v>46083</v>
      </c>
      <c r="C10221">
        <v>20</v>
      </c>
      <c r="D10221">
        <v>760.62</v>
      </c>
      <c r="E10221">
        <v>172.2</v>
      </c>
      <c r="F10221" t="s">
        <v>7</v>
      </c>
      <c r="G10221" t="s">
        <v>11</v>
      </c>
      <c r="H10221" s="5">
        <f>MONTH(Tabela1[[#This Row],[data]])</f>
        <v>3</v>
      </c>
      <c r="I10221">
        <f>YEAR(Tabela1[[#This Row],[data]])</f>
        <v>2026</v>
      </c>
    </row>
    <row r="10222" spans="1:9" x14ac:dyDescent="0.25">
      <c r="A10222" t="s">
        <v>6</v>
      </c>
      <c r="B10222" s="1">
        <v>46083</v>
      </c>
      <c r="C10222">
        <v>21</v>
      </c>
      <c r="D10222">
        <v>775.32</v>
      </c>
      <c r="E10222">
        <v>186.9</v>
      </c>
      <c r="F10222" t="s">
        <v>7</v>
      </c>
      <c r="G10222" t="s">
        <v>11</v>
      </c>
      <c r="H10222" s="5">
        <f>MONTH(Tabela1[[#This Row],[data]])</f>
        <v>3</v>
      </c>
      <c r="I10222">
        <f>YEAR(Tabela1[[#This Row],[data]])</f>
        <v>2026</v>
      </c>
    </row>
    <row r="10223" spans="1:9" x14ac:dyDescent="0.25">
      <c r="A10223" t="s">
        <v>6</v>
      </c>
      <c r="B10223" s="1">
        <v>46083</v>
      </c>
      <c r="C10223">
        <v>22</v>
      </c>
      <c r="D10223">
        <v>742.98</v>
      </c>
      <c r="E10223">
        <v>166.74</v>
      </c>
      <c r="F10223" t="s">
        <v>7</v>
      </c>
      <c r="G10223" t="s">
        <v>11</v>
      </c>
      <c r="H10223" s="5">
        <f>MONTH(Tabela1[[#This Row],[data]])</f>
        <v>3</v>
      </c>
      <c r="I10223">
        <f>YEAR(Tabela1[[#This Row],[data]])</f>
        <v>2026</v>
      </c>
    </row>
    <row r="10224" spans="1:9" x14ac:dyDescent="0.25">
      <c r="A10224" t="s">
        <v>6</v>
      </c>
      <c r="B10224" s="1">
        <v>46083</v>
      </c>
      <c r="C10224">
        <v>23</v>
      </c>
      <c r="D10224">
        <v>378</v>
      </c>
      <c r="E10224">
        <v>10.92</v>
      </c>
      <c r="F10224" t="s">
        <v>7</v>
      </c>
      <c r="G10224" t="s">
        <v>11</v>
      </c>
      <c r="H10224" s="5">
        <f>MONTH(Tabela1[[#This Row],[data]])</f>
        <v>3</v>
      </c>
      <c r="I10224">
        <f>YEAR(Tabela1[[#This Row],[data]])</f>
        <v>2026</v>
      </c>
    </row>
    <row r="10225" spans="1:9" x14ac:dyDescent="0.25">
      <c r="A10225" t="s">
        <v>6</v>
      </c>
      <c r="B10225" s="1">
        <v>46083</v>
      </c>
      <c r="C10225">
        <v>24</v>
      </c>
      <c r="D10225">
        <v>290.64</v>
      </c>
      <c r="E10225">
        <v>0</v>
      </c>
      <c r="F10225" t="s">
        <v>7</v>
      </c>
      <c r="G10225" t="s">
        <v>11</v>
      </c>
      <c r="H10225" s="5">
        <f>MONTH(Tabela1[[#This Row],[data]])</f>
        <v>3</v>
      </c>
      <c r="I10225">
        <f>YEAR(Tabela1[[#This Row],[data]])</f>
        <v>2026</v>
      </c>
    </row>
    <row r="10226" spans="1:9" x14ac:dyDescent="0.25">
      <c r="A10226" t="s">
        <v>6</v>
      </c>
      <c r="B10226" s="1">
        <v>46084</v>
      </c>
      <c r="C10226">
        <v>1</v>
      </c>
      <c r="D10226">
        <v>270.06</v>
      </c>
      <c r="E10226">
        <v>0</v>
      </c>
      <c r="F10226" t="s">
        <v>7</v>
      </c>
      <c r="G10226" t="s">
        <v>11</v>
      </c>
      <c r="H10226" s="5">
        <f>MONTH(Tabela1[[#This Row],[data]])</f>
        <v>3</v>
      </c>
      <c r="I10226">
        <f>YEAR(Tabela1[[#This Row],[data]])</f>
        <v>2026</v>
      </c>
    </row>
    <row r="10227" spans="1:9" x14ac:dyDescent="0.25">
      <c r="A10227" t="s">
        <v>6</v>
      </c>
      <c r="B10227" s="1">
        <v>46084</v>
      </c>
      <c r="C10227">
        <v>2</v>
      </c>
      <c r="D10227">
        <v>244.86</v>
      </c>
      <c r="E10227">
        <v>0</v>
      </c>
      <c r="F10227" t="s">
        <v>7</v>
      </c>
      <c r="G10227" t="s">
        <v>11</v>
      </c>
      <c r="H10227" s="5">
        <f>MONTH(Tabela1[[#This Row],[data]])</f>
        <v>3</v>
      </c>
      <c r="I10227">
        <f>YEAR(Tabela1[[#This Row],[data]])</f>
        <v>2026</v>
      </c>
    </row>
    <row r="10228" spans="1:9" x14ac:dyDescent="0.25">
      <c r="A10228" t="s">
        <v>6</v>
      </c>
      <c r="B10228" s="1">
        <v>46084</v>
      </c>
      <c r="C10228">
        <v>3</v>
      </c>
      <c r="D10228">
        <v>238.98</v>
      </c>
      <c r="E10228">
        <v>0</v>
      </c>
      <c r="F10228" t="s">
        <v>7</v>
      </c>
      <c r="G10228" t="s">
        <v>11</v>
      </c>
      <c r="H10228" s="5">
        <f>MONTH(Tabela1[[#This Row],[data]])</f>
        <v>3</v>
      </c>
      <c r="I10228">
        <f>YEAR(Tabela1[[#This Row],[data]])</f>
        <v>2026</v>
      </c>
    </row>
    <row r="10229" spans="1:9" x14ac:dyDescent="0.25">
      <c r="A10229" t="s">
        <v>6</v>
      </c>
      <c r="B10229" s="1">
        <v>46084</v>
      </c>
      <c r="C10229">
        <v>4</v>
      </c>
      <c r="D10229">
        <v>236.46</v>
      </c>
      <c r="E10229">
        <v>0</v>
      </c>
      <c r="F10229" t="s">
        <v>7</v>
      </c>
      <c r="G10229" t="s">
        <v>11</v>
      </c>
      <c r="H10229" s="5">
        <f>MONTH(Tabela1[[#This Row],[data]])</f>
        <v>3</v>
      </c>
      <c r="I10229">
        <f>YEAR(Tabela1[[#This Row],[data]])</f>
        <v>2026</v>
      </c>
    </row>
    <row r="10230" spans="1:9" x14ac:dyDescent="0.25">
      <c r="A10230" t="s">
        <v>6</v>
      </c>
      <c r="B10230" s="1">
        <v>46084</v>
      </c>
      <c r="C10230">
        <v>5</v>
      </c>
      <c r="D10230">
        <v>242.34</v>
      </c>
      <c r="E10230">
        <v>0</v>
      </c>
      <c r="F10230" t="s">
        <v>7</v>
      </c>
      <c r="G10230" t="s">
        <v>11</v>
      </c>
      <c r="H10230" s="5">
        <f>MONTH(Tabela1[[#This Row],[data]])</f>
        <v>3</v>
      </c>
      <c r="I10230">
        <f>YEAR(Tabela1[[#This Row],[data]])</f>
        <v>2026</v>
      </c>
    </row>
    <row r="10231" spans="1:9" x14ac:dyDescent="0.25">
      <c r="A10231" t="s">
        <v>6</v>
      </c>
      <c r="B10231" s="1">
        <v>46084</v>
      </c>
      <c r="C10231">
        <v>6</v>
      </c>
      <c r="D10231">
        <v>231</v>
      </c>
      <c r="E10231">
        <v>0</v>
      </c>
      <c r="F10231" t="s">
        <v>7</v>
      </c>
      <c r="G10231" t="s">
        <v>11</v>
      </c>
      <c r="H10231" s="5">
        <f>MONTH(Tabela1[[#This Row],[data]])</f>
        <v>3</v>
      </c>
      <c r="I10231">
        <f>YEAR(Tabela1[[#This Row],[data]])</f>
        <v>2026</v>
      </c>
    </row>
    <row r="10232" spans="1:9" x14ac:dyDescent="0.25">
      <c r="A10232" t="s">
        <v>6</v>
      </c>
      <c r="B10232" s="1">
        <v>46084</v>
      </c>
      <c r="C10232">
        <v>7</v>
      </c>
      <c r="D10232">
        <v>225.96</v>
      </c>
      <c r="E10232">
        <v>0</v>
      </c>
      <c r="F10232" t="s">
        <v>7</v>
      </c>
      <c r="G10232" t="s">
        <v>11</v>
      </c>
      <c r="H10232" s="5">
        <f>MONTH(Tabela1[[#This Row],[data]])</f>
        <v>3</v>
      </c>
      <c r="I10232">
        <f>YEAR(Tabela1[[#This Row],[data]])</f>
        <v>2026</v>
      </c>
    </row>
    <row r="10233" spans="1:9" x14ac:dyDescent="0.25">
      <c r="A10233" t="s">
        <v>6</v>
      </c>
      <c r="B10233" s="1">
        <v>46084</v>
      </c>
      <c r="C10233">
        <v>8</v>
      </c>
      <c r="D10233">
        <v>250.74</v>
      </c>
      <c r="E10233">
        <v>0</v>
      </c>
      <c r="F10233" t="s">
        <v>7</v>
      </c>
      <c r="G10233" t="s">
        <v>11</v>
      </c>
      <c r="H10233" s="5">
        <f>MONTH(Tabela1[[#This Row],[data]])</f>
        <v>3</v>
      </c>
      <c r="I10233">
        <f>YEAR(Tabela1[[#This Row],[data]])</f>
        <v>2026</v>
      </c>
    </row>
    <row r="10234" spans="1:9" x14ac:dyDescent="0.25">
      <c r="A10234" t="s">
        <v>6</v>
      </c>
      <c r="B10234" s="1">
        <v>46084</v>
      </c>
      <c r="C10234">
        <v>9</v>
      </c>
      <c r="D10234">
        <v>353.64</v>
      </c>
      <c r="E10234">
        <v>0.84</v>
      </c>
      <c r="F10234" t="s">
        <v>7</v>
      </c>
      <c r="G10234" t="s">
        <v>11</v>
      </c>
      <c r="H10234" s="5">
        <f>MONTH(Tabela1[[#This Row],[data]])</f>
        <v>3</v>
      </c>
      <c r="I10234">
        <f>YEAR(Tabela1[[#This Row],[data]])</f>
        <v>2026</v>
      </c>
    </row>
    <row r="10235" spans="1:9" x14ac:dyDescent="0.25">
      <c r="A10235" t="s">
        <v>6</v>
      </c>
      <c r="B10235" s="1">
        <v>46084</v>
      </c>
      <c r="C10235">
        <v>10</v>
      </c>
      <c r="D10235">
        <v>477.96</v>
      </c>
      <c r="E10235">
        <v>40.32</v>
      </c>
      <c r="F10235" t="s">
        <v>7</v>
      </c>
      <c r="G10235" t="s">
        <v>11</v>
      </c>
      <c r="H10235" s="5">
        <f>MONTH(Tabela1[[#This Row],[data]])</f>
        <v>3</v>
      </c>
      <c r="I10235">
        <f>YEAR(Tabela1[[#This Row],[data]])</f>
        <v>2026</v>
      </c>
    </row>
    <row r="10236" spans="1:9" x14ac:dyDescent="0.25">
      <c r="A10236" t="s">
        <v>6</v>
      </c>
      <c r="B10236" s="1">
        <v>46084</v>
      </c>
      <c r="C10236">
        <v>11</v>
      </c>
      <c r="D10236">
        <v>816.06</v>
      </c>
      <c r="E10236">
        <v>181.02</v>
      </c>
      <c r="F10236" t="s">
        <v>7</v>
      </c>
      <c r="G10236" t="s">
        <v>11</v>
      </c>
      <c r="H10236" s="5">
        <f>MONTH(Tabela1[[#This Row],[data]])</f>
        <v>3</v>
      </c>
      <c r="I10236">
        <f>YEAR(Tabela1[[#This Row],[data]])</f>
        <v>2026</v>
      </c>
    </row>
    <row r="10237" spans="1:9" x14ac:dyDescent="0.25">
      <c r="A10237" t="s">
        <v>6</v>
      </c>
      <c r="B10237" s="1">
        <v>46084</v>
      </c>
      <c r="C10237">
        <v>12</v>
      </c>
      <c r="D10237">
        <v>862.26</v>
      </c>
      <c r="E10237">
        <v>217.98</v>
      </c>
      <c r="F10237" t="s">
        <v>7</v>
      </c>
      <c r="G10237" t="s">
        <v>11</v>
      </c>
      <c r="H10237" s="5">
        <f>MONTH(Tabela1[[#This Row],[data]])</f>
        <v>3</v>
      </c>
      <c r="I10237">
        <f>YEAR(Tabela1[[#This Row],[data]])</f>
        <v>2026</v>
      </c>
    </row>
    <row r="10238" spans="1:9" x14ac:dyDescent="0.25">
      <c r="A10238" t="s">
        <v>6</v>
      </c>
      <c r="B10238" s="1">
        <v>46084</v>
      </c>
      <c r="C10238">
        <v>13</v>
      </c>
      <c r="D10238">
        <v>867.3</v>
      </c>
      <c r="E10238">
        <v>214.2</v>
      </c>
      <c r="F10238" t="s">
        <v>7</v>
      </c>
      <c r="G10238" t="s">
        <v>11</v>
      </c>
      <c r="H10238" s="5">
        <f>MONTH(Tabela1[[#This Row],[data]])</f>
        <v>3</v>
      </c>
      <c r="I10238">
        <f>YEAR(Tabela1[[#This Row],[data]])</f>
        <v>2026</v>
      </c>
    </row>
    <row r="10239" spans="1:9" x14ac:dyDescent="0.25">
      <c r="A10239" t="s">
        <v>6</v>
      </c>
      <c r="B10239" s="1">
        <v>46084</v>
      </c>
      <c r="C10239">
        <v>14</v>
      </c>
      <c r="D10239">
        <v>864.36</v>
      </c>
      <c r="E10239">
        <v>189.84</v>
      </c>
      <c r="F10239" t="s">
        <v>7</v>
      </c>
      <c r="G10239" t="s">
        <v>11</v>
      </c>
      <c r="H10239" s="5">
        <f>MONTH(Tabela1[[#This Row],[data]])</f>
        <v>3</v>
      </c>
      <c r="I10239">
        <f>YEAR(Tabela1[[#This Row],[data]])</f>
        <v>2026</v>
      </c>
    </row>
    <row r="10240" spans="1:9" x14ac:dyDescent="0.25">
      <c r="A10240" t="s">
        <v>6</v>
      </c>
      <c r="B10240" s="1">
        <v>46084</v>
      </c>
      <c r="C10240">
        <v>15</v>
      </c>
      <c r="D10240">
        <v>873.6</v>
      </c>
      <c r="E10240">
        <v>191.1</v>
      </c>
      <c r="F10240" t="s">
        <v>7</v>
      </c>
      <c r="G10240" t="s">
        <v>11</v>
      </c>
      <c r="H10240" s="5">
        <f>MONTH(Tabela1[[#This Row],[data]])</f>
        <v>3</v>
      </c>
      <c r="I10240">
        <f>YEAR(Tabela1[[#This Row],[data]])</f>
        <v>2026</v>
      </c>
    </row>
    <row r="10241" spans="1:9" x14ac:dyDescent="0.25">
      <c r="A10241" t="s">
        <v>6</v>
      </c>
      <c r="B10241" s="1">
        <v>46084</v>
      </c>
      <c r="C10241">
        <v>16</v>
      </c>
      <c r="D10241">
        <v>884.52</v>
      </c>
      <c r="E10241">
        <v>203.28</v>
      </c>
      <c r="F10241" t="s">
        <v>7</v>
      </c>
      <c r="G10241" t="s">
        <v>11</v>
      </c>
      <c r="H10241" s="5">
        <f>MONTH(Tabela1[[#This Row],[data]])</f>
        <v>3</v>
      </c>
      <c r="I10241">
        <f>YEAR(Tabela1[[#This Row],[data]])</f>
        <v>2026</v>
      </c>
    </row>
    <row r="10242" spans="1:9" x14ac:dyDescent="0.25">
      <c r="A10242" t="s">
        <v>6</v>
      </c>
      <c r="B10242" s="1">
        <v>46084</v>
      </c>
      <c r="C10242">
        <v>17</v>
      </c>
      <c r="D10242">
        <v>900.06</v>
      </c>
      <c r="E10242">
        <v>232.26</v>
      </c>
      <c r="F10242" t="s">
        <v>7</v>
      </c>
      <c r="G10242" t="s">
        <v>11</v>
      </c>
      <c r="H10242" s="5">
        <f>MONTH(Tabela1[[#This Row],[data]])</f>
        <v>3</v>
      </c>
      <c r="I10242">
        <f>YEAR(Tabela1[[#This Row],[data]])</f>
        <v>2026</v>
      </c>
    </row>
    <row r="10243" spans="1:9" x14ac:dyDescent="0.25">
      <c r="A10243" t="s">
        <v>6</v>
      </c>
      <c r="B10243" s="1">
        <v>46084</v>
      </c>
      <c r="C10243">
        <v>18</v>
      </c>
      <c r="D10243">
        <v>861.42</v>
      </c>
      <c r="E10243">
        <v>204.12</v>
      </c>
      <c r="F10243" t="s">
        <v>7</v>
      </c>
      <c r="G10243" t="s">
        <v>11</v>
      </c>
      <c r="H10243" s="5">
        <f>MONTH(Tabela1[[#This Row],[data]])</f>
        <v>3</v>
      </c>
      <c r="I10243">
        <f>YEAR(Tabela1[[#This Row],[data]])</f>
        <v>2026</v>
      </c>
    </row>
    <row r="10244" spans="1:9" x14ac:dyDescent="0.25">
      <c r="A10244" t="s">
        <v>6</v>
      </c>
      <c r="B10244" s="1">
        <v>46084</v>
      </c>
      <c r="C10244">
        <v>19</v>
      </c>
      <c r="D10244">
        <v>837.48</v>
      </c>
      <c r="E10244">
        <v>168</v>
      </c>
      <c r="F10244" t="s">
        <v>7</v>
      </c>
      <c r="G10244" t="s">
        <v>11</v>
      </c>
      <c r="H10244" s="5">
        <f>MONTH(Tabela1[[#This Row],[data]])</f>
        <v>3</v>
      </c>
      <c r="I10244">
        <f>YEAR(Tabela1[[#This Row],[data]])</f>
        <v>2026</v>
      </c>
    </row>
    <row r="10245" spans="1:9" x14ac:dyDescent="0.25">
      <c r="A10245" t="s">
        <v>6</v>
      </c>
      <c r="B10245" s="1">
        <v>46084</v>
      </c>
      <c r="C10245">
        <v>20</v>
      </c>
      <c r="D10245">
        <v>805.56</v>
      </c>
      <c r="E10245">
        <v>179.34</v>
      </c>
      <c r="F10245" t="s">
        <v>7</v>
      </c>
      <c r="G10245" t="s">
        <v>11</v>
      </c>
      <c r="H10245" s="5">
        <f>MONTH(Tabela1[[#This Row],[data]])</f>
        <v>3</v>
      </c>
      <c r="I10245">
        <f>YEAR(Tabela1[[#This Row],[data]])</f>
        <v>2026</v>
      </c>
    </row>
    <row r="10246" spans="1:9" x14ac:dyDescent="0.25">
      <c r="A10246" t="s">
        <v>6</v>
      </c>
      <c r="B10246" s="1">
        <v>46084</v>
      </c>
      <c r="C10246">
        <v>21</v>
      </c>
      <c r="D10246">
        <v>784.14</v>
      </c>
      <c r="E10246">
        <v>188.16</v>
      </c>
      <c r="F10246" t="s">
        <v>7</v>
      </c>
      <c r="G10246" t="s">
        <v>11</v>
      </c>
      <c r="H10246" s="5">
        <f>MONTH(Tabela1[[#This Row],[data]])</f>
        <v>3</v>
      </c>
      <c r="I10246">
        <f>YEAR(Tabela1[[#This Row],[data]])</f>
        <v>2026</v>
      </c>
    </row>
    <row r="10247" spans="1:9" x14ac:dyDescent="0.25">
      <c r="A10247" t="s">
        <v>6</v>
      </c>
      <c r="B10247" s="1">
        <v>46084</v>
      </c>
      <c r="C10247">
        <v>22</v>
      </c>
      <c r="D10247">
        <v>578.34</v>
      </c>
      <c r="E10247">
        <v>66.36</v>
      </c>
      <c r="F10247" t="s">
        <v>7</v>
      </c>
      <c r="G10247" t="s">
        <v>11</v>
      </c>
      <c r="H10247" s="5">
        <f>MONTH(Tabela1[[#This Row],[data]])</f>
        <v>3</v>
      </c>
      <c r="I10247">
        <f>YEAR(Tabela1[[#This Row],[data]])</f>
        <v>2026</v>
      </c>
    </row>
    <row r="10248" spans="1:9" x14ac:dyDescent="0.25">
      <c r="A10248" t="s">
        <v>6</v>
      </c>
      <c r="B10248" s="1">
        <v>46084</v>
      </c>
      <c r="C10248">
        <v>23</v>
      </c>
      <c r="D10248">
        <v>349.44</v>
      </c>
      <c r="E10248">
        <v>2.52</v>
      </c>
      <c r="F10248" t="s">
        <v>7</v>
      </c>
      <c r="G10248" t="s">
        <v>11</v>
      </c>
      <c r="H10248" s="5">
        <f>MONTH(Tabela1[[#This Row],[data]])</f>
        <v>3</v>
      </c>
      <c r="I10248">
        <f>YEAR(Tabela1[[#This Row],[data]])</f>
        <v>2026</v>
      </c>
    </row>
    <row r="10249" spans="1:9" x14ac:dyDescent="0.25">
      <c r="A10249" t="s">
        <v>6</v>
      </c>
      <c r="B10249" s="1">
        <v>46084</v>
      </c>
      <c r="C10249">
        <v>24</v>
      </c>
      <c r="D10249">
        <v>268.38</v>
      </c>
      <c r="E10249">
        <v>0</v>
      </c>
      <c r="F10249" t="s">
        <v>7</v>
      </c>
      <c r="G10249" t="s">
        <v>11</v>
      </c>
      <c r="H10249" s="5">
        <f>MONTH(Tabela1[[#This Row],[data]])</f>
        <v>3</v>
      </c>
      <c r="I10249">
        <f>YEAR(Tabela1[[#This Row],[data]])</f>
        <v>2026</v>
      </c>
    </row>
    <row r="10250" spans="1:9" x14ac:dyDescent="0.25">
      <c r="A10250" t="s">
        <v>6</v>
      </c>
      <c r="B10250" s="1">
        <v>46085</v>
      </c>
      <c r="C10250">
        <v>1</v>
      </c>
      <c r="D10250">
        <v>229.74</v>
      </c>
      <c r="E10250">
        <v>0</v>
      </c>
      <c r="F10250" t="s">
        <v>7</v>
      </c>
      <c r="G10250" t="s">
        <v>11</v>
      </c>
      <c r="H10250" s="5">
        <f>MONTH(Tabela1[[#This Row],[data]])</f>
        <v>3</v>
      </c>
      <c r="I10250">
        <f>YEAR(Tabela1[[#This Row],[data]])</f>
        <v>2026</v>
      </c>
    </row>
    <row r="10251" spans="1:9" x14ac:dyDescent="0.25">
      <c r="A10251" t="s">
        <v>6</v>
      </c>
      <c r="B10251" s="1">
        <v>46085</v>
      </c>
      <c r="C10251">
        <v>2</v>
      </c>
      <c r="D10251">
        <v>226.38</v>
      </c>
      <c r="E10251">
        <v>0</v>
      </c>
      <c r="F10251" t="s">
        <v>7</v>
      </c>
      <c r="G10251" t="s">
        <v>11</v>
      </c>
      <c r="H10251" s="5">
        <f>MONTH(Tabela1[[#This Row],[data]])</f>
        <v>3</v>
      </c>
      <c r="I10251">
        <f>YEAR(Tabela1[[#This Row],[data]])</f>
        <v>2026</v>
      </c>
    </row>
    <row r="10252" spans="1:9" x14ac:dyDescent="0.25">
      <c r="A10252" t="s">
        <v>6</v>
      </c>
      <c r="B10252" s="1">
        <v>46085</v>
      </c>
      <c r="C10252">
        <v>3</v>
      </c>
      <c r="D10252">
        <v>220.5</v>
      </c>
      <c r="E10252">
        <v>0</v>
      </c>
      <c r="F10252" t="s">
        <v>7</v>
      </c>
      <c r="G10252" t="s">
        <v>11</v>
      </c>
      <c r="H10252" s="5">
        <f>MONTH(Tabela1[[#This Row],[data]])</f>
        <v>3</v>
      </c>
      <c r="I10252">
        <f>YEAR(Tabela1[[#This Row],[data]])</f>
        <v>2026</v>
      </c>
    </row>
    <row r="10253" spans="1:9" x14ac:dyDescent="0.25">
      <c r="A10253" t="s">
        <v>6</v>
      </c>
      <c r="B10253" s="1">
        <v>46085</v>
      </c>
      <c r="C10253">
        <v>4</v>
      </c>
      <c r="D10253">
        <v>209.58</v>
      </c>
      <c r="E10253">
        <v>0</v>
      </c>
      <c r="F10253" t="s">
        <v>7</v>
      </c>
      <c r="G10253" t="s">
        <v>11</v>
      </c>
      <c r="H10253" s="5">
        <f>MONTH(Tabela1[[#This Row],[data]])</f>
        <v>3</v>
      </c>
      <c r="I10253">
        <f>YEAR(Tabela1[[#This Row],[data]])</f>
        <v>2026</v>
      </c>
    </row>
    <row r="10254" spans="1:9" x14ac:dyDescent="0.25">
      <c r="A10254" t="s">
        <v>6</v>
      </c>
      <c r="B10254" s="1">
        <v>46085</v>
      </c>
      <c r="C10254">
        <v>5</v>
      </c>
      <c r="D10254">
        <v>214.2</v>
      </c>
      <c r="E10254">
        <v>0</v>
      </c>
      <c r="F10254" t="s">
        <v>7</v>
      </c>
      <c r="G10254" t="s">
        <v>11</v>
      </c>
      <c r="H10254" s="5">
        <f>MONTH(Tabela1[[#This Row],[data]])</f>
        <v>3</v>
      </c>
      <c r="I10254">
        <f>YEAR(Tabela1[[#This Row],[data]])</f>
        <v>2026</v>
      </c>
    </row>
    <row r="10255" spans="1:9" x14ac:dyDescent="0.25">
      <c r="A10255" t="s">
        <v>6</v>
      </c>
      <c r="B10255" s="1">
        <v>46085</v>
      </c>
      <c r="C10255">
        <v>6</v>
      </c>
      <c r="D10255">
        <v>212.1</v>
      </c>
      <c r="E10255">
        <v>0</v>
      </c>
      <c r="F10255" t="s">
        <v>7</v>
      </c>
      <c r="G10255" t="s">
        <v>11</v>
      </c>
      <c r="H10255" s="5">
        <f>MONTH(Tabela1[[#This Row],[data]])</f>
        <v>3</v>
      </c>
      <c r="I10255">
        <f>YEAR(Tabela1[[#This Row],[data]])</f>
        <v>2026</v>
      </c>
    </row>
    <row r="10256" spans="1:9" x14ac:dyDescent="0.25">
      <c r="A10256" t="s">
        <v>6</v>
      </c>
      <c r="B10256" s="1">
        <v>46085</v>
      </c>
      <c r="C10256">
        <v>7</v>
      </c>
      <c r="D10256">
        <v>201.18</v>
      </c>
      <c r="E10256">
        <v>0</v>
      </c>
      <c r="F10256" t="s">
        <v>7</v>
      </c>
      <c r="G10256" t="s">
        <v>11</v>
      </c>
      <c r="H10256" s="5">
        <f>MONTH(Tabela1[[#This Row],[data]])</f>
        <v>3</v>
      </c>
      <c r="I10256">
        <f>YEAR(Tabela1[[#This Row],[data]])</f>
        <v>2026</v>
      </c>
    </row>
    <row r="10257" spans="1:9" x14ac:dyDescent="0.25">
      <c r="A10257" t="s">
        <v>6</v>
      </c>
      <c r="B10257" s="1">
        <v>46085</v>
      </c>
      <c r="C10257">
        <v>8</v>
      </c>
      <c r="D10257">
        <v>226.38</v>
      </c>
      <c r="E10257">
        <v>0</v>
      </c>
      <c r="F10257" t="s">
        <v>7</v>
      </c>
      <c r="G10257" t="s">
        <v>11</v>
      </c>
      <c r="H10257" s="5">
        <f>MONTH(Tabela1[[#This Row],[data]])</f>
        <v>3</v>
      </c>
      <c r="I10257">
        <f>YEAR(Tabela1[[#This Row],[data]])</f>
        <v>2026</v>
      </c>
    </row>
    <row r="10258" spans="1:9" x14ac:dyDescent="0.25">
      <c r="A10258" t="s">
        <v>6</v>
      </c>
      <c r="B10258" s="1">
        <v>46085</v>
      </c>
      <c r="C10258">
        <v>9</v>
      </c>
      <c r="D10258">
        <v>330.96</v>
      </c>
      <c r="E10258">
        <v>0</v>
      </c>
      <c r="F10258" t="s">
        <v>7</v>
      </c>
      <c r="G10258" t="s">
        <v>11</v>
      </c>
      <c r="H10258" s="5">
        <f>MONTH(Tabela1[[#This Row],[data]])</f>
        <v>3</v>
      </c>
      <c r="I10258">
        <f>YEAR(Tabela1[[#This Row],[data]])</f>
        <v>2026</v>
      </c>
    </row>
    <row r="10259" spans="1:9" x14ac:dyDescent="0.25">
      <c r="A10259" t="s">
        <v>6</v>
      </c>
      <c r="B10259" s="1">
        <v>46085</v>
      </c>
      <c r="C10259">
        <v>10</v>
      </c>
      <c r="D10259">
        <v>406.98</v>
      </c>
      <c r="E10259">
        <v>9.24</v>
      </c>
      <c r="F10259" t="s">
        <v>7</v>
      </c>
      <c r="G10259" t="s">
        <v>11</v>
      </c>
      <c r="H10259" s="5">
        <f>MONTH(Tabela1[[#This Row],[data]])</f>
        <v>3</v>
      </c>
      <c r="I10259">
        <f>YEAR(Tabela1[[#This Row],[data]])</f>
        <v>2026</v>
      </c>
    </row>
    <row r="10260" spans="1:9" x14ac:dyDescent="0.25">
      <c r="A10260" t="s">
        <v>6</v>
      </c>
      <c r="B10260" s="1">
        <v>46085</v>
      </c>
      <c r="C10260">
        <v>11</v>
      </c>
      <c r="D10260">
        <v>845.46</v>
      </c>
      <c r="E10260">
        <v>172.2</v>
      </c>
      <c r="F10260" t="s">
        <v>7</v>
      </c>
      <c r="G10260" t="s">
        <v>11</v>
      </c>
      <c r="H10260" s="5">
        <f>MONTH(Tabela1[[#This Row],[data]])</f>
        <v>3</v>
      </c>
      <c r="I10260">
        <f>YEAR(Tabela1[[#This Row],[data]])</f>
        <v>2026</v>
      </c>
    </row>
    <row r="10261" spans="1:9" x14ac:dyDescent="0.25">
      <c r="A10261" t="s">
        <v>6</v>
      </c>
      <c r="B10261" s="1">
        <v>46085</v>
      </c>
      <c r="C10261">
        <v>12</v>
      </c>
      <c r="D10261">
        <v>830.34</v>
      </c>
      <c r="E10261">
        <v>166.74</v>
      </c>
      <c r="F10261" t="s">
        <v>7</v>
      </c>
      <c r="G10261" t="s">
        <v>11</v>
      </c>
      <c r="H10261" s="5">
        <f>MONTH(Tabela1[[#This Row],[data]])</f>
        <v>3</v>
      </c>
      <c r="I10261">
        <f>YEAR(Tabela1[[#This Row],[data]])</f>
        <v>2026</v>
      </c>
    </row>
    <row r="10262" spans="1:9" x14ac:dyDescent="0.25">
      <c r="A10262" t="s">
        <v>6</v>
      </c>
      <c r="B10262" s="1">
        <v>46085</v>
      </c>
      <c r="C10262">
        <v>13</v>
      </c>
      <c r="D10262">
        <v>845.04</v>
      </c>
      <c r="E10262">
        <v>189.42</v>
      </c>
      <c r="F10262" t="s">
        <v>7</v>
      </c>
      <c r="G10262" t="s">
        <v>11</v>
      </c>
      <c r="H10262" s="5">
        <f>MONTH(Tabela1[[#This Row],[data]])</f>
        <v>3</v>
      </c>
      <c r="I10262">
        <f>YEAR(Tabela1[[#This Row],[data]])</f>
        <v>2026</v>
      </c>
    </row>
    <row r="10263" spans="1:9" x14ac:dyDescent="0.25">
      <c r="A10263" t="s">
        <v>6</v>
      </c>
      <c r="B10263" s="1">
        <v>46085</v>
      </c>
      <c r="C10263">
        <v>14</v>
      </c>
      <c r="D10263">
        <v>837.48</v>
      </c>
      <c r="E10263">
        <v>177.24</v>
      </c>
      <c r="F10263" t="s">
        <v>7</v>
      </c>
      <c r="G10263" t="s">
        <v>11</v>
      </c>
      <c r="H10263" s="5">
        <f>MONTH(Tabela1[[#This Row],[data]])</f>
        <v>3</v>
      </c>
      <c r="I10263">
        <f>YEAR(Tabela1[[#This Row],[data]])</f>
        <v>2026</v>
      </c>
    </row>
    <row r="10264" spans="1:9" x14ac:dyDescent="0.25">
      <c r="A10264" t="s">
        <v>6</v>
      </c>
      <c r="B10264" s="1">
        <v>46085</v>
      </c>
      <c r="C10264">
        <v>15</v>
      </c>
      <c r="D10264">
        <v>844.2</v>
      </c>
      <c r="E10264">
        <v>180.18</v>
      </c>
      <c r="F10264" t="s">
        <v>7</v>
      </c>
      <c r="G10264" t="s">
        <v>11</v>
      </c>
      <c r="H10264" s="5">
        <f>MONTH(Tabela1[[#This Row],[data]])</f>
        <v>3</v>
      </c>
      <c r="I10264">
        <f>YEAR(Tabela1[[#This Row],[data]])</f>
        <v>2026</v>
      </c>
    </row>
    <row r="10265" spans="1:9" x14ac:dyDescent="0.25">
      <c r="A10265" t="s">
        <v>6</v>
      </c>
      <c r="B10265" s="1">
        <v>46085</v>
      </c>
      <c r="C10265">
        <v>16</v>
      </c>
      <c r="D10265">
        <v>882</v>
      </c>
      <c r="E10265">
        <v>202.44</v>
      </c>
      <c r="F10265" t="s">
        <v>7</v>
      </c>
      <c r="G10265" t="s">
        <v>11</v>
      </c>
      <c r="H10265" s="5">
        <f>MONTH(Tabela1[[#This Row],[data]])</f>
        <v>3</v>
      </c>
      <c r="I10265">
        <f>YEAR(Tabela1[[#This Row],[data]])</f>
        <v>2026</v>
      </c>
    </row>
    <row r="10266" spans="1:9" x14ac:dyDescent="0.25">
      <c r="A10266" t="s">
        <v>6</v>
      </c>
      <c r="B10266" s="1">
        <v>46085</v>
      </c>
      <c r="C10266">
        <v>17</v>
      </c>
      <c r="D10266">
        <v>883.26</v>
      </c>
      <c r="E10266">
        <v>225.12</v>
      </c>
      <c r="F10266" t="s">
        <v>7</v>
      </c>
      <c r="G10266" t="s">
        <v>11</v>
      </c>
      <c r="H10266" s="5">
        <f>MONTH(Tabela1[[#This Row],[data]])</f>
        <v>3</v>
      </c>
      <c r="I10266">
        <f>YEAR(Tabela1[[#This Row],[data]])</f>
        <v>2026</v>
      </c>
    </row>
    <row r="10267" spans="1:9" x14ac:dyDescent="0.25">
      <c r="A10267" t="s">
        <v>6</v>
      </c>
      <c r="B10267" s="1">
        <v>46085</v>
      </c>
      <c r="C10267">
        <v>18</v>
      </c>
      <c r="D10267">
        <v>853.44</v>
      </c>
      <c r="E10267">
        <v>202.02</v>
      </c>
      <c r="F10267" t="s">
        <v>7</v>
      </c>
      <c r="G10267" t="s">
        <v>11</v>
      </c>
      <c r="H10267" s="5">
        <f>MONTH(Tabela1[[#This Row],[data]])</f>
        <v>3</v>
      </c>
      <c r="I10267">
        <f>YEAR(Tabela1[[#This Row],[data]])</f>
        <v>2026</v>
      </c>
    </row>
    <row r="10268" spans="1:9" x14ac:dyDescent="0.25">
      <c r="A10268" t="s">
        <v>6</v>
      </c>
      <c r="B10268" s="1">
        <v>46085</v>
      </c>
      <c r="C10268">
        <v>19</v>
      </c>
      <c r="D10268">
        <v>807.66</v>
      </c>
      <c r="E10268">
        <v>181.02</v>
      </c>
      <c r="F10268" t="s">
        <v>7</v>
      </c>
      <c r="G10268" t="s">
        <v>11</v>
      </c>
      <c r="H10268" s="5">
        <f>MONTH(Tabela1[[#This Row],[data]])</f>
        <v>3</v>
      </c>
      <c r="I10268">
        <f>YEAR(Tabela1[[#This Row],[data]])</f>
        <v>2026</v>
      </c>
    </row>
    <row r="10269" spans="1:9" x14ac:dyDescent="0.25">
      <c r="A10269" t="s">
        <v>6</v>
      </c>
      <c r="B10269" s="1">
        <v>46085</v>
      </c>
      <c r="C10269">
        <v>20</v>
      </c>
      <c r="D10269">
        <v>780.36</v>
      </c>
      <c r="E10269">
        <v>160.02000000000001</v>
      </c>
      <c r="F10269" t="s">
        <v>7</v>
      </c>
      <c r="G10269" t="s">
        <v>11</v>
      </c>
      <c r="H10269" s="5">
        <f>MONTH(Tabela1[[#This Row],[data]])</f>
        <v>3</v>
      </c>
      <c r="I10269">
        <f>YEAR(Tabela1[[#This Row],[data]])</f>
        <v>2026</v>
      </c>
    </row>
    <row r="10270" spans="1:9" x14ac:dyDescent="0.25">
      <c r="A10270" t="s">
        <v>6</v>
      </c>
      <c r="B10270" s="1">
        <v>46085</v>
      </c>
      <c r="C10270">
        <v>21</v>
      </c>
      <c r="D10270">
        <v>631.26</v>
      </c>
      <c r="E10270">
        <v>88.2</v>
      </c>
      <c r="F10270" t="s">
        <v>7</v>
      </c>
      <c r="G10270" t="s">
        <v>11</v>
      </c>
      <c r="H10270" s="5">
        <f>MONTH(Tabela1[[#This Row],[data]])</f>
        <v>3</v>
      </c>
      <c r="I10270">
        <f>YEAR(Tabela1[[#This Row],[data]])</f>
        <v>2026</v>
      </c>
    </row>
    <row r="10271" spans="1:9" x14ac:dyDescent="0.25">
      <c r="A10271" t="s">
        <v>6</v>
      </c>
      <c r="B10271" s="1">
        <v>46085</v>
      </c>
      <c r="C10271">
        <v>22</v>
      </c>
      <c r="D10271">
        <v>553.98</v>
      </c>
      <c r="E10271">
        <v>39.06</v>
      </c>
      <c r="F10271" t="s">
        <v>7</v>
      </c>
      <c r="G10271" t="s">
        <v>11</v>
      </c>
      <c r="H10271" s="5">
        <f>MONTH(Tabela1[[#This Row],[data]])</f>
        <v>3</v>
      </c>
      <c r="I10271">
        <f>YEAR(Tabela1[[#This Row],[data]])</f>
        <v>2026</v>
      </c>
    </row>
    <row r="10272" spans="1:9" x14ac:dyDescent="0.25">
      <c r="A10272" t="s">
        <v>6</v>
      </c>
      <c r="B10272" s="1">
        <v>46085</v>
      </c>
      <c r="C10272">
        <v>23</v>
      </c>
      <c r="D10272">
        <v>334.74</v>
      </c>
      <c r="E10272">
        <v>0</v>
      </c>
      <c r="F10272" t="s">
        <v>7</v>
      </c>
      <c r="G10272" t="s">
        <v>11</v>
      </c>
      <c r="H10272" s="5">
        <f>MONTH(Tabela1[[#This Row],[data]])</f>
        <v>3</v>
      </c>
      <c r="I10272">
        <f>YEAR(Tabela1[[#This Row],[data]])</f>
        <v>2026</v>
      </c>
    </row>
    <row r="10273" spans="1:9" x14ac:dyDescent="0.25">
      <c r="A10273" t="s">
        <v>6</v>
      </c>
      <c r="B10273" s="1">
        <v>46085</v>
      </c>
      <c r="C10273">
        <v>24</v>
      </c>
      <c r="D10273">
        <v>250.32</v>
      </c>
      <c r="E10273">
        <v>0</v>
      </c>
      <c r="F10273" t="s">
        <v>7</v>
      </c>
      <c r="G10273" t="s">
        <v>11</v>
      </c>
      <c r="H10273" s="5">
        <f>MONTH(Tabela1[[#This Row],[data]])</f>
        <v>3</v>
      </c>
      <c r="I10273">
        <f>YEAR(Tabela1[[#This Row],[data]])</f>
        <v>2026</v>
      </c>
    </row>
    <row r="10274" spans="1:9" x14ac:dyDescent="0.25">
      <c r="A10274" t="s">
        <v>6</v>
      </c>
      <c r="B10274" s="1">
        <v>46086</v>
      </c>
      <c r="C10274">
        <v>1</v>
      </c>
      <c r="D10274">
        <v>224.7</v>
      </c>
      <c r="E10274">
        <v>0</v>
      </c>
      <c r="F10274" t="s">
        <v>7</v>
      </c>
      <c r="G10274" t="s">
        <v>12</v>
      </c>
      <c r="H10274" s="5">
        <f>MONTH(Tabela1[[#This Row],[data]])</f>
        <v>3</v>
      </c>
      <c r="I10274">
        <f>YEAR(Tabela1[[#This Row],[data]])</f>
        <v>2026</v>
      </c>
    </row>
    <row r="10275" spans="1:9" x14ac:dyDescent="0.25">
      <c r="A10275" t="s">
        <v>6</v>
      </c>
      <c r="B10275" s="1">
        <v>46086</v>
      </c>
      <c r="C10275">
        <v>2</v>
      </c>
      <c r="D10275">
        <v>220.5</v>
      </c>
      <c r="E10275">
        <v>0</v>
      </c>
      <c r="F10275" t="s">
        <v>7</v>
      </c>
      <c r="G10275" t="s">
        <v>12</v>
      </c>
      <c r="H10275" s="5">
        <f>MONTH(Tabela1[[#This Row],[data]])</f>
        <v>3</v>
      </c>
      <c r="I10275">
        <f>YEAR(Tabela1[[#This Row],[data]])</f>
        <v>2026</v>
      </c>
    </row>
    <row r="10276" spans="1:9" x14ac:dyDescent="0.25">
      <c r="A10276" t="s">
        <v>6</v>
      </c>
      <c r="B10276" s="1">
        <v>46086</v>
      </c>
      <c r="C10276">
        <v>3</v>
      </c>
      <c r="D10276">
        <v>220.5</v>
      </c>
      <c r="E10276">
        <v>0</v>
      </c>
      <c r="F10276" t="s">
        <v>7</v>
      </c>
      <c r="G10276" t="s">
        <v>11</v>
      </c>
      <c r="H10276" s="5">
        <f>MONTH(Tabela1[[#This Row],[data]])</f>
        <v>3</v>
      </c>
      <c r="I10276">
        <f>YEAR(Tabela1[[#This Row],[data]])</f>
        <v>2026</v>
      </c>
    </row>
    <row r="10277" spans="1:9" x14ac:dyDescent="0.25">
      <c r="A10277" t="s">
        <v>6</v>
      </c>
      <c r="B10277" s="1">
        <v>46086</v>
      </c>
      <c r="C10277">
        <v>4</v>
      </c>
      <c r="D10277">
        <v>220.5</v>
      </c>
      <c r="E10277">
        <v>0</v>
      </c>
      <c r="F10277" t="s">
        <v>7</v>
      </c>
      <c r="G10277" t="s">
        <v>11</v>
      </c>
      <c r="H10277" s="5">
        <f>MONTH(Tabela1[[#This Row],[data]])</f>
        <v>3</v>
      </c>
      <c r="I10277">
        <f>YEAR(Tabela1[[#This Row],[data]])</f>
        <v>2026</v>
      </c>
    </row>
    <row r="10278" spans="1:9" x14ac:dyDescent="0.25">
      <c r="A10278" t="s">
        <v>6</v>
      </c>
      <c r="B10278" s="1">
        <v>46086</v>
      </c>
      <c r="C10278">
        <v>5</v>
      </c>
      <c r="D10278">
        <v>226.8</v>
      </c>
      <c r="E10278">
        <v>0</v>
      </c>
      <c r="F10278" t="s">
        <v>7</v>
      </c>
      <c r="G10278" t="s">
        <v>12</v>
      </c>
      <c r="H10278" s="5">
        <f>MONTH(Tabela1[[#This Row],[data]])</f>
        <v>3</v>
      </c>
      <c r="I10278">
        <f>YEAR(Tabela1[[#This Row],[data]])</f>
        <v>2026</v>
      </c>
    </row>
    <row r="10279" spans="1:9" x14ac:dyDescent="0.25">
      <c r="A10279" t="s">
        <v>6</v>
      </c>
      <c r="B10279" s="1">
        <v>46086</v>
      </c>
      <c r="C10279">
        <v>6</v>
      </c>
      <c r="D10279">
        <v>220.08</v>
      </c>
      <c r="E10279">
        <v>0</v>
      </c>
      <c r="F10279" t="s">
        <v>7</v>
      </c>
      <c r="G10279" t="s">
        <v>11</v>
      </c>
      <c r="H10279" s="5">
        <f>MONTH(Tabela1[[#This Row],[data]])</f>
        <v>3</v>
      </c>
      <c r="I10279">
        <f>YEAR(Tabela1[[#This Row],[data]])</f>
        <v>2026</v>
      </c>
    </row>
    <row r="10280" spans="1:9" x14ac:dyDescent="0.25">
      <c r="A10280" t="s">
        <v>6</v>
      </c>
      <c r="B10280" s="1">
        <v>46086</v>
      </c>
      <c r="C10280">
        <v>7</v>
      </c>
      <c r="D10280">
        <v>217.98</v>
      </c>
      <c r="E10280">
        <v>0</v>
      </c>
      <c r="F10280" t="s">
        <v>7</v>
      </c>
      <c r="G10280" t="s">
        <v>11</v>
      </c>
      <c r="H10280" s="5">
        <f>MONTH(Tabela1[[#This Row],[data]])</f>
        <v>3</v>
      </c>
      <c r="I10280">
        <f>YEAR(Tabela1[[#This Row],[data]])</f>
        <v>2026</v>
      </c>
    </row>
    <row r="10281" spans="1:9" x14ac:dyDescent="0.25">
      <c r="A10281" t="s">
        <v>6</v>
      </c>
      <c r="B10281" s="1">
        <v>46086</v>
      </c>
      <c r="C10281">
        <v>8</v>
      </c>
      <c r="D10281">
        <v>231.42</v>
      </c>
      <c r="E10281">
        <v>0</v>
      </c>
      <c r="F10281" t="s">
        <v>7</v>
      </c>
      <c r="G10281" t="s">
        <v>12</v>
      </c>
      <c r="H10281" s="5">
        <f>MONTH(Tabela1[[#This Row],[data]])</f>
        <v>3</v>
      </c>
      <c r="I10281">
        <f>YEAR(Tabela1[[#This Row],[data]])</f>
        <v>2026</v>
      </c>
    </row>
    <row r="10282" spans="1:9" x14ac:dyDescent="0.25">
      <c r="A10282" t="s">
        <v>6</v>
      </c>
      <c r="B10282" s="1">
        <v>46086</v>
      </c>
      <c r="C10282">
        <v>9</v>
      </c>
      <c r="D10282">
        <v>304.5</v>
      </c>
      <c r="E10282">
        <v>0</v>
      </c>
      <c r="F10282" t="s">
        <v>7</v>
      </c>
      <c r="G10282" t="s">
        <v>12</v>
      </c>
      <c r="H10282" s="5">
        <f>MONTH(Tabela1[[#This Row],[data]])</f>
        <v>3</v>
      </c>
      <c r="I10282">
        <f>YEAR(Tabela1[[#This Row],[data]])</f>
        <v>2026</v>
      </c>
    </row>
    <row r="10283" spans="1:9" x14ac:dyDescent="0.25">
      <c r="A10283" t="s">
        <v>6</v>
      </c>
      <c r="B10283" s="1">
        <v>46086</v>
      </c>
      <c r="C10283">
        <v>10</v>
      </c>
      <c r="D10283">
        <v>400.68</v>
      </c>
      <c r="E10283">
        <v>10.5</v>
      </c>
      <c r="F10283" t="s">
        <v>7</v>
      </c>
      <c r="G10283" t="s">
        <v>12</v>
      </c>
      <c r="H10283" s="5">
        <f>MONTH(Tabela1[[#This Row],[data]])</f>
        <v>3</v>
      </c>
      <c r="I10283">
        <f>YEAR(Tabela1[[#This Row],[data]])</f>
        <v>2026</v>
      </c>
    </row>
    <row r="10284" spans="1:9" x14ac:dyDescent="0.25">
      <c r="A10284" t="s">
        <v>6</v>
      </c>
      <c r="B10284" s="1">
        <v>46086</v>
      </c>
      <c r="C10284">
        <v>11</v>
      </c>
      <c r="D10284">
        <v>823.2</v>
      </c>
      <c r="E10284">
        <v>166.32</v>
      </c>
      <c r="F10284" t="s">
        <v>7</v>
      </c>
      <c r="G10284" t="s">
        <v>11</v>
      </c>
      <c r="H10284" s="5">
        <f>MONTH(Tabela1[[#This Row],[data]])</f>
        <v>3</v>
      </c>
      <c r="I10284">
        <f>YEAR(Tabela1[[#This Row],[data]])</f>
        <v>2026</v>
      </c>
    </row>
    <row r="10285" spans="1:9" x14ac:dyDescent="0.25">
      <c r="A10285" t="s">
        <v>6</v>
      </c>
      <c r="B10285" s="1">
        <v>46086</v>
      </c>
      <c r="C10285">
        <v>12</v>
      </c>
      <c r="D10285">
        <v>839.16</v>
      </c>
      <c r="E10285">
        <v>169.68</v>
      </c>
      <c r="F10285" t="s">
        <v>7</v>
      </c>
      <c r="G10285" t="s">
        <v>12</v>
      </c>
      <c r="H10285" s="5">
        <f>MONTH(Tabela1[[#This Row],[data]])</f>
        <v>3</v>
      </c>
      <c r="I10285">
        <f>YEAR(Tabela1[[#This Row],[data]])</f>
        <v>2026</v>
      </c>
    </row>
    <row r="10286" spans="1:9" x14ac:dyDescent="0.25">
      <c r="A10286" t="s">
        <v>6</v>
      </c>
      <c r="B10286" s="1">
        <v>46086</v>
      </c>
      <c r="C10286">
        <v>13</v>
      </c>
      <c r="D10286">
        <v>844.2</v>
      </c>
      <c r="E10286">
        <v>196.98</v>
      </c>
      <c r="F10286" t="s">
        <v>7</v>
      </c>
      <c r="G10286" t="s">
        <v>11</v>
      </c>
      <c r="H10286" s="5">
        <f>MONTH(Tabela1[[#This Row],[data]])</f>
        <v>3</v>
      </c>
      <c r="I10286">
        <f>YEAR(Tabela1[[#This Row],[data]])</f>
        <v>2026</v>
      </c>
    </row>
    <row r="10287" spans="1:9" x14ac:dyDescent="0.25">
      <c r="A10287" t="s">
        <v>6</v>
      </c>
      <c r="B10287" s="1">
        <v>46086</v>
      </c>
      <c r="C10287">
        <v>14</v>
      </c>
      <c r="D10287">
        <v>920.64</v>
      </c>
      <c r="E10287">
        <v>207.9</v>
      </c>
      <c r="F10287" t="s">
        <v>7</v>
      </c>
      <c r="G10287" t="s">
        <v>12</v>
      </c>
      <c r="H10287" s="5">
        <f>MONTH(Tabela1[[#This Row],[data]])</f>
        <v>3</v>
      </c>
      <c r="I10287">
        <f>YEAR(Tabela1[[#This Row],[data]])</f>
        <v>2026</v>
      </c>
    </row>
    <row r="10288" spans="1:9" x14ac:dyDescent="0.25">
      <c r="A10288" t="s">
        <v>6</v>
      </c>
      <c r="B10288" s="1">
        <v>46086</v>
      </c>
      <c r="C10288">
        <v>15</v>
      </c>
      <c r="D10288">
        <v>937.44</v>
      </c>
      <c r="E10288">
        <v>209.58</v>
      </c>
      <c r="F10288" t="s">
        <v>7</v>
      </c>
      <c r="G10288" t="s">
        <v>12</v>
      </c>
      <c r="H10288" s="5">
        <f>MONTH(Tabela1[[#This Row],[data]])</f>
        <v>3</v>
      </c>
      <c r="I10288">
        <f>YEAR(Tabela1[[#This Row],[data]])</f>
        <v>2026</v>
      </c>
    </row>
    <row r="10289" spans="1:9" x14ac:dyDescent="0.25">
      <c r="A10289" t="s">
        <v>6</v>
      </c>
      <c r="B10289" s="1">
        <v>46086</v>
      </c>
      <c r="C10289">
        <v>16</v>
      </c>
      <c r="D10289">
        <v>959.7</v>
      </c>
      <c r="E10289">
        <v>234.36</v>
      </c>
      <c r="F10289" t="s">
        <v>7</v>
      </c>
      <c r="G10289" t="s">
        <v>12</v>
      </c>
      <c r="H10289" s="5">
        <f>MONTH(Tabela1[[#This Row],[data]])</f>
        <v>3</v>
      </c>
      <c r="I10289">
        <f>YEAR(Tabela1[[#This Row],[data]])</f>
        <v>2026</v>
      </c>
    </row>
    <row r="10290" spans="1:9" x14ac:dyDescent="0.25">
      <c r="A10290" t="s">
        <v>6</v>
      </c>
      <c r="B10290" s="1">
        <v>46086</v>
      </c>
      <c r="C10290">
        <v>17</v>
      </c>
      <c r="D10290">
        <v>935.34</v>
      </c>
      <c r="E10290">
        <v>260.39999999999998</v>
      </c>
      <c r="F10290" t="s">
        <v>7</v>
      </c>
      <c r="G10290" t="s">
        <v>12</v>
      </c>
      <c r="H10290" s="5">
        <f>MONTH(Tabela1[[#This Row],[data]])</f>
        <v>3</v>
      </c>
      <c r="I10290">
        <f>YEAR(Tabela1[[#This Row],[data]])</f>
        <v>2026</v>
      </c>
    </row>
    <row r="10291" spans="1:9" x14ac:dyDescent="0.25">
      <c r="A10291" t="s">
        <v>6</v>
      </c>
      <c r="B10291" s="1">
        <v>46086</v>
      </c>
      <c r="C10291">
        <v>18</v>
      </c>
      <c r="D10291">
        <v>887.88</v>
      </c>
      <c r="E10291">
        <v>212.94</v>
      </c>
      <c r="F10291" t="s">
        <v>7</v>
      </c>
      <c r="G10291" t="s">
        <v>12</v>
      </c>
      <c r="H10291" s="5">
        <f>MONTH(Tabela1[[#This Row],[data]])</f>
        <v>3</v>
      </c>
      <c r="I10291">
        <f>YEAR(Tabela1[[#This Row],[data]])</f>
        <v>2026</v>
      </c>
    </row>
    <row r="10292" spans="1:9" x14ac:dyDescent="0.25">
      <c r="A10292" t="s">
        <v>6</v>
      </c>
      <c r="B10292" s="1">
        <v>46086</v>
      </c>
      <c r="C10292">
        <v>19</v>
      </c>
      <c r="D10292">
        <v>841.68</v>
      </c>
      <c r="E10292">
        <v>170.94</v>
      </c>
      <c r="F10292" t="s">
        <v>7</v>
      </c>
      <c r="G10292" t="s">
        <v>12</v>
      </c>
      <c r="H10292" s="5">
        <f>MONTH(Tabela1[[#This Row],[data]])</f>
        <v>3</v>
      </c>
      <c r="I10292">
        <f>YEAR(Tabela1[[#This Row],[data]])</f>
        <v>2026</v>
      </c>
    </row>
    <row r="10293" spans="1:9" x14ac:dyDescent="0.25">
      <c r="A10293" t="s">
        <v>6</v>
      </c>
      <c r="B10293" s="1">
        <v>46086</v>
      </c>
      <c r="C10293">
        <v>20</v>
      </c>
      <c r="D10293">
        <v>832.86</v>
      </c>
      <c r="E10293">
        <v>172.62</v>
      </c>
      <c r="F10293" t="s">
        <v>7</v>
      </c>
      <c r="G10293" t="s">
        <v>12</v>
      </c>
      <c r="H10293" s="5">
        <f>MONTH(Tabela1[[#This Row],[data]])</f>
        <v>3</v>
      </c>
      <c r="I10293">
        <f>YEAR(Tabela1[[#This Row],[data]])</f>
        <v>2026</v>
      </c>
    </row>
    <row r="10294" spans="1:9" x14ac:dyDescent="0.25">
      <c r="A10294" t="s">
        <v>6</v>
      </c>
      <c r="B10294" s="1">
        <v>46086</v>
      </c>
      <c r="C10294">
        <v>21</v>
      </c>
      <c r="D10294">
        <v>822.78</v>
      </c>
      <c r="E10294">
        <v>175.98</v>
      </c>
      <c r="F10294" t="s">
        <v>7</v>
      </c>
      <c r="G10294" t="s">
        <v>12</v>
      </c>
      <c r="H10294" s="5">
        <f>MONTH(Tabela1[[#This Row],[data]])</f>
        <v>3</v>
      </c>
      <c r="I10294">
        <f>YEAR(Tabela1[[#This Row],[data]])</f>
        <v>2026</v>
      </c>
    </row>
    <row r="10295" spans="1:9" x14ac:dyDescent="0.25">
      <c r="A10295" t="s">
        <v>6</v>
      </c>
      <c r="B10295" s="1">
        <v>46086</v>
      </c>
      <c r="C10295">
        <v>22</v>
      </c>
      <c r="D10295">
        <v>779.1</v>
      </c>
      <c r="E10295">
        <v>166.32</v>
      </c>
      <c r="F10295" t="s">
        <v>7</v>
      </c>
      <c r="G10295" t="s">
        <v>12</v>
      </c>
      <c r="H10295" s="5">
        <f>MONTH(Tabela1[[#This Row],[data]])</f>
        <v>3</v>
      </c>
      <c r="I10295">
        <f>YEAR(Tabela1[[#This Row],[data]])</f>
        <v>2026</v>
      </c>
    </row>
    <row r="10296" spans="1:9" x14ac:dyDescent="0.25">
      <c r="A10296" t="s">
        <v>6</v>
      </c>
      <c r="B10296" s="1">
        <v>46086</v>
      </c>
      <c r="C10296">
        <v>23</v>
      </c>
      <c r="D10296">
        <v>360.78</v>
      </c>
      <c r="E10296">
        <v>2.1</v>
      </c>
      <c r="F10296" t="s">
        <v>7</v>
      </c>
      <c r="G10296" t="s">
        <v>12</v>
      </c>
      <c r="H10296" s="5">
        <f>MONTH(Tabela1[[#This Row],[data]])</f>
        <v>3</v>
      </c>
      <c r="I10296">
        <f>YEAR(Tabela1[[#This Row],[data]])</f>
        <v>2026</v>
      </c>
    </row>
    <row r="10297" spans="1:9" x14ac:dyDescent="0.25">
      <c r="A10297" t="s">
        <v>6</v>
      </c>
      <c r="B10297" s="1">
        <v>46086</v>
      </c>
      <c r="C10297">
        <v>24</v>
      </c>
      <c r="D10297">
        <v>264.18</v>
      </c>
      <c r="E10297">
        <v>0</v>
      </c>
      <c r="F10297" t="s">
        <v>7</v>
      </c>
      <c r="G10297" t="s">
        <v>12</v>
      </c>
      <c r="H10297" s="5">
        <f>MONTH(Tabela1[[#This Row],[data]])</f>
        <v>3</v>
      </c>
      <c r="I10297">
        <f>YEAR(Tabela1[[#This Row],[data]])</f>
        <v>2026</v>
      </c>
    </row>
    <row r="10298" spans="1:9" x14ac:dyDescent="0.25">
      <c r="A10298" t="s">
        <v>6</v>
      </c>
      <c r="B10298" s="1">
        <v>46087</v>
      </c>
      <c r="C10298">
        <v>1</v>
      </c>
      <c r="D10298">
        <v>231</v>
      </c>
      <c r="E10298">
        <v>0</v>
      </c>
      <c r="F10298" t="s">
        <v>7</v>
      </c>
      <c r="G10298" t="s">
        <v>12</v>
      </c>
      <c r="H10298" s="5">
        <f>MONTH(Tabela1[[#This Row],[data]])</f>
        <v>3</v>
      </c>
      <c r="I10298">
        <f>YEAR(Tabela1[[#This Row],[data]])</f>
        <v>2026</v>
      </c>
    </row>
    <row r="10299" spans="1:9" x14ac:dyDescent="0.25">
      <c r="A10299" t="s">
        <v>6</v>
      </c>
      <c r="B10299" s="1">
        <v>46087</v>
      </c>
      <c r="C10299">
        <v>2</v>
      </c>
      <c r="D10299">
        <v>225.12</v>
      </c>
      <c r="E10299">
        <v>0</v>
      </c>
      <c r="F10299" t="s">
        <v>7</v>
      </c>
      <c r="G10299" t="s">
        <v>12</v>
      </c>
      <c r="H10299" s="5">
        <f>MONTH(Tabela1[[#This Row],[data]])</f>
        <v>3</v>
      </c>
      <c r="I10299">
        <f>YEAR(Tabela1[[#This Row],[data]])</f>
        <v>2026</v>
      </c>
    </row>
    <row r="10300" spans="1:9" x14ac:dyDescent="0.25">
      <c r="A10300" t="s">
        <v>6</v>
      </c>
      <c r="B10300" s="1">
        <v>46087</v>
      </c>
      <c r="C10300">
        <v>3</v>
      </c>
      <c r="D10300">
        <v>223.86</v>
      </c>
      <c r="E10300">
        <v>0</v>
      </c>
      <c r="F10300" t="s">
        <v>7</v>
      </c>
      <c r="G10300" t="s">
        <v>12</v>
      </c>
      <c r="H10300" s="5">
        <f>MONTH(Tabela1[[#This Row],[data]])</f>
        <v>3</v>
      </c>
      <c r="I10300">
        <f>YEAR(Tabela1[[#This Row],[data]])</f>
        <v>2026</v>
      </c>
    </row>
    <row r="10301" spans="1:9" x14ac:dyDescent="0.25">
      <c r="A10301" t="s">
        <v>6</v>
      </c>
      <c r="B10301" s="1">
        <v>46087</v>
      </c>
      <c r="C10301">
        <v>4</v>
      </c>
      <c r="D10301">
        <v>223.44</v>
      </c>
      <c r="E10301">
        <v>0</v>
      </c>
      <c r="F10301" t="s">
        <v>7</v>
      </c>
      <c r="G10301" t="s">
        <v>12</v>
      </c>
      <c r="H10301" s="5">
        <f>MONTH(Tabela1[[#This Row],[data]])</f>
        <v>3</v>
      </c>
      <c r="I10301">
        <f>YEAR(Tabela1[[#This Row],[data]])</f>
        <v>2026</v>
      </c>
    </row>
    <row r="10302" spans="1:9" x14ac:dyDescent="0.25">
      <c r="A10302" t="s">
        <v>6</v>
      </c>
      <c r="B10302" s="1">
        <v>46087</v>
      </c>
      <c r="C10302">
        <v>5</v>
      </c>
      <c r="D10302">
        <v>228.48</v>
      </c>
      <c r="E10302">
        <v>0</v>
      </c>
      <c r="F10302" t="s">
        <v>7</v>
      </c>
      <c r="G10302" t="s">
        <v>12</v>
      </c>
      <c r="H10302" s="5">
        <f>MONTH(Tabela1[[#This Row],[data]])</f>
        <v>3</v>
      </c>
      <c r="I10302">
        <f>YEAR(Tabela1[[#This Row],[data]])</f>
        <v>2026</v>
      </c>
    </row>
    <row r="10303" spans="1:9" x14ac:dyDescent="0.25">
      <c r="A10303" t="s">
        <v>6</v>
      </c>
      <c r="B10303" s="1">
        <v>46087</v>
      </c>
      <c r="C10303">
        <v>6</v>
      </c>
      <c r="D10303">
        <v>224.7</v>
      </c>
      <c r="E10303">
        <v>0</v>
      </c>
      <c r="F10303" t="s">
        <v>7</v>
      </c>
      <c r="G10303" t="s">
        <v>12</v>
      </c>
      <c r="H10303" s="5">
        <f>MONTH(Tabela1[[#This Row],[data]])</f>
        <v>3</v>
      </c>
      <c r="I10303">
        <f>YEAR(Tabela1[[#This Row],[data]])</f>
        <v>2026</v>
      </c>
    </row>
    <row r="10304" spans="1:9" x14ac:dyDescent="0.25">
      <c r="A10304" t="s">
        <v>6</v>
      </c>
      <c r="B10304" s="1">
        <v>46087</v>
      </c>
      <c r="C10304">
        <v>7</v>
      </c>
      <c r="D10304">
        <v>218.4</v>
      </c>
      <c r="E10304">
        <v>0</v>
      </c>
      <c r="F10304" t="s">
        <v>7</v>
      </c>
      <c r="G10304" t="s">
        <v>12</v>
      </c>
      <c r="H10304" s="5">
        <f>MONTH(Tabela1[[#This Row],[data]])</f>
        <v>3</v>
      </c>
      <c r="I10304">
        <f>YEAR(Tabela1[[#This Row],[data]])</f>
        <v>2026</v>
      </c>
    </row>
    <row r="10305" spans="1:9" x14ac:dyDescent="0.25">
      <c r="A10305" t="s">
        <v>6</v>
      </c>
      <c r="B10305" s="1">
        <v>46087</v>
      </c>
      <c r="C10305">
        <v>8</v>
      </c>
      <c r="D10305">
        <v>238.98</v>
      </c>
      <c r="E10305">
        <v>0</v>
      </c>
      <c r="F10305" t="s">
        <v>7</v>
      </c>
      <c r="G10305" t="s">
        <v>12</v>
      </c>
      <c r="H10305" s="5">
        <f>MONTH(Tabela1[[#This Row],[data]])</f>
        <v>3</v>
      </c>
      <c r="I10305">
        <f>YEAR(Tabela1[[#This Row],[data]])</f>
        <v>2026</v>
      </c>
    </row>
    <row r="10306" spans="1:9" x14ac:dyDescent="0.25">
      <c r="A10306" t="s">
        <v>6</v>
      </c>
      <c r="B10306" s="1">
        <v>46087</v>
      </c>
      <c r="C10306">
        <v>9</v>
      </c>
      <c r="D10306">
        <v>375.48</v>
      </c>
      <c r="E10306">
        <v>0</v>
      </c>
      <c r="F10306" t="s">
        <v>7</v>
      </c>
      <c r="G10306" t="s">
        <v>12</v>
      </c>
      <c r="H10306" s="5">
        <f>MONTH(Tabela1[[#This Row],[data]])</f>
        <v>3</v>
      </c>
      <c r="I10306">
        <f>YEAR(Tabela1[[#This Row],[data]])</f>
        <v>2026</v>
      </c>
    </row>
    <row r="10307" spans="1:9" x14ac:dyDescent="0.25">
      <c r="A10307" t="s">
        <v>6</v>
      </c>
      <c r="B10307" s="1">
        <v>46087</v>
      </c>
      <c r="C10307">
        <v>10</v>
      </c>
      <c r="D10307">
        <v>457.38</v>
      </c>
      <c r="E10307">
        <v>10.92</v>
      </c>
      <c r="F10307" t="s">
        <v>7</v>
      </c>
      <c r="G10307" t="s">
        <v>11</v>
      </c>
      <c r="H10307" s="5">
        <f>MONTH(Tabela1[[#This Row],[data]])</f>
        <v>3</v>
      </c>
      <c r="I10307">
        <f>YEAR(Tabela1[[#This Row],[data]])</f>
        <v>2026</v>
      </c>
    </row>
    <row r="10308" spans="1:9" x14ac:dyDescent="0.25">
      <c r="A10308" t="s">
        <v>6</v>
      </c>
      <c r="B10308" s="1">
        <v>46087</v>
      </c>
      <c r="C10308">
        <v>11</v>
      </c>
      <c r="D10308">
        <v>711.48</v>
      </c>
      <c r="E10308">
        <v>118.02</v>
      </c>
      <c r="F10308" t="s">
        <v>7</v>
      </c>
      <c r="G10308" t="s">
        <v>12</v>
      </c>
      <c r="H10308" s="5">
        <f>MONTH(Tabela1[[#This Row],[data]])</f>
        <v>3</v>
      </c>
      <c r="I10308">
        <f>YEAR(Tabela1[[#This Row],[data]])</f>
        <v>2026</v>
      </c>
    </row>
    <row r="10309" spans="1:9" x14ac:dyDescent="0.25">
      <c r="A10309" t="s">
        <v>6</v>
      </c>
      <c r="B10309" s="1">
        <v>46087</v>
      </c>
      <c r="C10309">
        <v>12</v>
      </c>
      <c r="D10309" s="2">
        <v>1010.52</v>
      </c>
      <c r="E10309">
        <v>265.86</v>
      </c>
      <c r="F10309" t="s">
        <v>7</v>
      </c>
      <c r="G10309" t="s">
        <v>12</v>
      </c>
      <c r="H10309" s="5">
        <f>MONTH(Tabela1[[#This Row],[data]])</f>
        <v>3</v>
      </c>
      <c r="I10309">
        <f>YEAR(Tabela1[[#This Row],[data]])</f>
        <v>2026</v>
      </c>
    </row>
    <row r="10310" spans="1:9" x14ac:dyDescent="0.25">
      <c r="A10310" t="s">
        <v>6</v>
      </c>
      <c r="B10310" s="1">
        <v>46087</v>
      </c>
      <c r="C10310">
        <v>13</v>
      </c>
      <c r="D10310">
        <v>985.32</v>
      </c>
      <c r="E10310">
        <v>244.02</v>
      </c>
      <c r="F10310" t="s">
        <v>7</v>
      </c>
      <c r="G10310" t="s">
        <v>12</v>
      </c>
      <c r="H10310" s="5">
        <f>MONTH(Tabela1[[#This Row],[data]])</f>
        <v>3</v>
      </c>
      <c r="I10310">
        <f>YEAR(Tabela1[[#This Row],[data]])</f>
        <v>2026</v>
      </c>
    </row>
    <row r="10311" spans="1:9" x14ac:dyDescent="0.25">
      <c r="A10311" t="s">
        <v>6</v>
      </c>
      <c r="B10311" s="1">
        <v>46087</v>
      </c>
      <c r="C10311">
        <v>14</v>
      </c>
      <c r="D10311">
        <v>977.34</v>
      </c>
      <c r="E10311">
        <v>225.12</v>
      </c>
      <c r="F10311" t="s">
        <v>7</v>
      </c>
      <c r="G10311" t="s">
        <v>11</v>
      </c>
      <c r="H10311" s="5">
        <f>MONTH(Tabela1[[#This Row],[data]])</f>
        <v>3</v>
      </c>
      <c r="I10311">
        <f>YEAR(Tabela1[[#This Row],[data]])</f>
        <v>2026</v>
      </c>
    </row>
    <row r="10312" spans="1:9" x14ac:dyDescent="0.25">
      <c r="A10312" t="s">
        <v>6</v>
      </c>
      <c r="B10312" s="1">
        <v>46087</v>
      </c>
      <c r="C10312">
        <v>15</v>
      </c>
      <c r="D10312">
        <v>926.94</v>
      </c>
      <c r="E10312">
        <v>228.48</v>
      </c>
      <c r="F10312" t="s">
        <v>7</v>
      </c>
      <c r="G10312" t="s">
        <v>12</v>
      </c>
      <c r="H10312" s="5">
        <f>MONTH(Tabela1[[#This Row],[data]])</f>
        <v>3</v>
      </c>
      <c r="I10312">
        <f>YEAR(Tabela1[[#This Row],[data]])</f>
        <v>2026</v>
      </c>
    </row>
    <row r="10313" spans="1:9" x14ac:dyDescent="0.25">
      <c r="A10313" t="s">
        <v>6</v>
      </c>
      <c r="B10313" s="1">
        <v>46087</v>
      </c>
      <c r="C10313">
        <v>16</v>
      </c>
      <c r="D10313">
        <v>899.22</v>
      </c>
      <c r="E10313">
        <v>217.98</v>
      </c>
      <c r="F10313" t="s">
        <v>7</v>
      </c>
      <c r="G10313" t="s">
        <v>12</v>
      </c>
      <c r="H10313" s="5">
        <f>MONTH(Tabela1[[#This Row],[data]])</f>
        <v>3</v>
      </c>
      <c r="I10313">
        <f>YEAR(Tabela1[[#This Row],[data]])</f>
        <v>2026</v>
      </c>
    </row>
    <row r="10314" spans="1:9" x14ac:dyDescent="0.25">
      <c r="A10314" t="s">
        <v>6</v>
      </c>
      <c r="B10314" s="1">
        <v>46087</v>
      </c>
      <c r="C10314">
        <v>17</v>
      </c>
      <c r="D10314">
        <v>885.78</v>
      </c>
      <c r="E10314">
        <v>202.02</v>
      </c>
      <c r="F10314" t="s">
        <v>7</v>
      </c>
      <c r="G10314" t="s">
        <v>12</v>
      </c>
      <c r="H10314" s="5">
        <f>MONTH(Tabela1[[#This Row],[data]])</f>
        <v>3</v>
      </c>
      <c r="I10314">
        <f>YEAR(Tabela1[[#This Row],[data]])</f>
        <v>2026</v>
      </c>
    </row>
    <row r="10315" spans="1:9" x14ac:dyDescent="0.25">
      <c r="A10315" t="s">
        <v>6</v>
      </c>
      <c r="B10315" s="1">
        <v>46087</v>
      </c>
      <c r="C10315">
        <v>18</v>
      </c>
      <c r="D10315">
        <v>896.28</v>
      </c>
      <c r="E10315">
        <v>214.62</v>
      </c>
      <c r="F10315" t="s">
        <v>7</v>
      </c>
      <c r="G10315" t="s">
        <v>12</v>
      </c>
      <c r="H10315" s="5">
        <f>MONTH(Tabela1[[#This Row],[data]])</f>
        <v>3</v>
      </c>
      <c r="I10315">
        <f>YEAR(Tabela1[[#This Row],[data]])</f>
        <v>2026</v>
      </c>
    </row>
    <row r="10316" spans="1:9" x14ac:dyDescent="0.25">
      <c r="A10316" t="s">
        <v>6</v>
      </c>
      <c r="B10316" s="1">
        <v>46087</v>
      </c>
      <c r="C10316">
        <v>19</v>
      </c>
      <c r="D10316">
        <v>847.98</v>
      </c>
      <c r="E10316">
        <v>170.1</v>
      </c>
      <c r="F10316" t="s">
        <v>7</v>
      </c>
      <c r="G10316" t="s">
        <v>12</v>
      </c>
      <c r="H10316" s="5">
        <f>MONTH(Tabela1[[#This Row],[data]])</f>
        <v>3</v>
      </c>
      <c r="I10316">
        <f>YEAR(Tabela1[[#This Row],[data]])</f>
        <v>2026</v>
      </c>
    </row>
    <row r="10317" spans="1:9" x14ac:dyDescent="0.25">
      <c r="A10317" t="s">
        <v>6</v>
      </c>
      <c r="B10317" s="1">
        <v>46087</v>
      </c>
      <c r="C10317">
        <v>20</v>
      </c>
      <c r="D10317">
        <v>845.04</v>
      </c>
      <c r="E10317">
        <v>168.84</v>
      </c>
      <c r="F10317" t="s">
        <v>7</v>
      </c>
      <c r="G10317" t="s">
        <v>11</v>
      </c>
      <c r="H10317" s="5">
        <f>MONTH(Tabela1[[#This Row],[data]])</f>
        <v>3</v>
      </c>
      <c r="I10317">
        <f>YEAR(Tabela1[[#This Row],[data]])</f>
        <v>2026</v>
      </c>
    </row>
    <row r="10318" spans="1:9" x14ac:dyDescent="0.25">
      <c r="A10318" t="s">
        <v>6</v>
      </c>
      <c r="B10318" s="1">
        <v>46087</v>
      </c>
      <c r="C10318">
        <v>21</v>
      </c>
      <c r="D10318">
        <v>849.24</v>
      </c>
      <c r="E10318">
        <v>179.76</v>
      </c>
      <c r="F10318" t="s">
        <v>7</v>
      </c>
      <c r="G10318" t="s">
        <v>12</v>
      </c>
      <c r="H10318" s="5">
        <f>MONTH(Tabela1[[#This Row],[data]])</f>
        <v>3</v>
      </c>
      <c r="I10318">
        <f>YEAR(Tabela1[[#This Row],[data]])</f>
        <v>2026</v>
      </c>
    </row>
    <row r="10319" spans="1:9" x14ac:dyDescent="0.25">
      <c r="A10319" t="s">
        <v>6</v>
      </c>
      <c r="B10319" s="1">
        <v>46087</v>
      </c>
      <c r="C10319">
        <v>22</v>
      </c>
      <c r="D10319">
        <v>811.02</v>
      </c>
      <c r="E10319">
        <v>173.46</v>
      </c>
      <c r="F10319" t="s">
        <v>7</v>
      </c>
      <c r="G10319" t="s">
        <v>12</v>
      </c>
      <c r="H10319" s="5">
        <f>MONTH(Tabela1[[#This Row],[data]])</f>
        <v>3</v>
      </c>
      <c r="I10319">
        <f>YEAR(Tabela1[[#This Row],[data]])</f>
        <v>2026</v>
      </c>
    </row>
    <row r="10320" spans="1:9" x14ac:dyDescent="0.25">
      <c r="A10320" t="s">
        <v>6</v>
      </c>
      <c r="B10320" s="1">
        <v>46087</v>
      </c>
      <c r="C10320">
        <v>23</v>
      </c>
      <c r="D10320">
        <v>495.18</v>
      </c>
      <c r="E10320">
        <v>39.479999999999997</v>
      </c>
      <c r="F10320" t="s">
        <v>7</v>
      </c>
      <c r="G10320" t="s">
        <v>11</v>
      </c>
      <c r="H10320" s="5">
        <f>MONTH(Tabela1[[#This Row],[data]])</f>
        <v>3</v>
      </c>
      <c r="I10320">
        <f>YEAR(Tabela1[[#This Row],[data]])</f>
        <v>2026</v>
      </c>
    </row>
    <row r="10321" spans="1:9" x14ac:dyDescent="0.25">
      <c r="A10321" t="s">
        <v>6</v>
      </c>
      <c r="B10321" s="1">
        <v>46087</v>
      </c>
      <c r="C10321">
        <v>24</v>
      </c>
      <c r="D10321">
        <v>357</v>
      </c>
      <c r="E10321">
        <v>3.78</v>
      </c>
      <c r="F10321" t="s">
        <v>7</v>
      </c>
      <c r="G10321" t="s">
        <v>12</v>
      </c>
      <c r="H10321" s="5">
        <f>MONTH(Tabela1[[#This Row],[data]])</f>
        <v>3</v>
      </c>
      <c r="I10321">
        <f>YEAR(Tabela1[[#This Row],[data]])</f>
        <v>2026</v>
      </c>
    </row>
    <row r="10322" spans="1:9" x14ac:dyDescent="0.25">
      <c r="A10322" t="s">
        <v>6</v>
      </c>
      <c r="B10322" s="1">
        <v>46088</v>
      </c>
      <c r="C10322">
        <v>1</v>
      </c>
      <c r="D10322">
        <v>245.7</v>
      </c>
      <c r="E10322">
        <v>0</v>
      </c>
      <c r="F10322" t="s">
        <v>7</v>
      </c>
      <c r="G10322" t="s">
        <v>12</v>
      </c>
      <c r="H10322" s="5">
        <f>MONTH(Tabela1[[#This Row],[data]])</f>
        <v>3</v>
      </c>
      <c r="I10322">
        <f>YEAR(Tabela1[[#This Row],[data]])</f>
        <v>2026</v>
      </c>
    </row>
    <row r="10323" spans="1:9" x14ac:dyDescent="0.25">
      <c r="A10323" t="s">
        <v>6</v>
      </c>
      <c r="B10323" s="1">
        <v>46088</v>
      </c>
      <c r="C10323">
        <v>2</v>
      </c>
      <c r="D10323">
        <v>230.16</v>
      </c>
      <c r="E10323">
        <v>0</v>
      </c>
      <c r="F10323" t="s">
        <v>7</v>
      </c>
      <c r="G10323" t="s">
        <v>12</v>
      </c>
      <c r="H10323" s="5">
        <f>MONTH(Tabela1[[#This Row],[data]])</f>
        <v>3</v>
      </c>
      <c r="I10323">
        <f>YEAR(Tabela1[[#This Row],[data]])</f>
        <v>2026</v>
      </c>
    </row>
    <row r="10324" spans="1:9" x14ac:dyDescent="0.25">
      <c r="A10324" t="s">
        <v>6</v>
      </c>
      <c r="B10324" s="1">
        <v>46088</v>
      </c>
      <c r="C10324">
        <v>3</v>
      </c>
      <c r="D10324">
        <v>225.54</v>
      </c>
      <c r="E10324">
        <v>0</v>
      </c>
      <c r="F10324" t="s">
        <v>7</v>
      </c>
      <c r="G10324" t="s">
        <v>12</v>
      </c>
      <c r="H10324" s="5">
        <f>MONTH(Tabela1[[#This Row],[data]])</f>
        <v>3</v>
      </c>
      <c r="I10324">
        <f>YEAR(Tabela1[[#This Row],[data]])</f>
        <v>2026</v>
      </c>
    </row>
    <row r="10325" spans="1:9" x14ac:dyDescent="0.25">
      <c r="A10325" t="s">
        <v>6</v>
      </c>
      <c r="B10325" s="1">
        <v>46088</v>
      </c>
      <c r="C10325">
        <v>4</v>
      </c>
      <c r="D10325">
        <v>223.86</v>
      </c>
      <c r="E10325">
        <v>0</v>
      </c>
      <c r="F10325" t="s">
        <v>7</v>
      </c>
      <c r="G10325" t="s">
        <v>12</v>
      </c>
      <c r="H10325" s="5">
        <f>MONTH(Tabela1[[#This Row],[data]])</f>
        <v>3</v>
      </c>
      <c r="I10325">
        <f>YEAR(Tabela1[[#This Row],[data]])</f>
        <v>2026</v>
      </c>
    </row>
    <row r="10326" spans="1:9" x14ac:dyDescent="0.25">
      <c r="A10326" t="s">
        <v>6</v>
      </c>
      <c r="B10326" s="1">
        <v>46088</v>
      </c>
      <c r="C10326">
        <v>5</v>
      </c>
      <c r="D10326">
        <v>232.26</v>
      </c>
      <c r="E10326">
        <v>0</v>
      </c>
      <c r="F10326" t="s">
        <v>7</v>
      </c>
      <c r="G10326" t="s">
        <v>12</v>
      </c>
      <c r="H10326" s="5">
        <f>MONTH(Tabela1[[#This Row],[data]])</f>
        <v>3</v>
      </c>
      <c r="I10326">
        <f>YEAR(Tabela1[[#This Row],[data]])</f>
        <v>2026</v>
      </c>
    </row>
    <row r="10327" spans="1:9" x14ac:dyDescent="0.25">
      <c r="A10327" t="s">
        <v>6</v>
      </c>
      <c r="B10327" s="1">
        <v>46088</v>
      </c>
      <c r="C10327">
        <v>6</v>
      </c>
      <c r="D10327">
        <v>220.08</v>
      </c>
      <c r="E10327">
        <v>0</v>
      </c>
      <c r="F10327" t="s">
        <v>7</v>
      </c>
      <c r="G10327" t="s">
        <v>12</v>
      </c>
      <c r="H10327" s="5">
        <f>MONTH(Tabela1[[#This Row],[data]])</f>
        <v>3</v>
      </c>
      <c r="I10327">
        <f>YEAR(Tabela1[[#This Row],[data]])</f>
        <v>2026</v>
      </c>
    </row>
    <row r="10328" spans="1:9" x14ac:dyDescent="0.25">
      <c r="A10328" t="s">
        <v>6</v>
      </c>
      <c r="B10328" s="1">
        <v>46088</v>
      </c>
      <c r="C10328">
        <v>7</v>
      </c>
      <c r="D10328">
        <v>223.86</v>
      </c>
      <c r="E10328">
        <v>0</v>
      </c>
      <c r="F10328" t="s">
        <v>7</v>
      </c>
      <c r="G10328" t="s">
        <v>12</v>
      </c>
      <c r="H10328" s="5">
        <f>MONTH(Tabela1[[#This Row],[data]])</f>
        <v>3</v>
      </c>
      <c r="I10328">
        <f>YEAR(Tabela1[[#This Row],[data]])</f>
        <v>2026</v>
      </c>
    </row>
    <row r="10329" spans="1:9" x14ac:dyDescent="0.25">
      <c r="A10329" t="s">
        <v>6</v>
      </c>
      <c r="B10329" s="1">
        <v>46088</v>
      </c>
      <c r="C10329">
        <v>8</v>
      </c>
      <c r="D10329">
        <v>227.64</v>
      </c>
      <c r="E10329">
        <v>0</v>
      </c>
      <c r="F10329" t="s">
        <v>7</v>
      </c>
      <c r="G10329" t="s">
        <v>12</v>
      </c>
      <c r="H10329" s="5">
        <f>MONTH(Tabela1[[#This Row],[data]])</f>
        <v>3</v>
      </c>
      <c r="I10329">
        <f>YEAR(Tabela1[[#This Row],[data]])</f>
        <v>2026</v>
      </c>
    </row>
    <row r="10330" spans="1:9" x14ac:dyDescent="0.25">
      <c r="A10330" t="s">
        <v>6</v>
      </c>
      <c r="B10330" s="1">
        <v>46088</v>
      </c>
      <c r="C10330">
        <v>9</v>
      </c>
      <c r="D10330">
        <v>361.2</v>
      </c>
      <c r="E10330">
        <v>0.42</v>
      </c>
      <c r="F10330" t="s">
        <v>7</v>
      </c>
      <c r="G10330" t="s">
        <v>12</v>
      </c>
      <c r="H10330" s="5">
        <f>MONTH(Tabela1[[#This Row],[data]])</f>
        <v>3</v>
      </c>
      <c r="I10330">
        <f>YEAR(Tabela1[[#This Row],[data]])</f>
        <v>2026</v>
      </c>
    </row>
    <row r="10331" spans="1:9" x14ac:dyDescent="0.25">
      <c r="A10331" t="s">
        <v>6</v>
      </c>
      <c r="B10331" s="1">
        <v>46088</v>
      </c>
      <c r="C10331">
        <v>10</v>
      </c>
      <c r="D10331">
        <v>490.56</v>
      </c>
      <c r="E10331">
        <v>51.24</v>
      </c>
      <c r="F10331" t="s">
        <v>7</v>
      </c>
      <c r="G10331" t="s">
        <v>12</v>
      </c>
      <c r="H10331" s="5">
        <f>MONTH(Tabela1[[#This Row],[data]])</f>
        <v>3</v>
      </c>
      <c r="I10331">
        <f>YEAR(Tabela1[[#This Row],[data]])</f>
        <v>2026</v>
      </c>
    </row>
    <row r="10332" spans="1:9" x14ac:dyDescent="0.25">
      <c r="A10332" t="s">
        <v>6</v>
      </c>
      <c r="B10332" s="1">
        <v>46088</v>
      </c>
      <c r="C10332">
        <v>11</v>
      </c>
      <c r="D10332">
        <v>871.5</v>
      </c>
      <c r="E10332">
        <v>202.44</v>
      </c>
      <c r="F10332" t="s">
        <v>7</v>
      </c>
      <c r="G10332" t="s">
        <v>12</v>
      </c>
      <c r="H10332" s="5">
        <f>MONTH(Tabela1[[#This Row],[data]])</f>
        <v>3</v>
      </c>
      <c r="I10332">
        <f>YEAR(Tabela1[[#This Row],[data]])</f>
        <v>2026</v>
      </c>
    </row>
    <row r="10333" spans="1:9" x14ac:dyDescent="0.25">
      <c r="A10333" t="s">
        <v>6</v>
      </c>
      <c r="B10333" s="1">
        <v>46088</v>
      </c>
      <c r="C10333">
        <v>12</v>
      </c>
      <c r="D10333">
        <v>886.2</v>
      </c>
      <c r="E10333">
        <v>209.58</v>
      </c>
      <c r="F10333" t="s">
        <v>7</v>
      </c>
      <c r="G10333" t="s">
        <v>12</v>
      </c>
      <c r="H10333" s="5">
        <f>MONTH(Tabela1[[#This Row],[data]])</f>
        <v>3</v>
      </c>
      <c r="I10333">
        <f>YEAR(Tabela1[[#This Row],[data]])</f>
        <v>2026</v>
      </c>
    </row>
    <row r="10334" spans="1:9" x14ac:dyDescent="0.25">
      <c r="A10334" t="s">
        <v>6</v>
      </c>
      <c r="B10334" s="1">
        <v>46088</v>
      </c>
      <c r="C10334">
        <v>13</v>
      </c>
      <c r="D10334">
        <v>916.86</v>
      </c>
      <c r="E10334">
        <v>231.84</v>
      </c>
      <c r="F10334" t="s">
        <v>7</v>
      </c>
      <c r="G10334" t="s">
        <v>12</v>
      </c>
      <c r="H10334" s="5">
        <f>MONTH(Tabela1[[#This Row],[data]])</f>
        <v>3</v>
      </c>
      <c r="I10334">
        <f>YEAR(Tabela1[[#This Row],[data]])</f>
        <v>2026</v>
      </c>
    </row>
    <row r="10335" spans="1:9" x14ac:dyDescent="0.25">
      <c r="A10335" t="s">
        <v>6</v>
      </c>
      <c r="B10335" s="1">
        <v>46088</v>
      </c>
      <c r="C10335">
        <v>14</v>
      </c>
      <c r="D10335">
        <v>938.28</v>
      </c>
      <c r="E10335">
        <v>228.48</v>
      </c>
      <c r="F10335" t="s">
        <v>7</v>
      </c>
      <c r="G10335" t="s">
        <v>12</v>
      </c>
      <c r="H10335" s="5">
        <f>MONTH(Tabela1[[#This Row],[data]])</f>
        <v>3</v>
      </c>
      <c r="I10335">
        <f>YEAR(Tabela1[[#This Row],[data]])</f>
        <v>2026</v>
      </c>
    </row>
    <row r="10336" spans="1:9" x14ac:dyDescent="0.25">
      <c r="A10336" t="s">
        <v>6</v>
      </c>
      <c r="B10336" s="1">
        <v>46088</v>
      </c>
      <c r="C10336">
        <v>15</v>
      </c>
      <c r="D10336">
        <v>922.74</v>
      </c>
      <c r="E10336">
        <v>215.88</v>
      </c>
      <c r="F10336" t="s">
        <v>7</v>
      </c>
      <c r="G10336" t="s">
        <v>12</v>
      </c>
      <c r="H10336" s="5">
        <f>MONTH(Tabela1[[#This Row],[data]])</f>
        <v>3</v>
      </c>
      <c r="I10336">
        <f>YEAR(Tabela1[[#This Row],[data]])</f>
        <v>2026</v>
      </c>
    </row>
    <row r="10337" spans="1:9" x14ac:dyDescent="0.25">
      <c r="A10337" t="s">
        <v>6</v>
      </c>
      <c r="B10337" s="1">
        <v>46088</v>
      </c>
      <c r="C10337">
        <v>16</v>
      </c>
      <c r="D10337">
        <v>946.26</v>
      </c>
      <c r="E10337">
        <v>228.06</v>
      </c>
      <c r="F10337" t="s">
        <v>7</v>
      </c>
      <c r="G10337" t="s">
        <v>12</v>
      </c>
      <c r="H10337" s="5">
        <f>MONTH(Tabela1[[#This Row],[data]])</f>
        <v>3</v>
      </c>
      <c r="I10337">
        <f>YEAR(Tabela1[[#This Row],[data]])</f>
        <v>2026</v>
      </c>
    </row>
    <row r="10338" spans="1:9" x14ac:dyDescent="0.25">
      <c r="A10338" t="s">
        <v>6</v>
      </c>
      <c r="B10338" s="1">
        <v>46088</v>
      </c>
      <c r="C10338">
        <v>17</v>
      </c>
      <c r="D10338">
        <v>882</v>
      </c>
      <c r="E10338">
        <v>223.44</v>
      </c>
      <c r="F10338" t="s">
        <v>7</v>
      </c>
      <c r="G10338" t="s">
        <v>12</v>
      </c>
      <c r="H10338" s="5">
        <f>MONTH(Tabela1[[#This Row],[data]])</f>
        <v>3</v>
      </c>
      <c r="I10338">
        <f>YEAR(Tabela1[[#This Row],[data]])</f>
        <v>2026</v>
      </c>
    </row>
    <row r="10339" spans="1:9" x14ac:dyDescent="0.25">
      <c r="A10339" t="s">
        <v>6</v>
      </c>
      <c r="B10339" s="1">
        <v>46088</v>
      </c>
      <c r="C10339">
        <v>18</v>
      </c>
      <c r="D10339">
        <v>882</v>
      </c>
      <c r="E10339">
        <v>215.88</v>
      </c>
      <c r="F10339" t="s">
        <v>7</v>
      </c>
      <c r="G10339" t="s">
        <v>12</v>
      </c>
      <c r="H10339" s="5">
        <f>MONTH(Tabela1[[#This Row],[data]])</f>
        <v>3</v>
      </c>
      <c r="I10339">
        <f>YEAR(Tabela1[[#This Row],[data]])</f>
        <v>2026</v>
      </c>
    </row>
    <row r="10340" spans="1:9" x14ac:dyDescent="0.25">
      <c r="A10340" t="s">
        <v>6</v>
      </c>
      <c r="B10340" s="1">
        <v>46088</v>
      </c>
      <c r="C10340">
        <v>19</v>
      </c>
      <c r="D10340">
        <v>894.18</v>
      </c>
      <c r="E10340">
        <v>211.68</v>
      </c>
      <c r="F10340" t="s">
        <v>7</v>
      </c>
      <c r="G10340" t="s">
        <v>11</v>
      </c>
      <c r="H10340" s="5">
        <f>MONTH(Tabela1[[#This Row],[data]])</f>
        <v>3</v>
      </c>
      <c r="I10340">
        <f>YEAR(Tabela1[[#This Row],[data]])</f>
        <v>2026</v>
      </c>
    </row>
    <row r="10341" spans="1:9" x14ac:dyDescent="0.25">
      <c r="A10341" t="s">
        <v>6</v>
      </c>
      <c r="B10341" s="1">
        <v>46088</v>
      </c>
      <c r="C10341">
        <v>20</v>
      </c>
      <c r="D10341">
        <v>894.6</v>
      </c>
      <c r="E10341">
        <v>220.5</v>
      </c>
      <c r="F10341" t="s">
        <v>7</v>
      </c>
      <c r="G10341" t="s">
        <v>11</v>
      </c>
      <c r="H10341" s="5">
        <f>MONTH(Tabela1[[#This Row],[data]])</f>
        <v>3</v>
      </c>
      <c r="I10341">
        <f>YEAR(Tabela1[[#This Row],[data]])</f>
        <v>2026</v>
      </c>
    </row>
    <row r="10342" spans="1:9" x14ac:dyDescent="0.25">
      <c r="A10342" t="s">
        <v>6</v>
      </c>
      <c r="B10342" s="1">
        <v>46088</v>
      </c>
      <c r="C10342">
        <v>21</v>
      </c>
      <c r="D10342">
        <v>884.52</v>
      </c>
      <c r="E10342">
        <v>213.78</v>
      </c>
      <c r="F10342" t="s">
        <v>7</v>
      </c>
      <c r="G10342" t="s">
        <v>12</v>
      </c>
      <c r="H10342" s="5">
        <f>MONTH(Tabela1[[#This Row],[data]])</f>
        <v>3</v>
      </c>
      <c r="I10342">
        <f>YEAR(Tabela1[[#This Row],[data]])</f>
        <v>2026</v>
      </c>
    </row>
    <row r="10343" spans="1:9" x14ac:dyDescent="0.25">
      <c r="A10343" t="s">
        <v>6</v>
      </c>
      <c r="B10343" s="1">
        <v>46088</v>
      </c>
      <c r="C10343">
        <v>22</v>
      </c>
      <c r="D10343">
        <v>801.78</v>
      </c>
      <c r="E10343">
        <v>167.16</v>
      </c>
      <c r="F10343" t="s">
        <v>7</v>
      </c>
      <c r="G10343" t="s">
        <v>11</v>
      </c>
      <c r="H10343" s="5">
        <f>MONTH(Tabela1[[#This Row],[data]])</f>
        <v>3</v>
      </c>
      <c r="I10343">
        <f>YEAR(Tabela1[[#This Row],[data]])</f>
        <v>2026</v>
      </c>
    </row>
    <row r="10344" spans="1:9" x14ac:dyDescent="0.25">
      <c r="A10344" t="s">
        <v>6</v>
      </c>
      <c r="B10344" s="1">
        <v>46088</v>
      </c>
      <c r="C10344">
        <v>23</v>
      </c>
      <c r="D10344">
        <v>420.42</v>
      </c>
      <c r="E10344">
        <v>2.52</v>
      </c>
      <c r="F10344" t="s">
        <v>7</v>
      </c>
      <c r="G10344" t="s">
        <v>12</v>
      </c>
      <c r="H10344" s="5">
        <f>MONTH(Tabela1[[#This Row],[data]])</f>
        <v>3</v>
      </c>
      <c r="I10344">
        <f>YEAR(Tabela1[[#This Row],[data]])</f>
        <v>2026</v>
      </c>
    </row>
    <row r="10345" spans="1:9" x14ac:dyDescent="0.25">
      <c r="A10345" t="s">
        <v>6</v>
      </c>
      <c r="B10345" s="1">
        <v>46088</v>
      </c>
      <c r="C10345">
        <v>24</v>
      </c>
      <c r="D10345">
        <v>288.54000000000002</v>
      </c>
      <c r="E10345">
        <v>0</v>
      </c>
      <c r="F10345" t="s">
        <v>7</v>
      </c>
      <c r="G10345" t="s">
        <v>11</v>
      </c>
      <c r="H10345" s="5">
        <f>MONTH(Tabela1[[#This Row],[data]])</f>
        <v>3</v>
      </c>
      <c r="I10345">
        <f>YEAR(Tabela1[[#This Row],[data]])</f>
        <v>2026</v>
      </c>
    </row>
    <row r="10346" spans="1:9" x14ac:dyDescent="0.25">
      <c r="A10346" t="s">
        <v>6</v>
      </c>
      <c r="B10346" s="1">
        <v>46089</v>
      </c>
      <c r="C10346">
        <v>1</v>
      </c>
      <c r="D10346">
        <v>251.16</v>
      </c>
      <c r="E10346">
        <v>0</v>
      </c>
      <c r="F10346" t="s">
        <v>7</v>
      </c>
      <c r="G10346" t="s">
        <v>12</v>
      </c>
      <c r="H10346" s="5">
        <f>MONTH(Tabela1[[#This Row],[data]])</f>
        <v>3</v>
      </c>
      <c r="I10346">
        <f>YEAR(Tabela1[[#This Row],[data]])</f>
        <v>2026</v>
      </c>
    </row>
    <row r="10347" spans="1:9" x14ac:dyDescent="0.25">
      <c r="A10347" t="s">
        <v>6</v>
      </c>
      <c r="B10347" s="1">
        <v>46089</v>
      </c>
      <c r="C10347">
        <v>2</v>
      </c>
      <c r="D10347">
        <v>227.22</v>
      </c>
      <c r="E10347">
        <v>0</v>
      </c>
      <c r="F10347" t="s">
        <v>7</v>
      </c>
      <c r="G10347" t="s">
        <v>12</v>
      </c>
      <c r="H10347" s="5">
        <f>MONTH(Tabela1[[#This Row],[data]])</f>
        <v>3</v>
      </c>
      <c r="I10347">
        <f>YEAR(Tabela1[[#This Row],[data]])</f>
        <v>2026</v>
      </c>
    </row>
    <row r="10348" spans="1:9" x14ac:dyDescent="0.25">
      <c r="A10348" t="s">
        <v>6</v>
      </c>
      <c r="B10348" s="1">
        <v>46089</v>
      </c>
      <c r="C10348">
        <v>3</v>
      </c>
      <c r="D10348">
        <v>226.8</v>
      </c>
      <c r="E10348">
        <v>0</v>
      </c>
      <c r="F10348" t="s">
        <v>7</v>
      </c>
      <c r="G10348" t="s">
        <v>12</v>
      </c>
      <c r="H10348" s="5">
        <f>MONTH(Tabela1[[#This Row],[data]])</f>
        <v>3</v>
      </c>
      <c r="I10348">
        <f>YEAR(Tabela1[[#This Row],[data]])</f>
        <v>2026</v>
      </c>
    </row>
    <row r="10349" spans="1:9" x14ac:dyDescent="0.25">
      <c r="A10349" t="s">
        <v>6</v>
      </c>
      <c r="B10349" s="1">
        <v>46089</v>
      </c>
      <c r="C10349">
        <v>4</v>
      </c>
      <c r="D10349">
        <v>224.7</v>
      </c>
      <c r="E10349">
        <v>0</v>
      </c>
      <c r="F10349" t="s">
        <v>7</v>
      </c>
      <c r="G10349" t="s">
        <v>12</v>
      </c>
      <c r="H10349" s="5">
        <f>MONTH(Tabela1[[#This Row],[data]])</f>
        <v>3</v>
      </c>
      <c r="I10349">
        <f>YEAR(Tabela1[[#This Row],[data]])</f>
        <v>2026</v>
      </c>
    </row>
    <row r="10350" spans="1:9" x14ac:dyDescent="0.25">
      <c r="A10350" t="s">
        <v>6</v>
      </c>
      <c r="B10350" s="1">
        <v>46089</v>
      </c>
      <c r="C10350">
        <v>5</v>
      </c>
      <c r="D10350">
        <v>230.58</v>
      </c>
      <c r="E10350">
        <v>0</v>
      </c>
      <c r="F10350" t="s">
        <v>7</v>
      </c>
      <c r="G10350" t="s">
        <v>12</v>
      </c>
      <c r="H10350" s="5">
        <f>MONTH(Tabela1[[#This Row],[data]])</f>
        <v>3</v>
      </c>
      <c r="I10350">
        <f>YEAR(Tabela1[[#This Row],[data]])</f>
        <v>2026</v>
      </c>
    </row>
    <row r="10351" spans="1:9" x14ac:dyDescent="0.25">
      <c r="A10351" t="s">
        <v>6</v>
      </c>
      <c r="B10351" s="1">
        <v>46089</v>
      </c>
      <c r="C10351">
        <v>6</v>
      </c>
      <c r="D10351">
        <v>214.62</v>
      </c>
      <c r="E10351">
        <v>0</v>
      </c>
      <c r="F10351" t="s">
        <v>7</v>
      </c>
      <c r="G10351" t="s">
        <v>12</v>
      </c>
      <c r="H10351" s="5">
        <f>MONTH(Tabela1[[#This Row],[data]])</f>
        <v>3</v>
      </c>
      <c r="I10351">
        <f>YEAR(Tabela1[[#This Row],[data]])</f>
        <v>2026</v>
      </c>
    </row>
    <row r="10352" spans="1:9" x14ac:dyDescent="0.25">
      <c r="A10352" t="s">
        <v>6</v>
      </c>
      <c r="B10352" s="1">
        <v>46089</v>
      </c>
      <c r="C10352">
        <v>7</v>
      </c>
      <c r="D10352">
        <v>198.66</v>
      </c>
      <c r="E10352">
        <v>0</v>
      </c>
      <c r="F10352" t="s">
        <v>7</v>
      </c>
      <c r="G10352" t="s">
        <v>12</v>
      </c>
      <c r="H10352" s="5">
        <f>MONTH(Tabela1[[#This Row],[data]])</f>
        <v>3</v>
      </c>
      <c r="I10352">
        <f>YEAR(Tabela1[[#This Row],[data]])</f>
        <v>2026</v>
      </c>
    </row>
    <row r="10353" spans="1:9" x14ac:dyDescent="0.25">
      <c r="A10353" t="s">
        <v>6</v>
      </c>
      <c r="B10353" s="1">
        <v>46089</v>
      </c>
      <c r="C10353">
        <v>8</v>
      </c>
      <c r="D10353">
        <v>197.4</v>
      </c>
      <c r="E10353">
        <v>0</v>
      </c>
      <c r="F10353" t="s">
        <v>7</v>
      </c>
      <c r="G10353" t="s">
        <v>12</v>
      </c>
      <c r="H10353" s="5">
        <f>MONTH(Tabela1[[#This Row],[data]])</f>
        <v>3</v>
      </c>
      <c r="I10353">
        <f>YEAR(Tabela1[[#This Row],[data]])</f>
        <v>2026</v>
      </c>
    </row>
    <row r="10354" spans="1:9" x14ac:dyDescent="0.25">
      <c r="A10354" t="s">
        <v>6</v>
      </c>
      <c r="B10354" s="1">
        <v>46089</v>
      </c>
      <c r="C10354">
        <v>9</v>
      </c>
      <c r="D10354">
        <v>247.8</v>
      </c>
      <c r="E10354">
        <v>0</v>
      </c>
      <c r="F10354" t="s">
        <v>7</v>
      </c>
      <c r="G10354" t="s">
        <v>11</v>
      </c>
      <c r="H10354" s="5">
        <f>MONTH(Tabela1[[#This Row],[data]])</f>
        <v>3</v>
      </c>
      <c r="I10354">
        <f>YEAR(Tabela1[[#This Row],[data]])</f>
        <v>2026</v>
      </c>
    </row>
    <row r="10355" spans="1:9" x14ac:dyDescent="0.25">
      <c r="A10355" t="s">
        <v>6</v>
      </c>
      <c r="B10355" s="1">
        <v>46089</v>
      </c>
      <c r="C10355">
        <v>10</v>
      </c>
      <c r="D10355">
        <v>311.22000000000003</v>
      </c>
      <c r="E10355">
        <v>0.42</v>
      </c>
      <c r="F10355" t="s">
        <v>7</v>
      </c>
      <c r="G10355" t="s">
        <v>12</v>
      </c>
      <c r="H10355" s="5">
        <f>MONTH(Tabela1[[#This Row],[data]])</f>
        <v>3</v>
      </c>
      <c r="I10355">
        <f>YEAR(Tabela1[[#This Row],[data]])</f>
        <v>2026</v>
      </c>
    </row>
    <row r="10356" spans="1:9" x14ac:dyDescent="0.25">
      <c r="A10356" t="s">
        <v>6</v>
      </c>
      <c r="B10356" s="1">
        <v>46089</v>
      </c>
      <c r="C10356">
        <v>11</v>
      </c>
      <c r="D10356">
        <v>592.62</v>
      </c>
      <c r="E10356">
        <v>102.9</v>
      </c>
      <c r="F10356" t="s">
        <v>7</v>
      </c>
      <c r="G10356" t="s">
        <v>12</v>
      </c>
      <c r="H10356" s="5">
        <f>MONTH(Tabela1[[#This Row],[data]])</f>
        <v>3</v>
      </c>
      <c r="I10356">
        <f>YEAR(Tabela1[[#This Row],[data]])</f>
        <v>2026</v>
      </c>
    </row>
    <row r="10357" spans="1:9" x14ac:dyDescent="0.25">
      <c r="A10357" t="s">
        <v>6</v>
      </c>
      <c r="B10357" s="1">
        <v>46089</v>
      </c>
      <c r="C10357">
        <v>12</v>
      </c>
      <c r="D10357">
        <v>810.18</v>
      </c>
      <c r="E10357">
        <v>202.86</v>
      </c>
      <c r="F10357" t="s">
        <v>7</v>
      </c>
      <c r="G10357" t="s">
        <v>12</v>
      </c>
      <c r="H10357" s="5">
        <f>MONTH(Tabela1[[#This Row],[data]])</f>
        <v>3</v>
      </c>
      <c r="I10357">
        <f>YEAR(Tabela1[[#This Row],[data]])</f>
        <v>2026</v>
      </c>
    </row>
    <row r="10358" spans="1:9" x14ac:dyDescent="0.25">
      <c r="A10358" t="s">
        <v>6</v>
      </c>
      <c r="B10358" s="1">
        <v>46089</v>
      </c>
      <c r="C10358">
        <v>13</v>
      </c>
      <c r="D10358">
        <v>891.24</v>
      </c>
      <c r="E10358">
        <v>202.86</v>
      </c>
      <c r="F10358" t="s">
        <v>7</v>
      </c>
      <c r="G10358" t="s">
        <v>12</v>
      </c>
      <c r="H10358" s="5">
        <f>MONTH(Tabela1[[#This Row],[data]])</f>
        <v>3</v>
      </c>
      <c r="I10358">
        <f>YEAR(Tabela1[[#This Row],[data]])</f>
        <v>2026</v>
      </c>
    </row>
    <row r="10359" spans="1:9" x14ac:dyDescent="0.25">
      <c r="A10359" t="s">
        <v>6</v>
      </c>
      <c r="B10359" s="1">
        <v>46089</v>
      </c>
      <c r="C10359">
        <v>14</v>
      </c>
      <c r="D10359">
        <v>939.54</v>
      </c>
      <c r="E10359">
        <v>216.3</v>
      </c>
      <c r="F10359" t="s">
        <v>7</v>
      </c>
      <c r="G10359" t="s">
        <v>12</v>
      </c>
      <c r="H10359" s="5">
        <f>MONTH(Tabela1[[#This Row],[data]])</f>
        <v>3</v>
      </c>
      <c r="I10359">
        <f>YEAR(Tabela1[[#This Row],[data]])</f>
        <v>2026</v>
      </c>
    </row>
    <row r="10360" spans="1:9" x14ac:dyDescent="0.25">
      <c r="A10360" t="s">
        <v>6</v>
      </c>
      <c r="B10360" s="1">
        <v>46089</v>
      </c>
      <c r="C10360">
        <v>15</v>
      </c>
      <c r="D10360">
        <v>918.54</v>
      </c>
      <c r="E10360">
        <v>215.04</v>
      </c>
      <c r="F10360" t="s">
        <v>7</v>
      </c>
      <c r="G10360" t="s">
        <v>11</v>
      </c>
      <c r="H10360" s="5">
        <f>MONTH(Tabela1[[#This Row],[data]])</f>
        <v>3</v>
      </c>
      <c r="I10360">
        <f>YEAR(Tabela1[[#This Row],[data]])</f>
        <v>2026</v>
      </c>
    </row>
    <row r="10361" spans="1:9" x14ac:dyDescent="0.25">
      <c r="A10361" t="s">
        <v>6</v>
      </c>
      <c r="B10361" s="1">
        <v>46089</v>
      </c>
      <c r="C10361">
        <v>16</v>
      </c>
      <c r="D10361">
        <v>933.24</v>
      </c>
      <c r="E10361">
        <v>217.14</v>
      </c>
      <c r="F10361" t="s">
        <v>7</v>
      </c>
      <c r="G10361" t="s">
        <v>12</v>
      </c>
      <c r="H10361" s="5">
        <f>MONTH(Tabela1[[#This Row],[data]])</f>
        <v>3</v>
      </c>
      <c r="I10361">
        <f>YEAR(Tabela1[[#This Row],[data]])</f>
        <v>2026</v>
      </c>
    </row>
    <row r="10362" spans="1:9" x14ac:dyDescent="0.25">
      <c r="A10362" t="s">
        <v>6</v>
      </c>
      <c r="B10362" s="1">
        <v>46089</v>
      </c>
      <c r="C10362">
        <v>17</v>
      </c>
      <c r="D10362">
        <v>915.6</v>
      </c>
      <c r="E10362">
        <v>212.52</v>
      </c>
      <c r="F10362" t="s">
        <v>7</v>
      </c>
      <c r="G10362" t="s">
        <v>12</v>
      </c>
      <c r="H10362" s="5">
        <f>MONTH(Tabela1[[#This Row],[data]])</f>
        <v>3</v>
      </c>
      <c r="I10362">
        <f>YEAR(Tabela1[[#This Row],[data]])</f>
        <v>2026</v>
      </c>
    </row>
    <row r="10363" spans="1:9" x14ac:dyDescent="0.25">
      <c r="A10363" t="s">
        <v>6</v>
      </c>
      <c r="B10363" s="1">
        <v>46089</v>
      </c>
      <c r="C10363">
        <v>18</v>
      </c>
      <c r="D10363">
        <v>894.18</v>
      </c>
      <c r="E10363">
        <v>204.12</v>
      </c>
      <c r="F10363" t="s">
        <v>7</v>
      </c>
      <c r="G10363" t="s">
        <v>11</v>
      </c>
      <c r="H10363" s="5">
        <f>MONTH(Tabela1[[#This Row],[data]])</f>
        <v>3</v>
      </c>
      <c r="I10363">
        <f>YEAR(Tabela1[[#This Row],[data]])</f>
        <v>2026</v>
      </c>
    </row>
    <row r="10364" spans="1:9" x14ac:dyDescent="0.25">
      <c r="A10364" t="s">
        <v>6</v>
      </c>
      <c r="B10364" s="1">
        <v>46089</v>
      </c>
      <c r="C10364">
        <v>19</v>
      </c>
      <c r="D10364">
        <v>895.86</v>
      </c>
      <c r="E10364">
        <v>201.6</v>
      </c>
      <c r="F10364" t="s">
        <v>7</v>
      </c>
      <c r="G10364" t="s">
        <v>12</v>
      </c>
      <c r="H10364" s="5">
        <f>MONTH(Tabela1[[#This Row],[data]])</f>
        <v>3</v>
      </c>
      <c r="I10364">
        <f>YEAR(Tabela1[[#This Row],[data]])</f>
        <v>2026</v>
      </c>
    </row>
    <row r="10365" spans="1:9" x14ac:dyDescent="0.25">
      <c r="A10365" t="s">
        <v>6</v>
      </c>
      <c r="B10365" s="1">
        <v>46089</v>
      </c>
      <c r="C10365">
        <v>20</v>
      </c>
      <c r="D10365">
        <v>887.88</v>
      </c>
      <c r="E10365">
        <v>196.56</v>
      </c>
      <c r="F10365" t="s">
        <v>7</v>
      </c>
      <c r="G10365" t="s">
        <v>12</v>
      </c>
      <c r="H10365" s="5">
        <f>MONTH(Tabela1[[#This Row],[data]])</f>
        <v>3</v>
      </c>
      <c r="I10365">
        <f>YEAR(Tabela1[[#This Row],[data]])</f>
        <v>2026</v>
      </c>
    </row>
    <row r="10366" spans="1:9" x14ac:dyDescent="0.25">
      <c r="A10366" t="s">
        <v>6</v>
      </c>
      <c r="B10366" s="1">
        <v>46089</v>
      </c>
      <c r="C10366">
        <v>21</v>
      </c>
      <c r="D10366">
        <v>758.94</v>
      </c>
      <c r="E10366">
        <v>147.41999999999999</v>
      </c>
      <c r="F10366" t="s">
        <v>7</v>
      </c>
      <c r="G10366" t="s">
        <v>12</v>
      </c>
      <c r="H10366" s="5">
        <f>MONTH(Tabela1[[#This Row],[data]])</f>
        <v>3</v>
      </c>
      <c r="I10366">
        <f>YEAR(Tabela1[[#This Row],[data]])</f>
        <v>2026</v>
      </c>
    </row>
    <row r="10367" spans="1:9" x14ac:dyDescent="0.25">
      <c r="A10367" t="s">
        <v>6</v>
      </c>
      <c r="B10367" s="1">
        <v>46089</v>
      </c>
      <c r="C10367">
        <v>22</v>
      </c>
      <c r="D10367">
        <v>514.91999999999996</v>
      </c>
      <c r="E10367">
        <v>31.08</v>
      </c>
      <c r="F10367" t="s">
        <v>7</v>
      </c>
      <c r="G10367" t="s">
        <v>11</v>
      </c>
      <c r="H10367" s="5">
        <f>MONTH(Tabela1[[#This Row],[data]])</f>
        <v>3</v>
      </c>
      <c r="I10367">
        <f>YEAR(Tabela1[[#This Row],[data]])</f>
        <v>2026</v>
      </c>
    </row>
    <row r="10368" spans="1:9" x14ac:dyDescent="0.25">
      <c r="A10368" t="s">
        <v>6</v>
      </c>
      <c r="B10368" s="1">
        <v>46089</v>
      </c>
      <c r="C10368">
        <v>23</v>
      </c>
      <c r="D10368">
        <v>341.88</v>
      </c>
      <c r="E10368">
        <v>0</v>
      </c>
      <c r="F10368" t="s">
        <v>7</v>
      </c>
      <c r="G10368" t="s">
        <v>12</v>
      </c>
      <c r="H10368" s="5">
        <f>MONTH(Tabela1[[#This Row],[data]])</f>
        <v>3</v>
      </c>
      <c r="I10368">
        <f>YEAR(Tabela1[[#This Row],[data]])</f>
        <v>2026</v>
      </c>
    </row>
    <row r="10369" spans="1:9" x14ac:dyDescent="0.25">
      <c r="A10369" t="s">
        <v>6</v>
      </c>
      <c r="B10369" s="1">
        <v>46089</v>
      </c>
      <c r="C10369">
        <v>24</v>
      </c>
      <c r="D10369">
        <v>283.5</v>
      </c>
      <c r="E10369">
        <v>0</v>
      </c>
      <c r="F10369" t="s">
        <v>7</v>
      </c>
      <c r="G10369" t="s">
        <v>12</v>
      </c>
      <c r="H10369" s="5">
        <f>MONTH(Tabela1[[#This Row],[data]])</f>
        <v>3</v>
      </c>
      <c r="I10369">
        <f>YEAR(Tabela1[[#This Row],[data]])</f>
        <v>2026</v>
      </c>
    </row>
    <row r="10370" spans="1:9" x14ac:dyDescent="0.25">
      <c r="A10370" t="s">
        <v>6</v>
      </c>
      <c r="B10370" s="1">
        <v>46090</v>
      </c>
      <c r="C10370">
        <v>1</v>
      </c>
      <c r="D10370">
        <v>252.42</v>
      </c>
      <c r="E10370">
        <v>0</v>
      </c>
      <c r="F10370" t="s">
        <v>7</v>
      </c>
      <c r="G10370" t="s">
        <v>12</v>
      </c>
      <c r="H10370" s="5">
        <f>MONTH(Tabela1[[#This Row],[data]])</f>
        <v>3</v>
      </c>
      <c r="I10370">
        <f>YEAR(Tabela1[[#This Row],[data]])</f>
        <v>2026</v>
      </c>
    </row>
    <row r="10371" spans="1:9" x14ac:dyDescent="0.25">
      <c r="A10371" t="s">
        <v>6</v>
      </c>
      <c r="B10371" s="1">
        <v>46090</v>
      </c>
      <c r="C10371">
        <v>2</v>
      </c>
      <c r="D10371">
        <v>226.8</v>
      </c>
      <c r="E10371">
        <v>0</v>
      </c>
      <c r="F10371" t="s">
        <v>7</v>
      </c>
      <c r="G10371" t="s">
        <v>12</v>
      </c>
      <c r="H10371" s="5">
        <f>MONTH(Tabela1[[#This Row],[data]])</f>
        <v>3</v>
      </c>
      <c r="I10371">
        <f>YEAR(Tabela1[[#This Row],[data]])</f>
        <v>2026</v>
      </c>
    </row>
    <row r="10372" spans="1:9" x14ac:dyDescent="0.25">
      <c r="A10372" t="s">
        <v>6</v>
      </c>
      <c r="B10372" s="1">
        <v>46090</v>
      </c>
      <c r="C10372">
        <v>3</v>
      </c>
      <c r="D10372">
        <v>223.44</v>
      </c>
      <c r="E10372">
        <v>0</v>
      </c>
      <c r="F10372" t="s">
        <v>7</v>
      </c>
      <c r="G10372" t="s">
        <v>12</v>
      </c>
      <c r="H10372" s="5">
        <f>MONTH(Tabela1[[#This Row],[data]])</f>
        <v>3</v>
      </c>
      <c r="I10372">
        <f>YEAR(Tabela1[[#This Row],[data]])</f>
        <v>2026</v>
      </c>
    </row>
    <row r="10373" spans="1:9" x14ac:dyDescent="0.25">
      <c r="A10373" t="s">
        <v>6</v>
      </c>
      <c r="B10373" s="1">
        <v>46090</v>
      </c>
      <c r="C10373">
        <v>4</v>
      </c>
      <c r="D10373">
        <v>225.96</v>
      </c>
      <c r="E10373">
        <v>0</v>
      </c>
      <c r="F10373" t="s">
        <v>7</v>
      </c>
      <c r="G10373" t="s">
        <v>12</v>
      </c>
      <c r="H10373" s="5">
        <f>MONTH(Tabela1[[#This Row],[data]])</f>
        <v>3</v>
      </c>
      <c r="I10373">
        <f>YEAR(Tabela1[[#This Row],[data]])</f>
        <v>2026</v>
      </c>
    </row>
    <row r="10374" spans="1:9" x14ac:dyDescent="0.25">
      <c r="A10374" t="s">
        <v>6</v>
      </c>
      <c r="B10374" s="1">
        <v>46090</v>
      </c>
      <c r="C10374">
        <v>5</v>
      </c>
      <c r="D10374">
        <v>231.84</v>
      </c>
      <c r="E10374">
        <v>0</v>
      </c>
      <c r="F10374" t="s">
        <v>7</v>
      </c>
      <c r="G10374" t="s">
        <v>12</v>
      </c>
      <c r="H10374" s="5">
        <f>MONTH(Tabela1[[#This Row],[data]])</f>
        <v>3</v>
      </c>
      <c r="I10374">
        <f>YEAR(Tabela1[[#This Row],[data]])</f>
        <v>2026</v>
      </c>
    </row>
    <row r="10375" spans="1:9" x14ac:dyDescent="0.25">
      <c r="A10375" t="s">
        <v>6</v>
      </c>
      <c r="B10375" s="1">
        <v>46090</v>
      </c>
      <c r="C10375">
        <v>6</v>
      </c>
      <c r="D10375">
        <v>222.18</v>
      </c>
      <c r="E10375">
        <v>0</v>
      </c>
      <c r="F10375" t="s">
        <v>7</v>
      </c>
      <c r="G10375" t="s">
        <v>12</v>
      </c>
      <c r="H10375" s="5">
        <f>MONTH(Tabela1[[#This Row],[data]])</f>
        <v>3</v>
      </c>
      <c r="I10375">
        <f>YEAR(Tabela1[[#This Row],[data]])</f>
        <v>2026</v>
      </c>
    </row>
    <row r="10376" spans="1:9" x14ac:dyDescent="0.25">
      <c r="A10376" t="s">
        <v>6</v>
      </c>
      <c r="B10376" s="1">
        <v>46090</v>
      </c>
      <c r="C10376">
        <v>7</v>
      </c>
      <c r="D10376">
        <v>223.02</v>
      </c>
      <c r="E10376">
        <v>0</v>
      </c>
      <c r="F10376" t="s">
        <v>7</v>
      </c>
      <c r="G10376" t="s">
        <v>12</v>
      </c>
      <c r="H10376" s="5">
        <f>MONTH(Tabela1[[#This Row],[data]])</f>
        <v>3</v>
      </c>
      <c r="I10376">
        <f>YEAR(Tabela1[[#This Row],[data]])</f>
        <v>2026</v>
      </c>
    </row>
    <row r="10377" spans="1:9" x14ac:dyDescent="0.25">
      <c r="A10377" t="s">
        <v>6</v>
      </c>
      <c r="B10377" s="1">
        <v>46090</v>
      </c>
      <c r="C10377">
        <v>8</v>
      </c>
      <c r="D10377">
        <v>249.06</v>
      </c>
      <c r="E10377">
        <v>0</v>
      </c>
      <c r="F10377" t="s">
        <v>7</v>
      </c>
      <c r="G10377" t="s">
        <v>12</v>
      </c>
      <c r="H10377" s="5">
        <f>MONTH(Tabela1[[#This Row],[data]])</f>
        <v>3</v>
      </c>
      <c r="I10377">
        <f>YEAR(Tabela1[[#This Row],[data]])</f>
        <v>2026</v>
      </c>
    </row>
    <row r="10378" spans="1:9" x14ac:dyDescent="0.25">
      <c r="A10378" t="s">
        <v>6</v>
      </c>
      <c r="B10378" s="1">
        <v>46090</v>
      </c>
      <c r="C10378">
        <v>9</v>
      </c>
      <c r="D10378">
        <v>341.04</v>
      </c>
      <c r="E10378">
        <v>0</v>
      </c>
      <c r="F10378" t="s">
        <v>7</v>
      </c>
      <c r="G10378" t="s">
        <v>12</v>
      </c>
      <c r="H10378" s="5">
        <f>MONTH(Tabela1[[#This Row],[data]])</f>
        <v>3</v>
      </c>
      <c r="I10378">
        <f>YEAR(Tabela1[[#This Row],[data]])</f>
        <v>2026</v>
      </c>
    </row>
    <row r="10379" spans="1:9" x14ac:dyDescent="0.25">
      <c r="A10379" t="s">
        <v>6</v>
      </c>
      <c r="B10379" s="1">
        <v>46090</v>
      </c>
      <c r="C10379">
        <v>10</v>
      </c>
      <c r="D10379">
        <v>412.02</v>
      </c>
      <c r="E10379">
        <v>15.54</v>
      </c>
      <c r="F10379" t="s">
        <v>7</v>
      </c>
      <c r="G10379" t="s">
        <v>12</v>
      </c>
      <c r="H10379" s="5">
        <f>MONTH(Tabela1[[#This Row],[data]])</f>
        <v>3</v>
      </c>
      <c r="I10379">
        <f>YEAR(Tabela1[[#This Row],[data]])</f>
        <v>2026</v>
      </c>
    </row>
    <row r="10380" spans="1:9" x14ac:dyDescent="0.25">
      <c r="A10380" t="s">
        <v>6</v>
      </c>
      <c r="B10380" s="1">
        <v>46090</v>
      </c>
      <c r="C10380">
        <v>11</v>
      </c>
      <c r="D10380">
        <v>546.84</v>
      </c>
      <c r="E10380">
        <v>58.38</v>
      </c>
      <c r="F10380" t="s">
        <v>7</v>
      </c>
      <c r="G10380" t="s">
        <v>12</v>
      </c>
      <c r="H10380" s="5">
        <f>MONTH(Tabela1[[#This Row],[data]])</f>
        <v>3</v>
      </c>
      <c r="I10380">
        <f>YEAR(Tabela1[[#This Row],[data]])</f>
        <v>2026</v>
      </c>
    </row>
    <row r="10381" spans="1:9" x14ac:dyDescent="0.25">
      <c r="A10381" t="s">
        <v>6</v>
      </c>
      <c r="B10381" s="1">
        <v>46090</v>
      </c>
      <c r="C10381">
        <v>12</v>
      </c>
      <c r="D10381">
        <v>615.72</v>
      </c>
      <c r="E10381">
        <v>90.72</v>
      </c>
      <c r="F10381" t="s">
        <v>7</v>
      </c>
      <c r="G10381" t="s">
        <v>12</v>
      </c>
      <c r="H10381" s="5">
        <f>MONTH(Tabela1[[#This Row],[data]])</f>
        <v>3</v>
      </c>
      <c r="I10381">
        <f>YEAR(Tabela1[[#This Row],[data]])</f>
        <v>2026</v>
      </c>
    </row>
    <row r="10382" spans="1:9" x14ac:dyDescent="0.25">
      <c r="A10382" t="s">
        <v>6</v>
      </c>
      <c r="B10382" s="1">
        <v>46090</v>
      </c>
      <c r="C10382">
        <v>13</v>
      </c>
      <c r="D10382">
        <v>625.38</v>
      </c>
      <c r="E10382">
        <v>116.34</v>
      </c>
      <c r="F10382" t="s">
        <v>7</v>
      </c>
      <c r="G10382" t="s">
        <v>12</v>
      </c>
      <c r="H10382" s="5">
        <f>MONTH(Tabela1[[#This Row],[data]])</f>
        <v>3</v>
      </c>
      <c r="I10382">
        <f>YEAR(Tabela1[[#This Row],[data]])</f>
        <v>2026</v>
      </c>
    </row>
    <row r="10383" spans="1:9" x14ac:dyDescent="0.25">
      <c r="A10383" t="s">
        <v>6</v>
      </c>
      <c r="B10383" s="1">
        <v>46090</v>
      </c>
      <c r="C10383">
        <v>14</v>
      </c>
      <c r="D10383">
        <v>631.67999999999995</v>
      </c>
      <c r="E10383">
        <v>118.44</v>
      </c>
      <c r="F10383" t="s">
        <v>7</v>
      </c>
      <c r="G10383" t="s">
        <v>12</v>
      </c>
      <c r="H10383" s="5">
        <f>MONTH(Tabela1[[#This Row],[data]])</f>
        <v>3</v>
      </c>
      <c r="I10383">
        <f>YEAR(Tabela1[[#This Row],[data]])</f>
        <v>2026</v>
      </c>
    </row>
    <row r="10384" spans="1:9" x14ac:dyDescent="0.25">
      <c r="A10384" t="s">
        <v>6</v>
      </c>
      <c r="B10384" s="1">
        <v>46090</v>
      </c>
      <c r="C10384">
        <v>15</v>
      </c>
      <c r="D10384">
        <v>736.26</v>
      </c>
      <c r="E10384">
        <v>169.68</v>
      </c>
      <c r="F10384" t="s">
        <v>7</v>
      </c>
      <c r="G10384" t="s">
        <v>12</v>
      </c>
      <c r="H10384" s="5">
        <f>MONTH(Tabela1[[#This Row],[data]])</f>
        <v>3</v>
      </c>
      <c r="I10384">
        <f>YEAR(Tabela1[[#This Row],[data]])</f>
        <v>2026</v>
      </c>
    </row>
    <row r="10385" spans="1:9" x14ac:dyDescent="0.25">
      <c r="A10385" t="s">
        <v>6</v>
      </c>
      <c r="B10385" s="1">
        <v>46090</v>
      </c>
      <c r="C10385">
        <v>16</v>
      </c>
      <c r="D10385">
        <v>968.1</v>
      </c>
      <c r="E10385">
        <v>271.74</v>
      </c>
      <c r="F10385" t="s">
        <v>7</v>
      </c>
      <c r="G10385" t="s">
        <v>12</v>
      </c>
      <c r="H10385" s="5">
        <f>MONTH(Tabela1[[#This Row],[data]])</f>
        <v>3</v>
      </c>
      <c r="I10385">
        <f>YEAR(Tabela1[[#This Row],[data]])</f>
        <v>2026</v>
      </c>
    </row>
    <row r="10386" spans="1:9" x14ac:dyDescent="0.25">
      <c r="A10386" t="s">
        <v>6</v>
      </c>
      <c r="B10386" s="1">
        <v>46090</v>
      </c>
      <c r="C10386">
        <v>17</v>
      </c>
      <c r="D10386">
        <v>891.66</v>
      </c>
      <c r="E10386">
        <v>259.56</v>
      </c>
      <c r="F10386" t="s">
        <v>7</v>
      </c>
      <c r="G10386" t="s">
        <v>12</v>
      </c>
      <c r="H10386" s="5">
        <f>MONTH(Tabela1[[#This Row],[data]])</f>
        <v>3</v>
      </c>
      <c r="I10386">
        <f>YEAR(Tabela1[[#This Row],[data]])</f>
        <v>2026</v>
      </c>
    </row>
    <row r="10387" spans="1:9" x14ac:dyDescent="0.25">
      <c r="A10387" t="s">
        <v>6</v>
      </c>
      <c r="B10387" s="1">
        <v>46090</v>
      </c>
      <c r="C10387">
        <v>18</v>
      </c>
      <c r="D10387">
        <v>847.14</v>
      </c>
      <c r="E10387">
        <v>210.42</v>
      </c>
      <c r="F10387" t="s">
        <v>7</v>
      </c>
      <c r="G10387" t="s">
        <v>12</v>
      </c>
      <c r="H10387" s="5">
        <f>MONTH(Tabela1[[#This Row],[data]])</f>
        <v>3</v>
      </c>
      <c r="I10387">
        <f>YEAR(Tabela1[[#This Row],[data]])</f>
        <v>2026</v>
      </c>
    </row>
    <row r="10388" spans="1:9" x14ac:dyDescent="0.25">
      <c r="A10388" t="s">
        <v>6</v>
      </c>
      <c r="B10388" s="1">
        <v>46090</v>
      </c>
      <c r="C10388">
        <v>19</v>
      </c>
      <c r="D10388">
        <v>802.62</v>
      </c>
      <c r="E10388">
        <v>162.96</v>
      </c>
      <c r="F10388" t="s">
        <v>7</v>
      </c>
      <c r="G10388" t="s">
        <v>12</v>
      </c>
      <c r="H10388" s="5">
        <f>MONTH(Tabela1[[#This Row],[data]])</f>
        <v>3</v>
      </c>
      <c r="I10388">
        <f>YEAR(Tabela1[[#This Row],[data]])</f>
        <v>2026</v>
      </c>
    </row>
    <row r="10389" spans="1:9" x14ac:dyDescent="0.25">
      <c r="A10389" t="s">
        <v>6</v>
      </c>
      <c r="B10389" s="1">
        <v>46090</v>
      </c>
      <c r="C10389">
        <v>20</v>
      </c>
      <c r="D10389">
        <v>783.72</v>
      </c>
      <c r="E10389">
        <v>171.36</v>
      </c>
      <c r="F10389" t="s">
        <v>7</v>
      </c>
      <c r="G10389" t="s">
        <v>12</v>
      </c>
      <c r="H10389" s="5">
        <f>MONTH(Tabela1[[#This Row],[data]])</f>
        <v>3</v>
      </c>
      <c r="I10389">
        <f>YEAR(Tabela1[[#This Row],[data]])</f>
        <v>2026</v>
      </c>
    </row>
    <row r="10390" spans="1:9" x14ac:dyDescent="0.25">
      <c r="A10390" t="s">
        <v>6</v>
      </c>
      <c r="B10390" s="1">
        <v>46090</v>
      </c>
      <c r="C10390">
        <v>21</v>
      </c>
      <c r="D10390">
        <v>783.72</v>
      </c>
      <c r="E10390">
        <v>190.26</v>
      </c>
      <c r="F10390" t="s">
        <v>7</v>
      </c>
      <c r="G10390" t="s">
        <v>12</v>
      </c>
      <c r="H10390" s="5">
        <f>MONTH(Tabela1[[#This Row],[data]])</f>
        <v>3</v>
      </c>
      <c r="I10390">
        <f>YEAR(Tabela1[[#This Row],[data]])</f>
        <v>2026</v>
      </c>
    </row>
    <row r="10391" spans="1:9" x14ac:dyDescent="0.25">
      <c r="A10391" t="s">
        <v>6</v>
      </c>
      <c r="B10391" s="1">
        <v>46090</v>
      </c>
      <c r="C10391">
        <v>22</v>
      </c>
      <c r="D10391">
        <v>740.88</v>
      </c>
      <c r="E10391">
        <v>169.26</v>
      </c>
      <c r="F10391" t="s">
        <v>7</v>
      </c>
      <c r="G10391" t="s">
        <v>12</v>
      </c>
      <c r="H10391" s="5">
        <f>MONTH(Tabela1[[#This Row],[data]])</f>
        <v>3</v>
      </c>
      <c r="I10391">
        <f>YEAR(Tabela1[[#This Row],[data]])</f>
        <v>2026</v>
      </c>
    </row>
    <row r="10392" spans="1:9" x14ac:dyDescent="0.25">
      <c r="A10392" t="s">
        <v>6</v>
      </c>
      <c r="B10392" s="1">
        <v>46090</v>
      </c>
      <c r="C10392">
        <v>23</v>
      </c>
      <c r="D10392">
        <v>372.54</v>
      </c>
      <c r="E10392">
        <v>8.82</v>
      </c>
      <c r="F10392" t="s">
        <v>7</v>
      </c>
      <c r="G10392" t="s">
        <v>12</v>
      </c>
      <c r="H10392" s="5">
        <f>MONTH(Tabela1[[#This Row],[data]])</f>
        <v>3</v>
      </c>
      <c r="I10392">
        <f>YEAR(Tabela1[[#This Row],[data]])</f>
        <v>2026</v>
      </c>
    </row>
    <row r="10393" spans="1:9" x14ac:dyDescent="0.25">
      <c r="A10393" t="s">
        <v>6</v>
      </c>
      <c r="B10393" s="1">
        <v>46090</v>
      </c>
      <c r="C10393">
        <v>24</v>
      </c>
      <c r="D10393">
        <v>275.10000000000002</v>
      </c>
      <c r="E10393">
        <v>0</v>
      </c>
      <c r="F10393" t="s">
        <v>7</v>
      </c>
      <c r="G10393" t="s">
        <v>12</v>
      </c>
      <c r="H10393" s="5">
        <f>MONTH(Tabela1[[#This Row],[data]])</f>
        <v>3</v>
      </c>
      <c r="I10393">
        <f>YEAR(Tabela1[[#This Row],[data]])</f>
        <v>2026</v>
      </c>
    </row>
    <row r="10394" spans="1:9" x14ac:dyDescent="0.25">
      <c r="A10394" t="s">
        <v>6</v>
      </c>
      <c r="B10394" s="1">
        <v>46091</v>
      </c>
      <c r="C10394">
        <v>1</v>
      </c>
      <c r="D10394">
        <v>234.78</v>
      </c>
      <c r="E10394">
        <v>0</v>
      </c>
      <c r="F10394" t="s">
        <v>7</v>
      </c>
      <c r="G10394" t="s">
        <v>12</v>
      </c>
      <c r="H10394" s="5">
        <f>MONTH(Tabela1[[#This Row],[data]])</f>
        <v>3</v>
      </c>
      <c r="I10394">
        <f>YEAR(Tabela1[[#This Row],[data]])</f>
        <v>2026</v>
      </c>
    </row>
    <row r="10395" spans="1:9" x14ac:dyDescent="0.25">
      <c r="A10395" t="s">
        <v>6</v>
      </c>
      <c r="B10395" s="1">
        <v>46091</v>
      </c>
      <c r="C10395">
        <v>2</v>
      </c>
      <c r="D10395">
        <v>222.18</v>
      </c>
      <c r="E10395">
        <v>0</v>
      </c>
      <c r="F10395" t="s">
        <v>7</v>
      </c>
      <c r="G10395" t="s">
        <v>12</v>
      </c>
      <c r="H10395" s="5">
        <f>MONTH(Tabela1[[#This Row],[data]])</f>
        <v>3</v>
      </c>
      <c r="I10395">
        <f>YEAR(Tabela1[[#This Row],[data]])</f>
        <v>2026</v>
      </c>
    </row>
    <row r="10396" spans="1:9" x14ac:dyDescent="0.25">
      <c r="A10396" t="s">
        <v>6</v>
      </c>
      <c r="B10396" s="1">
        <v>46091</v>
      </c>
      <c r="C10396">
        <v>3</v>
      </c>
      <c r="D10396">
        <v>219.66</v>
      </c>
      <c r="E10396">
        <v>0</v>
      </c>
      <c r="F10396" t="s">
        <v>7</v>
      </c>
      <c r="G10396" t="s">
        <v>12</v>
      </c>
      <c r="H10396" s="5">
        <f>MONTH(Tabela1[[#This Row],[data]])</f>
        <v>3</v>
      </c>
      <c r="I10396">
        <f>YEAR(Tabela1[[#This Row],[data]])</f>
        <v>2026</v>
      </c>
    </row>
    <row r="10397" spans="1:9" x14ac:dyDescent="0.25">
      <c r="A10397" t="s">
        <v>6</v>
      </c>
      <c r="B10397" s="1">
        <v>46091</v>
      </c>
      <c r="C10397">
        <v>4</v>
      </c>
      <c r="D10397">
        <v>215.04</v>
      </c>
      <c r="E10397">
        <v>0</v>
      </c>
      <c r="F10397" t="s">
        <v>7</v>
      </c>
      <c r="G10397" t="s">
        <v>12</v>
      </c>
      <c r="H10397" s="5">
        <f>MONTH(Tabela1[[#This Row],[data]])</f>
        <v>3</v>
      </c>
      <c r="I10397">
        <f>YEAR(Tabela1[[#This Row],[data]])</f>
        <v>2026</v>
      </c>
    </row>
    <row r="10398" spans="1:9" x14ac:dyDescent="0.25">
      <c r="A10398" t="s">
        <v>6</v>
      </c>
      <c r="B10398" s="1">
        <v>46091</v>
      </c>
      <c r="C10398">
        <v>5</v>
      </c>
      <c r="D10398">
        <v>223.02</v>
      </c>
      <c r="E10398">
        <v>0</v>
      </c>
      <c r="F10398" t="s">
        <v>7</v>
      </c>
      <c r="G10398" t="s">
        <v>12</v>
      </c>
      <c r="H10398" s="5">
        <f>MONTH(Tabela1[[#This Row],[data]])</f>
        <v>3</v>
      </c>
      <c r="I10398">
        <f>YEAR(Tabela1[[#This Row],[data]])</f>
        <v>2026</v>
      </c>
    </row>
    <row r="10399" spans="1:9" x14ac:dyDescent="0.25">
      <c r="A10399" t="s">
        <v>6</v>
      </c>
      <c r="B10399" s="1">
        <v>46091</v>
      </c>
      <c r="C10399">
        <v>6</v>
      </c>
      <c r="D10399">
        <v>215.46</v>
      </c>
      <c r="E10399">
        <v>0</v>
      </c>
      <c r="F10399" t="s">
        <v>7</v>
      </c>
      <c r="G10399" t="s">
        <v>12</v>
      </c>
      <c r="H10399" s="5">
        <f>MONTH(Tabela1[[#This Row],[data]])</f>
        <v>3</v>
      </c>
      <c r="I10399">
        <f>YEAR(Tabela1[[#This Row],[data]])</f>
        <v>2026</v>
      </c>
    </row>
    <row r="10400" spans="1:9" x14ac:dyDescent="0.25">
      <c r="A10400" t="s">
        <v>6</v>
      </c>
      <c r="B10400" s="1">
        <v>46091</v>
      </c>
      <c r="C10400">
        <v>7</v>
      </c>
      <c r="D10400">
        <v>216.3</v>
      </c>
      <c r="E10400">
        <v>0</v>
      </c>
      <c r="F10400" t="s">
        <v>7</v>
      </c>
      <c r="G10400" t="s">
        <v>12</v>
      </c>
      <c r="H10400" s="5">
        <f>MONTH(Tabela1[[#This Row],[data]])</f>
        <v>3</v>
      </c>
      <c r="I10400">
        <f>YEAR(Tabela1[[#This Row],[data]])</f>
        <v>2026</v>
      </c>
    </row>
    <row r="10401" spans="1:9" x14ac:dyDescent="0.25">
      <c r="A10401" t="s">
        <v>6</v>
      </c>
      <c r="B10401" s="1">
        <v>46091</v>
      </c>
      <c r="C10401">
        <v>8</v>
      </c>
      <c r="D10401">
        <v>215.88</v>
      </c>
      <c r="E10401">
        <v>0</v>
      </c>
      <c r="F10401" t="s">
        <v>7</v>
      </c>
      <c r="G10401" t="s">
        <v>12</v>
      </c>
      <c r="H10401" s="5">
        <f>MONTH(Tabela1[[#This Row],[data]])</f>
        <v>3</v>
      </c>
      <c r="I10401">
        <f>YEAR(Tabela1[[#This Row],[data]])</f>
        <v>2026</v>
      </c>
    </row>
    <row r="10402" spans="1:9" x14ac:dyDescent="0.25">
      <c r="A10402" t="s">
        <v>6</v>
      </c>
      <c r="B10402" s="1">
        <v>46091</v>
      </c>
      <c r="C10402">
        <v>9</v>
      </c>
      <c r="D10402">
        <v>344.82</v>
      </c>
      <c r="E10402">
        <v>0.84</v>
      </c>
      <c r="F10402" t="s">
        <v>7</v>
      </c>
      <c r="G10402" t="s">
        <v>12</v>
      </c>
      <c r="H10402" s="5">
        <f>MONTH(Tabela1[[#This Row],[data]])</f>
        <v>3</v>
      </c>
      <c r="I10402">
        <f>YEAR(Tabela1[[#This Row],[data]])</f>
        <v>2026</v>
      </c>
    </row>
    <row r="10403" spans="1:9" x14ac:dyDescent="0.25">
      <c r="A10403" t="s">
        <v>6</v>
      </c>
      <c r="B10403" s="1">
        <v>46091</v>
      </c>
      <c r="C10403">
        <v>10</v>
      </c>
      <c r="D10403">
        <v>459.06</v>
      </c>
      <c r="E10403">
        <v>46.62</v>
      </c>
      <c r="F10403" t="s">
        <v>7</v>
      </c>
      <c r="G10403" t="s">
        <v>12</v>
      </c>
      <c r="H10403" s="5">
        <f>MONTH(Tabela1[[#This Row],[data]])</f>
        <v>3</v>
      </c>
      <c r="I10403">
        <f>YEAR(Tabela1[[#This Row],[data]])</f>
        <v>2026</v>
      </c>
    </row>
    <row r="10404" spans="1:9" x14ac:dyDescent="0.25">
      <c r="A10404" t="s">
        <v>6</v>
      </c>
      <c r="B10404" s="1">
        <v>46091</v>
      </c>
      <c r="C10404">
        <v>11</v>
      </c>
      <c r="D10404">
        <v>872.34</v>
      </c>
      <c r="E10404">
        <v>241.92</v>
      </c>
      <c r="F10404" t="s">
        <v>7</v>
      </c>
      <c r="G10404" t="s">
        <v>12</v>
      </c>
      <c r="H10404" s="5">
        <f>MONTH(Tabela1[[#This Row],[data]])</f>
        <v>3</v>
      </c>
      <c r="I10404">
        <f>YEAR(Tabela1[[#This Row],[data]])</f>
        <v>2026</v>
      </c>
    </row>
    <row r="10405" spans="1:9" x14ac:dyDescent="0.25">
      <c r="A10405" t="s">
        <v>6</v>
      </c>
      <c r="B10405" s="1">
        <v>46091</v>
      </c>
      <c r="C10405">
        <v>12</v>
      </c>
      <c r="D10405">
        <v>838.74</v>
      </c>
      <c r="E10405">
        <v>241.92</v>
      </c>
      <c r="F10405" t="s">
        <v>7</v>
      </c>
      <c r="G10405" t="s">
        <v>12</v>
      </c>
      <c r="H10405" s="5">
        <f>MONTH(Tabela1[[#This Row],[data]])</f>
        <v>3</v>
      </c>
      <c r="I10405">
        <f>YEAR(Tabela1[[#This Row],[data]])</f>
        <v>2026</v>
      </c>
    </row>
    <row r="10406" spans="1:9" x14ac:dyDescent="0.25">
      <c r="A10406" t="s">
        <v>6</v>
      </c>
      <c r="B10406" s="1">
        <v>46091</v>
      </c>
      <c r="C10406">
        <v>13</v>
      </c>
      <c r="D10406">
        <v>853.02</v>
      </c>
      <c r="E10406">
        <v>225.12</v>
      </c>
      <c r="F10406" t="s">
        <v>7</v>
      </c>
      <c r="G10406" t="s">
        <v>12</v>
      </c>
      <c r="H10406" s="5">
        <f>MONTH(Tabela1[[#This Row],[data]])</f>
        <v>3</v>
      </c>
      <c r="I10406">
        <f>YEAR(Tabela1[[#This Row],[data]])</f>
        <v>2026</v>
      </c>
    </row>
    <row r="10407" spans="1:9" x14ac:dyDescent="0.25">
      <c r="A10407" t="s">
        <v>6</v>
      </c>
      <c r="B10407" s="1">
        <v>46091</v>
      </c>
      <c r="C10407">
        <v>14</v>
      </c>
      <c r="D10407">
        <v>828.24</v>
      </c>
      <c r="E10407">
        <v>196.56</v>
      </c>
      <c r="F10407" t="s">
        <v>7</v>
      </c>
      <c r="G10407" t="s">
        <v>12</v>
      </c>
      <c r="H10407" s="5">
        <f>MONTH(Tabela1[[#This Row],[data]])</f>
        <v>3</v>
      </c>
      <c r="I10407">
        <f>YEAR(Tabela1[[#This Row],[data]])</f>
        <v>2026</v>
      </c>
    </row>
    <row r="10408" spans="1:9" x14ac:dyDescent="0.25">
      <c r="A10408" t="s">
        <v>6</v>
      </c>
      <c r="B10408" s="1">
        <v>46091</v>
      </c>
      <c r="C10408">
        <v>15</v>
      </c>
      <c r="D10408">
        <v>838.32</v>
      </c>
      <c r="E10408">
        <v>202.44</v>
      </c>
      <c r="F10408" t="s">
        <v>7</v>
      </c>
      <c r="G10408" t="s">
        <v>12</v>
      </c>
      <c r="H10408" s="5">
        <f>MONTH(Tabela1[[#This Row],[data]])</f>
        <v>3</v>
      </c>
      <c r="I10408">
        <f>YEAR(Tabela1[[#This Row],[data]])</f>
        <v>2026</v>
      </c>
    </row>
    <row r="10409" spans="1:9" x14ac:dyDescent="0.25">
      <c r="A10409" t="s">
        <v>6</v>
      </c>
      <c r="B10409" s="1">
        <v>46091</v>
      </c>
      <c r="C10409">
        <v>16</v>
      </c>
      <c r="D10409">
        <v>847.98</v>
      </c>
      <c r="E10409">
        <v>218.82</v>
      </c>
      <c r="F10409" t="s">
        <v>7</v>
      </c>
      <c r="G10409" t="s">
        <v>12</v>
      </c>
      <c r="H10409" s="5">
        <f>MONTH(Tabela1[[#This Row],[data]])</f>
        <v>3</v>
      </c>
      <c r="I10409">
        <f>YEAR(Tabela1[[#This Row],[data]])</f>
        <v>2026</v>
      </c>
    </row>
    <row r="10410" spans="1:9" x14ac:dyDescent="0.25">
      <c r="A10410" t="s">
        <v>6</v>
      </c>
      <c r="B10410" s="1">
        <v>46091</v>
      </c>
      <c r="C10410">
        <v>17</v>
      </c>
      <c r="D10410">
        <v>860.16</v>
      </c>
      <c r="E10410">
        <v>239.4</v>
      </c>
      <c r="F10410" t="s">
        <v>7</v>
      </c>
      <c r="G10410" t="s">
        <v>12</v>
      </c>
      <c r="H10410" s="5">
        <f>MONTH(Tabela1[[#This Row],[data]])</f>
        <v>3</v>
      </c>
      <c r="I10410">
        <f>YEAR(Tabela1[[#This Row],[data]])</f>
        <v>2026</v>
      </c>
    </row>
    <row r="10411" spans="1:9" x14ac:dyDescent="0.25">
      <c r="A10411" t="s">
        <v>6</v>
      </c>
      <c r="B10411" s="1">
        <v>46091</v>
      </c>
      <c r="C10411">
        <v>18</v>
      </c>
      <c r="D10411">
        <v>859.32</v>
      </c>
      <c r="E10411">
        <v>220.08</v>
      </c>
      <c r="F10411" t="s">
        <v>7</v>
      </c>
      <c r="G10411" t="s">
        <v>12</v>
      </c>
      <c r="H10411" s="5">
        <f>MONTH(Tabela1[[#This Row],[data]])</f>
        <v>3</v>
      </c>
      <c r="I10411">
        <f>YEAR(Tabela1[[#This Row],[data]])</f>
        <v>2026</v>
      </c>
    </row>
    <row r="10412" spans="1:9" x14ac:dyDescent="0.25">
      <c r="A10412" t="s">
        <v>6</v>
      </c>
      <c r="B10412" s="1">
        <v>46091</v>
      </c>
      <c r="C10412">
        <v>19</v>
      </c>
      <c r="D10412">
        <v>812.28</v>
      </c>
      <c r="E10412">
        <v>177.66</v>
      </c>
      <c r="F10412" t="s">
        <v>7</v>
      </c>
      <c r="G10412" t="s">
        <v>12</v>
      </c>
      <c r="H10412" s="5">
        <f>MONTH(Tabela1[[#This Row],[data]])</f>
        <v>3</v>
      </c>
      <c r="I10412">
        <f>YEAR(Tabela1[[#This Row],[data]])</f>
        <v>2026</v>
      </c>
    </row>
    <row r="10413" spans="1:9" x14ac:dyDescent="0.25">
      <c r="A10413" t="s">
        <v>6</v>
      </c>
      <c r="B10413" s="1">
        <v>46091</v>
      </c>
      <c r="C10413">
        <v>20</v>
      </c>
      <c r="D10413">
        <v>811.02</v>
      </c>
      <c r="E10413">
        <v>174.72</v>
      </c>
      <c r="F10413" t="s">
        <v>7</v>
      </c>
      <c r="G10413" t="s">
        <v>12</v>
      </c>
      <c r="H10413" s="5">
        <f>MONTH(Tabela1[[#This Row],[data]])</f>
        <v>3</v>
      </c>
      <c r="I10413">
        <f>YEAR(Tabela1[[#This Row],[data]])</f>
        <v>2026</v>
      </c>
    </row>
    <row r="10414" spans="1:9" x14ac:dyDescent="0.25">
      <c r="A10414" t="s">
        <v>6</v>
      </c>
      <c r="B10414" s="1">
        <v>46091</v>
      </c>
      <c r="C10414">
        <v>21</v>
      </c>
      <c r="D10414">
        <v>809.34</v>
      </c>
      <c r="E10414">
        <v>179.76</v>
      </c>
      <c r="F10414" t="s">
        <v>7</v>
      </c>
      <c r="G10414" t="s">
        <v>12</v>
      </c>
      <c r="H10414" s="5">
        <f>MONTH(Tabela1[[#This Row],[data]])</f>
        <v>3</v>
      </c>
      <c r="I10414">
        <f>YEAR(Tabela1[[#This Row],[data]])</f>
        <v>2026</v>
      </c>
    </row>
    <row r="10415" spans="1:9" x14ac:dyDescent="0.25">
      <c r="A10415" t="s">
        <v>6</v>
      </c>
      <c r="B10415" s="1">
        <v>46091</v>
      </c>
      <c r="C10415">
        <v>22</v>
      </c>
      <c r="D10415">
        <v>756</v>
      </c>
      <c r="E10415">
        <v>157.08000000000001</v>
      </c>
      <c r="F10415" t="s">
        <v>7</v>
      </c>
      <c r="G10415" t="s">
        <v>12</v>
      </c>
      <c r="H10415" s="5">
        <f>MONTH(Tabela1[[#This Row],[data]])</f>
        <v>3</v>
      </c>
      <c r="I10415">
        <f>YEAR(Tabela1[[#This Row],[data]])</f>
        <v>2026</v>
      </c>
    </row>
    <row r="10416" spans="1:9" x14ac:dyDescent="0.25">
      <c r="A10416" t="s">
        <v>6</v>
      </c>
      <c r="B10416" s="1">
        <v>46091</v>
      </c>
      <c r="C10416">
        <v>23</v>
      </c>
      <c r="D10416">
        <v>393.96</v>
      </c>
      <c r="E10416">
        <v>17.22</v>
      </c>
      <c r="F10416" t="s">
        <v>7</v>
      </c>
      <c r="G10416" t="s">
        <v>12</v>
      </c>
      <c r="H10416" s="5">
        <f>MONTH(Tabela1[[#This Row],[data]])</f>
        <v>3</v>
      </c>
      <c r="I10416">
        <f>YEAR(Tabela1[[#This Row],[data]])</f>
        <v>2026</v>
      </c>
    </row>
    <row r="10417" spans="1:9" x14ac:dyDescent="0.25">
      <c r="A10417" t="s">
        <v>6</v>
      </c>
      <c r="B10417" s="1">
        <v>46091</v>
      </c>
      <c r="C10417">
        <v>24</v>
      </c>
      <c r="D10417">
        <v>272.58</v>
      </c>
      <c r="E10417">
        <v>0</v>
      </c>
      <c r="F10417" t="s">
        <v>7</v>
      </c>
      <c r="G10417" t="s">
        <v>12</v>
      </c>
      <c r="H10417" s="5">
        <f>MONTH(Tabela1[[#This Row],[data]])</f>
        <v>3</v>
      </c>
      <c r="I10417">
        <f>YEAR(Tabela1[[#This Row],[data]])</f>
        <v>2026</v>
      </c>
    </row>
    <row r="10418" spans="1:9" x14ac:dyDescent="0.25">
      <c r="A10418" t="s">
        <v>6</v>
      </c>
      <c r="B10418" s="1">
        <v>46092</v>
      </c>
      <c r="C10418">
        <v>1</v>
      </c>
      <c r="D10418">
        <v>241.08</v>
      </c>
      <c r="E10418">
        <v>0</v>
      </c>
      <c r="F10418" t="s">
        <v>7</v>
      </c>
      <c r="G10418" t="s">
        <v>12</v>
      </c>
      <c r="H10418" s="5">
        <f>MONTH(Tabela1[[#This Row],[data]])</f>
        <v>3</v>
      </c>
      <c r="I10418">
        <f>YEAR(Tabela1[[#This Row],[data]])</f>
        <v>2026</v>
      </c>
    </row>
    <row r="10419" spans="1:9" x14ac:dyDescent="0.25">
      <c r="A10419" t="s">
        <v>6</v>
      </c>
      <c r="B10419" s="1">
        <v>46092</v>
      </c>
      <c r="C10419">
        <v>2</v>
      </c>
      <c r="D10419">
        <v>232.68</v>
      </c>
      <c r="E10419">
        <v>0</v>
      </c>
      <c r="F10419" t="s">
        <v>7</v>
      </c>
      <c r="G10419" t="s">
        <v>12</v>
      </c>
      <c r="H10419" s="5">
        <f>MONTH(Tabela1[[#This Row],[data]])</f>
        <v>3</v>
      </c>
      <c r="I10419">
        <f>YEAR(Tabela1[[#This Row],[data]])</f>
        <v>2026</v>
      </c>
    </row>
    <row r="10420" spans="1:9" x14ac:dyDescent="0.25">
      <c r="A10420" t="s">
        <v>6</v>
      </c>
      <c r="B10420" s="1">
        <v>46092</v>
      </c>
      <c r="C10420">
        <v>3</v>
      </c>
      <c r="D10420">
        <v>221.76</v>
      </c>
      <c r="E10420">
        <v>0</v>
      </c>
      <c r="F10420" t="s">
        <v>7</v>
      </c>
      <c r="G10420" t="s">
        <v>12</v>
      </c>
      <c r="H10420" s="5">
        <f>MONTH(Tabela1[[#This Row],[data]])</f>
        <v>3</v>
      </c>
      <c r="I10420">
        <f>YEAR(Tabela1[[#This Row],[data]])</f>
        <v>2026</v>
      </c>
    </row>
    <row r="10421" spans="1:9" x14ac:dyDescent="0.25">
      <c r="A10421" t="s">
        <v>6</v>
      </c>
      <c r="B10421" s="1">
        <v>46092</v>
      </c>
      <c r="C10421">
        <v>4</v>
      </c>
      <c r="D10421">
        <v>224.28</v>
      </c>
      <c r="E10421">
        <v>0</v>
      </c>
      <c r="F10421" t="s">
        <v>7</v>
      </c>
      <c r="G10421" t="s">
        <v>12</v>
      </c>
      <c r="H10421" s="5">
        <f>MONTH(Tabela1[[#This Row],[data]])</f>
        <v>3</v>
      </c>
      <c r="I10421">
        <f>YEAR(Tabela1[[#This Row],[data]])</f>
        <v>2026</v>
      </c>
    </row>
    <row r="10422" spans="1:9" x14ac:dyDescent="0.25">
      <c r="A10422" t="s">
        <v>6</v>
      </c>
      <c r="B10422" s="1">
        <v>46092</v>
      </c>
      <c r="C10422">
        <v>5</v>
      </c>
      <c r="D10422">
        <v>232.68</v>
      </c>
      <c r="E10422">
        <v>0</v>
      </c>
      <c r="F10422" t="s">
        <v>7</v>
      </c>
      <c r="G10422" t="s">
        <v>12</v>
      </c>
      <c r="H10422" s="5">
        <f>MONTH(Tabela1[[#This Row],[data]])</f>
        <v>3</v>
      </c>
      <c r="I10422">
        <f>YEAR(Tabela1[[#This Row],[data]])</f>
        <v>2026</v>
      </c>
    </row>
    <row r="10423" spans="1:9" x14ac:dyDescent="0.25">
      <c r="A10423" t="s">
        <v>6</v>
      </c>
      <c r="B10423" s="1">
        <v>46092</v>
      </c>
      <c r="C10423">
        <v>6</v>
      </c>
      <c r="D10423">
        <v>227.64</v>
      </c>
      <c r="E10423">
        <v>0</v>
      </c>
      <c r="F10423" t="s">
        <v>7</v>
      </c>
      <c r="G10423" t="s">
        <v>12</v>
      </c>
      <c r="H10423" s="5">
        <f>MONTH(Tabela1[[#This Row],[data]])</f>
        <v>3</v>
      </c>
      <c r="I10423">
        <f>YEAR(Tabela1[[#This Row],[data]])</f>
        <v>2026</v>
      </c>
    </row>
    <row r="10424" spans="1:9" x14ac:dyDescent="0.25">
      <c r="A10424" t="s">
        <v>6</v>
      </c>
      <c r="B10424" s="1">
        <v>46092</v>
      </c>
      <c r="C10424">
        <v>7</v>
      </c>
      <c r="D10424">
        <v>226.38</v>
      </c>
      <c r="E10424">
        <v>0</v>
      </c>
      <c r="F10424" t="s">
        <v>7</v>
      </c>
      <c r="G10424" t="s">
        <v>12</v>
      </c>
      <c r="H10424" s="5">
        <f>MONTH(Tabela1[[#This Row],[data]])</f>
        <v>3</v>
      </c>
      <c r="I10424">
        <f>YEAR(Tabela1[[#This Row],[data]])</f>
        <v>2026</v>
      </c>
    </row>
    <row r="10425" spans="1:9" x14ac:dyDescent="0.25">
      <c r="A10425" t="s">
        <v>6</v>
      </c>
      <c r="B10425" s="1">
        <v>46092</v>
      </c>
      <c r="C10425">
        <v>8</v>
      </c>
      <c r="D10425">
        <v>222.6</v>
      </c>
      <c r="E10425">
        <v>0</v>
      </c>
      <c r="F10425" t="s">
        <v>7</v>
      </c>
      <c r="G10425" t="s">
        <v>12</v>
      </c>
      <c r="H10425" s="5">
        <f>MONTH(Tabela1[[#This Row],[data]])</f>
        <v>3</v>
      </c>
      <c r="I10425">
        <f>YEAR(Tabela1[[#This Row],[data]])</f>
        <v>2026</v>
      </c>
    </row>
    <row r="10426" spans="1:9" x14ac:dyDescent="0.25">
      <c r="A10426" t="s">
        <v>6</v>
      </c>
      <c r="B10426" s="1">
        <v>46092</v>
      </c>
      <c r="C10426">
        <v>9</v>
      </c>
      <c r="D10426">
        <v>378.84</v>
      </c>
      <c r="E10426">
        <v>7.14</v>
      </c>
      <c r="F10426" t="s">
        <v>7</v>
      </c>
      <c r="G10426" t="s">
        <v>12</v>
      </c>
      <c r="H10426" s="5">
        <f>MONTH(Tabela1[[#This Row],[data]])</f>
        <v>3</v>
      </c>
      <c r="I10426">
        <f>YEAR(Tabela1[[#This Row],[data]])</f>
        <v>2026</v>
      </c>
    </row>
    <row r="10427" spans="1:9" x14ac:dyDescent="0.25">
      <c r="A10427" t="s">
        <v>6</v>
      </c>
      <c r="B10427" s="1">
        <v>46092</v>
      </c>
      <c r="C10427">
        <v>10</v>
      </c>
      <c r="D10427">
        <v>543.9</v>
      </c>
      <c r="E10427">
        <v>88.62</v>
      </c>
      <c r="F10427" t="s">
        <v>7</v>
      </c>
      <c r="G10427" t="s">
        <v>12</v>
      </c>
      <c r="H10427" s="5">
        <f>MONTH(Tabela1[[#This Row],[data]])</f>
        <v>3</v>
      </c>
      <c r="I10427">
        <f>YEAR(Tabela1[[#This Row],[data]])</f>
        <v>2026</v>
      </c>
    </row>
    <row r="10428" spans="1:9" x14ac:dyDescent="0.25">
      <c r="A10428" t="s">
        <v>6</v>
      </c>
      <c r="B10428" s="1">
        <v>46092</v>
      </c>
      <c r="C10428">
        <v>11</v>
      </c>
      <c r="D10428">
        <v>826.98</v>
      </c>
      <c r="E10428">
        <v>218.82</v>
      </c>
      <c r="F10428" t="s">
        <v>7</v>
      </c>
      <c r="G10428" t="s">
        <v>12</v>
      </c>
      <c r="H10428" s="5">
        <f>MONTH(Tabela1[[#This Row],[data]])</f>
        <v>3</v>
      </c>
      <c r="I10428">
        <f>YEAR(Tabela1[[#This Row],[data]])</f>
        <v>2026</v>
      </c>
    </row>
    <row r="10429" spans="1:9" x14ac:dyDescent="0.25">
      <c r="A10429" t="s">
        <v>6</v>
      </c>
      <c r="B10429" s="1">
        <v>46092</v>
      </c>
      <c r="C10429">
        <v>12</v>
      </c>
      <c r="D10429">
        <v>879.9</v>
      </c>
      <c r="E10429">
        <v>234.78</v>
      </c>
      <c r="F10429" t="s">
        <v>7</v>
      </c>
      <c r="G10429" t="s">
        <v>12</v>
      </c>
      <c r="H10429" s="5">
        <f>MONTH(Tabela1[[#This Row],[data]])</f>
        <v>3</v>
      </c>
      <c r="I10429">
        <f>YEAR(Tabela1[[#This Row],[data]])</f>
        <v>2026</v>
      </c>
    </row>
    <row r="10430" spans="1:9" x14ac:dyDescent="0.25">
      <c r="A10430" t="s">
        <v>6</v>
      </c>
      <c r="B10430" s="1">
        <v>46092</v>
      </c>
      <c r="C10430">
        <v>13</v>
      </c>
      <c r="D10430">
        <v>849.24</v>
      </c>
      <c r="E10430">
        <v>229.74</v>
      </c>
      <c r="F10430" t="s">
        <v>7</v>
      </c>
      <c r="G10430" t="s">
        <v>12</v>
      </c>
      <c r="H10430" s="5">
        <f>MONTH(Tabela1[[#This Row],[data]])</f>
        <v>3</v>
      </c>
      <c r="I10430">
        <f>YEAR(Tabela1[[#This Row],[data]])</f>
        <v>2026</v>
      </c>
    </row>
    <row r="10431" spans="1:9" x14ac:dyDescent="0.25">
      <c r="A10431" t="s">
        <v>6</v>
      </c>
      <c r="B10431" s="1">
        <v>46092</v>
      </c>
      <c r="C10431">
        <v>14</v>
      </c>
      <c r="D10431">
        <v>858.06</v>
      </c>
      <c r="E10431">
        <v>207.9</v>
      </c>
      <c r="F10431" t="s">
        <v>7</v>
      </c>
      <c r="G10431" t="s">
        <v>12</v>
      </c>
      <c r="H10431" s="5">
        <f>MONTH(Tabela1[[#This Row],[data]])</f>
        <v>3</v>
      </c>
      <c r="I10431">
        <f>YEAR(Tabela1[[#This Row],[data]])</f>
        <v>2026</v>
      </c>
    </row>
    <row r="10432" spans="1:9" x14ac:dyDescent="0.25">
      <c r="A10432" t="s">
        <v>6</v>
      </c>
      <c r="B10432" s="1">
        <v>46092</v>
      </c>
      <c r="C10432">
        <v>15</v>
      </c>
      <c r="D10432">
        <v>848.82</v>
      </c>
      <c r="E10432">
        <v>216.3</v>
      </c>
      <c r="F10432" t="s">
        <v>7</v>
      </c>
      <c r="G10432" t="s">
        <v>12</v>
      </c>
      <c r="H10432" s="5">
        <f>MONTH(Tabela1[[#This Row],[data]])</f>
        <v>3</v>
      </c>
      <c r="I10432">
        <f>YEAR(Tabela1[[#This Row],[data]])</f>
        <v>2026</v>
      </c>
    </row>
    <row r="10433" spans="1:9" x14ac:dyDescent="0.25">
      <c r="A10433" t="s">
        <v>6</v>
      </c>
      <c r="B10433" s="1">
        <v>46092</v>
      </c>
      <c r="C10433">
        <v>16</v>
      </c>
      <c r="D10433">
        <v>886.2</v>
      </c>
      <c r="E10433">
        <v>244.86</v>
      </c>
      <c r="F10433" t="s">
        <v>7</v>
      </c>
      <c r="G10433" t="s">
        <v>12</v>
      </c>
      <c r="H10433" s="5">
        <f>MONTH(Tabela1[[#This Row],[data]])</f>
        <v>3</v>
      </c>
      <c r="I10433">
        <f>YEAR(Tabela1[[#This Row],[data]])</f>
        <v>2026</v>
      </c>
    </row>
    <row r="10434" spans="1:9" x14ac:dyDescent="0.25">
      <c r="A10434" t="s">
        <v>6</v>
      </c>
      <c r="B10434" s="1">
        <v>46092</v>
      </c>
      <c r="C10434">
        <v>17</v>
      </c>
      <c r="D10434">
        <v>869.82</v>
      </c>
      <c r="E10434">
        <v>252</v>
      </c>
      <c r="F10434" t="s">
        <v>7</v>
      </c>
      <c r="G10434" t="s">
        <v>12</v>
      </c>
      <c r="H10434" s="5">
        <f>MONTH(Tabela1[[#This Row],[data]])</f>
        <v>3</v>
      </c>
      <c r="I10434">
        <f>YEAR(Tabela1[[#This Row],[data]])</f>
        <v>2026</v>
      </c>
    </row>
    <row r="10435" spans="1:9" x14ac:dyDescent="0.25">
      <c r="A10435" t="s">
        <v>6</v>
      </c>
      <c r="B10435" s="1">
        <v>46092</v>
      </c>
      <c r="C10435">
        <v>18</v>
      </c>
      <c r="D10435">
        <v>845.04</v>
      </c>
      <c r="E10435">
        <v>210.84</v>
      </c>
      <c r="F10435" t="s">
        <v>7</v>
      </c>
      <c r="G10435" t="s">
        <v>12</v>
      </c>
      <c r="H10435" s="5">
        <f>MONTH(Tabela1[[#This Row],[data]])</f>
        <v>3</v>
      </c>
      <c r="I10435">
        <f>YEAR(Tabela1[[#This Row],[data]])</f>
        <v>2026</v>
      </c>
    </row>
    <row r="10436" spans="1:9" x14ac:dyDescent="0.25">
      <c r="A10436" t="s">
        <v>6</v>
      </c>
      <c r="B10436" s="1">
        <v>46092</v>
      </c>
      <c r="C10436">
        <v>19</v>
      </c>
      <c r="D10436">
        <v>800.1</v>
      </c>
      <c r="E10436">
        <v>175.14</v>
      </c>
      <c r="F10436" t="s">
        <v>7</v>
      </c>
      <c r="G10436" t="s">
        <v>12</v>
      </c>
      <c r="H10436" s="5">
        <f>MONTH(Tabela1[[#This Row],[data]])</f>
        <v>3</v>
      </c>
      <c r="I10436">
        <f>YEAR(Tabela1[[#This Row],[data]])</f>
        <v>2026</v>
      </c>
    </row>
    <row r="10437" spans="1:9" x14ac:dyDescent="0.25">
      <c r="A10437" t="s">
        <v>6</v>
      </c>
      <c r="B10437" s="1">
        <v>46092</v>
      </c>
      <c r="C10437">
        <v>20</v>
      </c>
      <c r="D10437">
        <v>801.36</v>
      </c>
      <c r="E10437">
        <v>195.72</v>
      </c>
      <c r="F10437" t="s">
        <v>7</v>
      </c>
      <c r="G10437" t="s">
        <v>12</v>
      </c>
      <c r="H10437" s="5">
        <f>MONTH(Tabela1[[#This Row],[data]])</f>
        <v>3</v>
      </c>
      <c r="I10437">
        <f>YEAR(Tabela1[[#This Row],[data]])</f>
        <v>2026</v>
      </c>
    </row>
    <row r="10438" spans="1:9" x14ac:dyDescent="0.25">
      <c r="A10438" t="s">
        <v>6</v>
      </c>
      <c r="B10438" s="1">
        <v>46092</v>
      </c>
      <c r="C10438">
        <v>21</v>
      </c>
      <c r="D10438">
        <v>801.36</v>
      </c>
      <c r="E10438">
        <v>170.52</v>
      </c>
      <c r="F10438" t="s">
        <v>7</v>
      </c>
      <c r="G10438" t="s">
        <v>12</v>
      </c>
      <c r="H10438" s="5">
        <f>MONTH(Tabela1[[#This Row],[data]])</f>
        <v>3</v>
      </c>
      <c r="I10438">
        <f>YEAR(Tabela1[[#This Row],[data]])</f>
        <v>2026</v>
      </c>
    </row>
    <row r="10439" spans="1:9" x14ac:dyDescent="0.25">
      <c r="A10439" t="s">
        <v>6</v>
      </c>
      <c r="B10439" s="1">
        <v>46092</v>
      </c>
      <c r="C10439">
        <v>22</v>
      </c>
      <c r="D10439">
        <v>724.92</v>
      </c>
      <c r="E10439">
        <v>143.63999999999999</v>
      </c>
      <c r="F10439" t="s">
        <v>7</v>
      </c>
      <c r="G10439" t="s">
        <v>12</v>
      </c>
      <c r="H10439" s="5">
        <f>MONTH(Tabela1[[#This Row],[data]])</f>
        <v>3</v>
      </c>
      <c r="I10439">
        <f>YEAR(Tabela1[[#This Row],[data]])</f>
        <v>2026</v>
      </c>
    </row>
    <row r="10440" spans="1:9" x14ac:dyDescent="0.25">
      <c r="A10440" t="s">
        <v>6</v>
      </c>
      <c r="B10440" s="1">
        <v>46092</v>
      </c>
      <c r="C10440">
        <v>23</v>
      </c>
      <c r="D10440">
        <v>354.9</v>
      </c>
      <c r="E10440">
        <v>0.84</v>
      </c>
      <c r="F10440" t="s">
        <v>7</v>
      </c>
      <c r="G10440" t="s">
        <v>12</v>
      </c>
      <c r="H10440" s="5">
        <f>MONTH(Tabela1[[#This Row],[data]])</f>
        <v>3</v>
      </c>
      <c r="I10440">
        <f>YEAR(Tabela1[[#This Row],[data]])</f>
        <v>2026</v>
      </c>
    </row>
    <row r="10441" spans="1:9" x14ac:dyDescent="0.25">
      <c r="A10441" t="s">
        <v>6</v>
      </c>
      <c r="B10441" s="1">
        <v>46092</v>
      </c>
      <c r="C10441">
        <v>24</v>
      </c>
      <c r="D10441">
        <v>254.94</v>
      </c>
      <c r="E10441">
        <v>0</v>
      </c>
      <c r="F10441" t="s">
        <v>7</v>
      </c>
      <c r="G10441" t="s">
        <v>12</v>
      </c>
      <c r="H10441" s="5">
        <f>MONTH(Tabela1[[#This Row],[data]])</f>
        <v>3</v>
      </c>
      <c r="I10441">
        <f>YEAR(Tabela1[[#This Row],[data]])</f>
        <v>2026</v>
      </c>
    </row>
    <row r="10442" spans="1:9" x14ac:dyDescent="0.25">
      <c r="A10442" t="s">
        <v>6</v>
      </c>
      <c r="B10442" s="1">
        <v>46093</v>
      </c>
      <c r="C10442">
        <v>1</v>
      </c>
      <c r="D10442">
        <v>225.12</v>
      </c>
      <c r="E10442">
        <v>0</v>
      </c>
      <c r="F10442" t="s">
        <v>7</v>
      </c>
      <c r="G10442" t="s">
        <v>11</v>
      </c>
      <c r="H10442" s="5">
        <f>MONTH(Tabela1[[#This Row],[data]])</f>
        <v>3</v>
      </c>
      <c r="I10442">
        <f>YEAR(Tabela1[[#This Row],[data]])</f>
        <v>2026</v>
      </c>
    </row>
    <row r="10443" spans="1:9" x14ac:dyDescent="0.25">
      <c r="A10443" t="s">
        <v>6</v>
      </c>
      <c r="B10443" s="1">
        <v>46093</v>
      </c>
      <c r="C10443">
        <v>2</v>
      </c>
      <c r="D10443">
        <v>216.3</v>
      </c>
      <c r="E10443">
        <v>0</v>
      </c>
      <c r="F10443" t="s">
        <v>7</v>
      </c>
      <c r="G10443" t="s">
        <v>11</v>
      </c>
      <c r="H10443" s="5">
        <f>MONTH(Tabela1[[#This Row],[data]])</f>
        <v>3</v>
      </c>
      <c r="I10443">
        <f>YEAR(Tabela1[[#This Row],[data]])</f>
        <v>2026</v>
      </c>
    </row>
    <row r="10444" spans="1:9" x14ac:dyDescent="0.25">
      <c r="A10444" t="s">
        <v>6</v>
      </c>
      <c r="B10444" s="1">
        <v>46093</v>
      </c>
      <c r="C10444">
        <v>3</v>
      </c>
      <c r="D10444">
        <v>213.36</v>
      </c>
      <c r="E10444">
        <v>0</v>
      </c>
      <c r="F10444" t="s">
        <v>7</v>
      </c>
      <c r="G10444" t="s">
        <v>11</v>
      </c>
      <c r="H10444" s="5">
        <f>MONTH(Tabela1[[#This Row],[data]])</f>
        <v>3</v>
      </c>
      <c r="I10444">
        <f>YEAR(Tabela1[[#This Row],[data]])</f>
        <v>2026</v>
      </c>
    </row>
    <row r="10445" spans="1:9" x14ac:dyDescent="0.25">
      <c r="A10445" t="s">
        <v>6</v>
      </c>
      <c r="B10445" s="1">
        <v>46093</v>
      </c>
      <c r="C10445">
        <v>4</v>
      </c>
      <c r="D10445">
        <v>211.26</v>
      </c>
      <c r="E10445">
        <v>0</v>
      </c>
      <c r="F10445" t="s">
        <v>7</v>
      </c>
      <c r="G10445" t="s">
        <v>11</v>
      </c>
      <c r="H10445" s="5">
        <f>MONTH(Tabela1[[#This Row],[data]])</f>
        <v>3</v>
      </c>
      <c r="I10445">
        <f>YEAR(Tabela1[[#This Row],[data]])</f>
        <v>2026</v>
      </c>
    </row>
    <row r="10446" spans="1:9" x14ac:dyDescent="0.25">
      <c r="A10446" t="s">
        <v>6</v>
      </c>
      <c r="B10446" s="1">
        <v>46093</v>
      </c>
      <c r="C10446">
        <v>5</v>
      </c>
      <c r="D10446">
        <v>218.82</v>
      </c>
      <c r="E10446">
        <v>0</v>
      </c>
      <c r="F10446" t="s">
        <v>7</v>
      </c>
      <c r="G10446" t="s">
        <v>11</v>
      </c>
      <c r="H10446" s="5">
        <f>MONTH(Tabela1[[#This Row],[data]])</f>
        <v>3</v>
      </c>
      <c r="I10446">
        <f>YEAR(Tabela1[[#This Row],[data]])</f>
        <v>2026</v>
      </c>
    </row>
    <row r="10447" spans="1:9" x14ac:dyDescent="0.25">
      <c r="A10447" t="s">
        <v>6</v>
      </c>
      <c r="B10447" s="1">
        <v>46093</v>
      </c>
      <c r="C10447">
        <v>6</v>
      </c>
      <c r="D10447">
        <v>214.62</v>
      </c>
      <c r="E10447">
        <v>0</v>
      </c>
      <c r="F10447" t="s">
        <v>7</v>
      </c>
      <c r="G10447" t="s">
        <v>11</v>
      </c>
      <c r="H10447" s="5">
        <f>MONTH(Tabela1[[#This Row],[data]])</f>
        <v>3</v>
      </c>
      <c r="I10447">
        <f>YEAR(Tabela1[[#This Row],[data]])</f>
        <v>2026</v>
      </c>
    </row>
    <row r="10448" spans="1:9" x14ac:dyDescent="0.25">
      <c r="A10448" t="s">
        <v>6</v>
      </c>
      <c r="B10448" s="1">
        <v>46093</v>
      </c>
      <c r="C10448">
        <v>7</v>
      </c>
      <c r="D10448">
        <v>210.84</v>
      </c>
      <c r="E10448">
        <v>0</v>
      </c>
      <c r="F10448" t="s">
        <v>7</v>
      </c>
      <c r="G10448" t="s">
        <v>11</v>
      </c>
      <c r="H10448" s="5">
        <f>MONTH(Tabela1[[#This Row],[data]])</f>
        <v>3</v>
      </c>
      <c r="I10448">
        <f>YEAR(Tabela1[[#This Row],[data]])</f>
        <v>2026</v>
      </c>
    </row>
    <row r="10449" spans="1:9" x14ac:dyDescent="0.25">
      <c r="A10449" t="s">
        <v>6</v>
      </c>
      <c r="B10449" s="1">
        <v>46093</v>
      </c>
      <c r="C10449">
        <v>8</v>
      </c>
      <c r="D10449">
        <v>222.18</v>
      </c>
      <c r="E10449">
        <v>0</v>
      </c>
      <c r="F10449" t="s">
        <v>7</v>
      </c>
      <c r="G10449" t="s">
        <v>11</v>
      </c>
      <c r="H10449" s="5">
        <f>MONTH(Tabela1[[#This Row],[data]])</f>
        <v>3</v>
      </c>
      <c r="I10449">
        <f>YEAR(Tabela1[[#This Row],[data]])</f>
        <v>2026</v>
      </c>
    </row>
    <row r="10450" spans="1:9" x14ac:dyDescent="0.25">
      <c r="A10450" t="s">
        <v>6</v>
      </c>
      <c r="B10450" s="1">
        <v>46093</v>
      </c>
      <c r="C10450">
        <v>9</v>
      </c>
      <c r="D10450">
        <v>342.72</v>
      </c>
      <c r="E10450">
        <v>11.34</v>
      </c>
      <c r="F10450" t="s">
        <v>7</v>
      </c>
      <c r="G10450" t="s">
        <v>11</v>
      </c>
      <c r="H10450" s="5">
        <f>MONTH(Tabela1[[#This Row],[data]])</f>
        <v>3</v>
      </c>
      <c r="I10450">
        <f>YEAR(Tabela1[[#This Row],[data]])</f>
        <v>2026</v>
      </c>
    </row>
    <row r="10451" spans="1:9" x14ac:dyDescent="0.25">
      <c r="A10451" t="s">
        <v>6</v>
      </c>
      <c r="B10451" s="1">
        <v>46093</v>
      </c>
      <c r="C10451">
        <v>10</v>
      </c>
      <c r="D10451">
        <v>469.14</v>
      </c>
      <c r="E10451">
        <v>41.16</v>
      </c>
      <c r="F10451" t="s">
        <v>7</v>
      </c>
      <c r="G10451" t="s">
        <v>11</v>
      </c>
      <c r="H10451" s="5">
        <f>MONTH(Tabela1[[#This Row],[data]])</f>
        <v>3</v>
      </c>
      <c r="I10451">
        <f>YEAR(Tabela1[[#This Row],[data]])</f>
        <v>2026</v>
      </c>
    </row>
    <row r="10452" spans="1:9" x14ac:dyDescent="0.25">
      <c r="A10452" t="s">
        <v>6</v>
      </c>
      <c r="B10452" s="1">
        <v>46093</v>
      </c>
      <c r="C10452">
        <v>11</v>
      </c>
      <c r="D10452">
        <v>866.46</v>
      </c>
      <c r="E10452">
        <v>214.2</v>
      </c>
      <c r="F10452" t="s">
        <v>7</v>
      </c>
      <c r="G10452" t="s">
        <v>11</v>
      </c>
      <c r="H10452" s="5">
        <f>MONTH(Tabela1[[#This Row],[data]])</f>
        <v>3</v>
      </c>
      <c r="I10452">
        <f>YEAR(Tabela1[[#This Row],[data]])</f>
        <v>2026</v>
      </c>
    </row>
    <row r="10453" spans="1:9" x14ac:dyDescent="0.25">
      <c r="A10453" t="s">
        <v>6</v>
      </c>
      <c r="B10453" s="1">
        <v>46093</v>
      </c>
      <c r="C10453">
        <v>12</v>
      </c>
      <c r="D10453">
        <v>853.02</v>
      </c>
      <c r="E10453">
        <v>205.8</v>
      </c>
      <c r="F10453" t="s">
        <v>7</v>
      </c>
      <c r="G10453" t="s">
        <v>11</v>
      </c>
      <c r="H10453" s="5">
        <f>MONTH(Tabela1[[#This Row],[data]])</f>
        <v>3</v>
      </c>
      <c r="I10453">
        <f>YEAR(Tabela1[[#This Row],[data]])</f>
        <v>2026</v>
      </c>
    </row>
    <row r="10454" spans="1:9" x14ac:dyDescent="0.25">
      <c r="A10454" t="s">
        <v>6</v>
      </c>
      <c r="B10454" s="1">
        <v>46093</v>
      </c>
      <c r="C10454">
        <v>13</v>
      </c>
      <c r="D10454">
        <v>861.42</v>
      </c>
      <c r="E10454">
        <v>228.06</v>
      </c>
      <c r="F10454" t="s">
        <v>7</v>
      </c>
      <c r="G10454" t="s">
        <v>11</v>
      </c>
      <c r="H10454" s="5">
        <f>MONTH(Tabela1[[#This Row],[data]])</f>
        <v>3</v>
      </c>
      <c r="I10454">
        <f>YEAR(Tabela1[[#This Row],[data]])</f>
        <v>2026</v>
      </c>
    </row>
    <row r="10455" spans="1:9" x14ac:dyDescent="0.25">
      <c r="A10455" t="s">
        <v>6</v>
      </c>
      <c r="B10455" s="1">
        <v>46093</v>
      </c>
      <c r="C10455">
        <v>14</v>
      </c>
      <c r="D10455">
        <v>861.84</v>
      </c>
      <c r="E10455">
        <v>212.1</v>
      </c>
      <c r="F10455" t="s">
        <v>7</v>
      </c>
      <c r="G10455" t="s">
        <v>11</v>
      </c>
      <c r="H10455" s="5">
        <f>MONTH(Tabela1[[#This Row],[data]])</f>
        <v>3</v>
      </c>
      <c r="I10455">
        <f>YEAR(Tabela1[[#This Row],[data]])</f>
        <v>2026</v>
      </c>
    </row>
    <row r="10456" spans="1:9" x14ac:dyDescent="0.25">
      <c r="A10456" t="s">
        <v>6</v>
      </c>
      <c r="B10456" s="1">
        <v>46093</v>
      </c>
      <c r="C10456">
        <v>15</v>
      </c>
      <c r="D10456">
        <v>830.76</v>
      </c>
      <c r="E10456">
        <v>194.46</v>
      </c>
      <c r="F10456" t="s">
        <v>7</v>
      </c>
      <c r="G10456" t="s">
        <v>11</v>
      </c>
      <c r="H10456" s="5">
        <f>MONTH(Tabela1[[#This Row],[data]])</f>
        <v>3</v>
      </c>
      <c r="I10456">
        <f>YEAR(Tabela1[[#This Row],[data]])</f>
        <v>2026</v>
      </c>
    </row>
    <row r="10457" spans="1:9" x14ac:dyDescent="0.25">
      <c r="A10457" t="s">
        <v>6</v>
      </c>
      <c r="B10457" s="1">
        <v>46093</v>
      </c>
      <c r="C10457">
        <v>16</v>
      </c>
      <c r="D10457">
        <v>841.26</v>
      </c>
      <c r="E10457">
        <v>212.1</v>
      </c>
      <c r="F10457" t="s">
        <v>7</v>
      </c>
      <c r="G10457" t="s">
        <v>11</v>
      </c>
      <c r="H10457" s="5">
        <f>MONTH(Tabela1[[#This Row],[data]])</f>
        <v>3</v>
      </c>
      <c r="I10457">
        <f>YEAR(Tabela1[[#This Row],[data]])</f>
        <v>2026</v>
      </c>
    </row>
    <row r="10458" spans="1:9" x14ac:dyDescent="0.25">
      <c r="A10458" t="s">
        <v>6</v>
      </c>
      <c r="B10458" s="1">
        <v>46093</v>
      </c>
      <c r="C10458">
        <v>17</v>
      </c>
      <c r="D10458">
        <v>818.58</v>
      </c>
      <c r="E10458">
        <v>217.98</v>
      </c>
      <c r="F10458" t="s">
        <v>7</v>
      </c>
      <c r="G10458" t="s">
        <v>11</v>
      </c>
      <c r="H10458" s="5">
        <f>MONTH(Tabela1[[#This Row],[data]])</f>
        <v>3</v>
      </c>
      <c r="I10458">
        <f>YEAR(Tabela1[[#This Row],[data]])</f>
        <v>2026</v>
      </c>
    </row>
    <row r="10459" spans="1:9" x14ac:dyDescent="0.25">
      <c r="A10459" t="s">
        <v>6</v>
      </c>
      <c r="B10459" s="1">
        <v>46093</v>
      </c>
      <c r="C10459">
        <v>18</v>
      </c>
      <c r="D10459">
        <v>817.74</v>
      </c>
      <c r="E10459">
        <v>190.68</v>
      </c>
      <c r="F10459" t="s">
        <v>7</v>
      </c>
      <c r="G10459" t="s">
        <v>11</v>
      </c>
      <c r="H10459" s="5">
        <f>MONTH(Tabela1[[#This Row],[data]])</f>
        <v>3</v>
      </c>
      <c r="I10459">
        <f>YEAR(Tabela1[[#This Row],[data]])</f>
        <v>2026</v>
      </c>
    </row>
    <row r="10460" spans="1:9" x14ac:dyDescent="0.25">
      <c r="A10460" t="s">
        <v>6</v>
      </c>
      <c r="B10460" s="1">
        <v>46093</v>
      </c>
      <c r="C10460">
        <v>19</v>
      </c>
      <c r="D10460">
        <v>796.74</v>
      </c>
      <c r="E10460">
        <v>172.62</v>
      </c>
      <c r="F10460" t="s">
        <v>7</v>
      </c>
      <c r="G10460" t="s">
        <v>11</v>
      </c>
      <c r="H10460" s="5">
        <f>MONTH(Tabela1[[#This Row],[data]])</f>
        <v>3</v>
      </c>
      <c r="I10460">
        <f>YEAR(Tabela1[[#This Row],[data]])</f>
        <v>2026</v>
      </c>
    </row>
    <row r="10461" spans="1:9" x14ac:dyDescent="0.25">
      <c r="A10461" t="s">
        <v>6</v>
      </c>
      <c r="B10461" s="1">
        <v>46093</v>
      </c>
      <c r="C10461">
        <v>20</v>
      </c>
      <c r="D10461">
        <v>797.58</v>
      </c>
      <c r="E10461">
        <v>174.72</v>
      </c>
      <c r="F10461" t="s">
        <v>7</v>
      </c>
      <c r="G10461" t="s">
        <v>11</v>
      </c>
      <c r="H10461" s="5">
        <f>MONTH(Tabela1[[#This Row],[data]])</f>
        <v>3</v>
      </c>
      <c r="I10461">
        <f>YEAR(Tabela1[[#This Row],[data]])</f>
        <v>2026</v>
      </c>
    </row>
    <row r="10462" spans="1:9" x14ac:dyDescent="0.25">
      <c r="A10462" t="s">
        <v>6</v>
      </c>
      <c r="B10462" s="1">
        <v>46093</v>
      </c>
      <c r="C10462">
        <v>21</v>
      </c>
      <c r="D10462">
        <v>750.54</v>
      </c>
      <c r="E10462">
        <v>154.97999999999999</v>
      </c>
      <c r="F10462" t="s">
        <v>7</v>
      </c>
      <c r="G10462" t="s">
        <v>11</v>
      </c>
      <c r="H10462" s="5">
        <f>MONTH(Tabela1[[#This Row],[data]])</f>
        <v>3</v>
      </c>
      <c r="I10462">
        <f>YEAR(Tabela1[[#This Row],[data]])</f>
        <v>2026</v>
      </c>
    </row>
    <row r="10463" spans="1:9" x14ac:dyDescent="0.25">
      <c r="A10463" t="s">
        <v>6</v>
      </c>
      <c r="B10463" s="1">
        <v>46093</v>
      </c>
      <c r="C10463">
        <v>22</v>
      </c>
      <c r="D10463">
        <v>573.72</v>
      </c>
      <c r="E10463">
        <v>49.56</v>
      </c>
      <c r="F10463" t="s">
        <v>7</v>
      </c>
      <c r="G10463" t="s">
        <v>11</v>
      </c>
      <c r="H10463" s="5">
        <f>MONTH(Tabela1[[#This Row],[data]])</f>
        <v>3</v>
      </c>
      <c r="I10463">
        <f>YEAR(Tabela1[[#This Row],[data]])</f>
        <v>2026</v>
      </c>
    </row>
    <row r="10464" spans="1:9" x14ac:dyDescent="0.25">
      <c r="A10464" t="s">
        <v>6</v>
      </c>
      <c r="B10464" s="1">
        <v>46093</v>
      </c>
      <c r="C10464">
        <v>23</v>
      </c>
      <c r="D10464">
        <v>359.52</v>
      </c>
      <c r="E10464">
        <v>0</v>
      </c>
      <c r="F10464" t="s">
        <v>7</v>
      </c>
      <c r="G10464" t="s">
        <v>11</v>
      </c>
      <c r="H10464" s="5">
        <f>MONTH(Tabela1[[#This Row],[data]])</f>
        <v>3</v>
      </c>
      <c r="I10464">
        <f>YEAR(Tabela1[[#This Row],[data]])</f>
        <v>2026</v>
      </c>
    </row>
    <row r="10465" spans="1:9" x14ac:dyDescent="0.25">
      <c r="A10465" t="s">
        <v>6</v>
      </c>
      <c r="B10465" s="1">
        <v>46093</v>
      </c>
      <c r="C10465">
        <v>24</v>
      </c>
      <c r="D10465">
        <v>259.14</v>
      </c>
      <c r="E10465">
        <v>0</v>
      </c>
      <c r="F10465" t="s">
        <v>7</v>
      </c>
      <c r="G10465" t="s">
        <v>11</v>
      </c>
      <c r="H10465" s="5">
        <f>MONTH(Tabela1[[#This Row],[data]])</f>
        <v>3</v>
      </c>
      <c r="I10465">
        <f>YEAR(Tabela1[[#This Row],[data]])</f>
        <v>2026</v>
      </c>
    </row>
    <row r="10466" spans="1:9" x14ac:dyDescent="0.25">
      <c r="A10466" t="s">
        <v>6</v>
      </c>
      <c r="B10466" s="1">
        <v>46094</v>
      </c>
      <c r="C10466">
        <v>1</v>
      </c>
      <c r="D10466">
        <v>243.6</v>
      </c>
      <c r="E10466">
        <v>0</v>
      </c>
      <c r="F10466" t="s">
        <v>7</v>
      </c>
      <c r="G10466" t="s">
        <v>11</v>
      </c>
      <c r="H10466" s="5">
        <f>MONTH(Tabela1[[#This Row],[data]])</f>
        <v>3</v>
      </c>
      <c r="I10466">
        <f>YEAR(Tabela1[[#This Row],[data]])</f>
        <v>2026</v>
      </c>
    </row>
    <row r="10467" spans="1:9" x14ac:dyDescent="0.25">
      <c r="A10467" t="s">
        <v>6</v>
      </c>
      <c r="B10467" s="1">
        <v>46094</v>
      </c>
      <c r="C10467">
        <v>2</v>
      </c>
      <c r="D10467">
        <v>237.3</v>
      </c>
      <c r="E10467">
        <v>0</v>
      </c>
      <c r="F10467" t="s">
        <v>7</v>
      </c>
      <c r="G10467" t="s">
        <v>11</v>
      </c>
      <c r="H10467" s="5">
        <f>MONTH(Tabela1[[#This Row],[data]])</f>
        <v>3</v>
      </c>
      <c r="I10467">
        <f>YEAR(Tabela1[[#This Row],[data]])</f>
        <v>2026</v>
      </c>
    </row>
    <row r="10468" spans="1:9" x14ac:dyDescent="0.25">
      <c r="A10468" t="s">
        <v>6</v>
      </c>
      <c r="B10468" s="1">
        <v>46094</v>
      </c>
      <c r="C10468">
        <v>3</v>
      </c>
      <c r="D10468">
        <v>237.3</v>
      </c>
      <c r="E10468">
        <v>0</v>
      </c>
      <c r="F10468" t="s">
        <v>7</v>
      </c>
      <c r="G10468" t="s">
        <v>11</v>
      </c>
      <c r="H10468" s="5">
        <f>MONTH(Tabela1[[#This Row],[data]])</f>
        <v>3</v>
      </c>
      <c r="I10468">
        <f>YEAR(Tabela1[[#This Row],[data]])</f>
        <v>2026</v>
      </c>
    </row>
    <row r="10469" spans="1:9" x14ac:dyDescent="0.25">
      <c r="A10469" t="s">
        <v>6</v>
      </c>
      <c r="B10469" s="1">
        <v>46094</v>
      </c>
      <c r="C10469">
        <v>4</v>
      </c>
      <c r="D10469">
        <v>235.62</v>
      </c>
      <c r="E10469">
        <v>0</v>
      </c>
      <c r="F10469" t="s">
        <v>7</v>
      </c>
      <c r="G10469" t="s">
        <v>11</v>
      </c>
      <c r="H10469" s="5">
        <f>MONTH(Tabela1[[#This Row],[data]])</f>
        <v>3</v>
      </c>
      <c r="I10469">
        <f>YEAR(Tabela1[[#This Row],[data]])</f>
        <v>2026</v>
      </c>
    </row>
    <row r="10470" spans="1:9" x14ac:dyDescent="0.25">
      <c r="A10470" t="s">
        <v>6</v>
      </c>
      <c r="B10470" s="1">
        <v>46094</v>
      </c>
      <c r="C10470">
        <v>5</v>
      </c>
      <c r="D10470">
        <v>236.46</v>
      </c>
      <c r="E10470">
        <v>0</v>
      </c>
      <c r="F10470" t="s">
        <v>7</v>
      </c>
      <c r="G10470" t="s">
        <v>11</v>
      </c>
      <c r="H10470" s="5">
        <f>MONTH(Tabela1[[#This Row],[data]])</f>
        <v>3</v>
      </c>
      <c r="I10470">
        <f>YEAR(Tabela1[[#This Row],[data]])</f>
        <v>2026</v>
      </c>
    </row>
    <row r="10471" spans="1:9" x14ac:dyDescent="0.25">
      <c r="A10471" t="s">
        <v>6</v>
      </c>
      <c r="B10471" s="1">
        <v>46094</v>
      </c>
      <c r="C10471">
        <v>6</v>
      </c>
      <c r="D10471">
        <v>231.42</v>
      </c>
      <c r="E10471">
        <v>0</v>
      </c>
      <c r="F10471" t="s">
        <v>7</v>
      </c>
      <c r="G10471" t="s">
        <v>11</v>
      </c>
      <c r="H10471" s="5">
        <f>MONTH(Tabela1[[#This Row],[data]])</f>
        <v>3</v>
      </c>
      <c r="I10471">
        <f>YEAR(Tabela1[[#This Row],[data]])</f>
        <v>2026</v>
      </c>
    </row>
    <row r="10472" spans="1:9" x14ac:dyDescent="0.25">
      <c r="A10472" t="s">
        <v>6</v>
      </c>
      <c r="B10472" s="1">
        <v>46094</v>
      </c>
      <c r="C10472">
        <v>7</v>
      </c>
      <c r="D10472">
        <v>226.8</v>
      </c>
      <c r="E10472">
        <v>0</v>
      </c>
      <c r="F10472" t="s">
        <v>7</v>
      </c>
      <c r="G10472" t="s">
        <v>11</v>
      </c>
      <c r="H10472" s="5">
        <f>MONTH(Tabela1[[#This Row],[data]])</f>
        <v>3</v>
      </c>
      <c r="I10472">
        <f>YEAR(Tabela1[[#This Row],[data]])</f>
        <v>2026</v>
      </c>
    </row>
    <row r="10473" spans="1:9" x14ac:dyDescent="0.25">
      <c r="A10473" t="s">
        <v>6</v>
      </c>
      <c r="B10473" s="1">
        <v>46094</v>
      </c>
      <c r="C10473">
        <v>8</v>
      </c>
      <c r="D10473">
        <v>231</v>
      </c>
      <c r="E10473">
        <v>0</v>
      </c>
      <c r="F10473" t="s">
        <v>7</v>
      </c>
      <c r="G10473" t="s">
        <v>11</v>
      </c>
      <c r="H10473" s="5">
        <f>MONTH(Tabela1[[#This Row],[data]])</f>
        <v>3</v>
      </c>
      <c r="I10473">
        <f>YEAR(Tabela1[[#This Row],[data]])</f>
        <v>2026</v>
      </c>
    </row>
    <row r="10474" spans="1:9" x14ac:dyDescent="0.25">
      <c r="A10474" t="s">
        <v>6</v>
      </c>
      <c r="B10474" s="1">
        <v>46094</v>
      </c>
      <c r="C10474">
        <v>9</v>
      </c>
      <c r="D10474">
        <v>360.36</v>
      </c>
      <c r="E10474">
        <v>1.68</v>
      </c>
      <c r="F10474" t="s">
        <v>7</v>
      </c>
      <c r="G10474" t="s">
        <v>11</v>
      </c>
      <c r="H10474" s="5">
        <f>MONTH(Tabela1[[#This Row],[data]])</f>
        <v>3</v>
      </c>
      <c r="I10474">
        <f>YEAR(Tabela1[[#This Row],[data]])</f>
        <v>2026</v>
      </c>
    </row>
    <row r="10475" spans="1:9" x14ac:dyDescent="0.25">
      <c r="A10475" t="s">
        <v>6</v>
      </c>
      <c r="B10475" s="1">
        <v>46094</v>
      </c>
      <c r="C10475">
        <v>10</v>
      </c>
      <c r="D10475">
        <v>458.64</v>
      </c>
      <c r="E10475">
        <v>20.58</v>
      </c>
      <c r="F10475" t="s">
        <v>7</v>
      </c>
      <c r="G10475" t="s">
        <v>11</v>
      </c>
      <c r="H10475" s="5">
        <f>MONTH(Tabela1[[#This Row],[data]])</f>
        <v>3</v>
      </c>
      <c r="I10475">
        <f>YEAR(Tabela1[[#This Row],[data]])</f>
        <v>2026</v>
      </c>
    </row>
    <row r="10476" spans="1:9" x14ac:dyDescent="0.25">
      <c r="A10476" t="s">
        <v>6</v>
      </c>
      <c r="B10476" s="1">
        <v>46094</v>
      </c>
      <c r="C10476">
        <v>11</v>
      </c>
      <c r="D10476">
        <v>682.08</v>
      </c>
      <c r="E10476">
        <v>140.69999999999999</v>
      </c>
      <c r="F10476" t="s">
        <v>7</v>
      </c>
      <c r="G10476" t="s">
        <v>11</v>
      </c>
      <c r="H10476" s="5">
        <f>MONTH(Tabela1[[#This Row],[data]])</f>
        <v>3</v>
      </c>
      <c r="I10476">
        <f>YEAR(Tabela1[[#This Row],[data]])</f>
        <v>2026</v>
      </c>
    </row>
    <row r="10477" spans="1:9" x14ac:dyDescent="0.25">
      <c r="A10477" t="s">
        <v>6</v>
      </c>
      <c r="B10477" s="1">
        <v>46094</v>
      </c>
      <c r="C10477">
        <v>12</v>
      </c>
      <c r="D10477">
        <v>950.88</v>
      </c>
      <c r="E10477">
        <v>256.62</v>
      </c>
      <c r="F10477" t="s">
        <v>7</v>
      </c>
      <c r="G10477" t="s">
        <v>11</v>
      </c>
      <c r="H10477" s="5">
        <f>MONTH(Tabela1[[#This Row],[data]])</f>
        <v>3</v>
      </c>
      <c r="I10477">
        <f>YEAR(Tabela1[[#This Row],[data]])</f>
        <v>2026</v>
      </c>
    </row>
    <row r="10478" spans="1:9" x14ac:dyDescent="0.25">
      <c r="A10478" t="s">
        <v>6</v>
      </c>
      <c r="B10478" s="1">
        <v>46094</v>
      </c>
      <c r="C10478">
        <v>13</v>
      </c>
      <c r="D10478">
        <v>901.32</v>
      </c>
      <c r="E10478">
        <v>233.94</v>
      </c>
      <c r="F10478" t="s">
        <v>7</v>
      </c>
      <c r="G10478" t="s">
        <v>11</v>
      </c>
      <c r="H10478" s="5">
        <f>MONTH(Tabela1[[#This Row],[data]])</f>
        <v>3</v>
      </c>
      <c r="I10478">
        <f>YEAR(Tabela1[[#This Row],[data]])</f>
        <v>2026</v>
      </c>
    </row>
    <row r="10479" spans="1:9" x14ac:dyDescent="0.25">
      <c r="A10479" t="s">
        <v>6</v>
      </c>
      <c r="B10479" s="1">
        <v>46094</v>
      </c>
      <c r="C10479">
        <v>14</v>
      </c>
      <c r="D10479">
        <v>875.7</v>
      </c>
      <c r="E10479">
        <v>207.06</v>
      </c>
      <c r="F10479" t="s">
        <v>7</v>
      </c>
      <c r="G10479" t="s">
        <v>11</v>
      </c>
      <c r="H10479" s="5">
        <f>MONTH(Tabela1[[#This Row],[data]])</f>
        <v>3</v>
      </c>
      <c r="I10479">
        <f>YEAR(Tabela1[[#This Row],[data]])</f>
        <v>2026</v>
      </c>
    </row>
    <row r="10480" spans="1:9" x14ac:dyDescent="0.25">
      <c r="A10480" t="s">
        <v>6</v>
      </c>
      <c r="B10480" s="1">
        <v>46094</v>
      </c>
      <c r="C10480">
        <v>15</v>
      </c>
      <c r="D10480">
        <v>891.24</v>
      </c>
      <c r="E10480">
        <v>238.98</v>
      </c>
      <c r="F10480" t="s">
        <v>7</v>
      </c>
      <c r="G10480" t="s">
        <v>11</v>
      </c>
      <c r="H10480" s="5">
        <f>MONTH(Tabela1[[#This Row],[data]])</f>
        <v>3</v>
      </c>
      <c r="I10480">
        <f>YEAR(Tabela1[[#This Row],[data]])</f>
        <v>2026</v>
      </c>
    </row>
    <row r="10481" spans="1:9" x14ac:dyDescent="0.25">
      <c r="A10481" t="s">
        <v>6</v>
      </c>
      <c r="B10481" s="1">
        <v>46094</v>
      </c>
      <c r="C10481">
        <v>16</v>
      </c>
      <c r="D10481">
        <v>883.26</v>
      </c>
      <c r="E10481">
        <v>235.2</v>
      </c>
      <c r="F10481" t="s">
        <v>7</v>
      </c>
      <c r="G10481" t="s">
        <v>11</v>
      </c>
      <c r="H10481" s="5">
        <f>MONTH(Tabela1[[#This Row],[data]])</f>
        <v>3</v>
      </c>
      <c r="I10481">
        <f>YEAR(Tabela1[[#This Row],[data]])</f>
        <v>2026</v>
      </c>
    </row>
    <row r="10482" spans="1:9" x14ac:dyDescent="0.25">
      <c r="A10482" t="s">
        <v>6</v>
      </c>
      <c r="B10482" s="1">
        <v>46094</v>
      </c>
      <c r="C10482">
        <v>17</v>
      </c>
      <c r="D10482">
        <v>845.04</v>
      </c>
      <c r="E10482">
        <v>201.6</v>
      </c>
      <c r="F10482" t="s">
        <v>7</v>
      </c>
      <c r="G10482" t="s">
        <v>11</v>
      </c>
      <c r="H10482" s="5">
        <f>MONTH(Tabela1[[#This Row],[data]])</f>
        <v>3</v>
      </c>
      <c r="I10482">
        <f>YEAR(Tabela1[[#This Row],[data]])</f>
        <v>2026</v>
      </c>
    </row>
    <row r="10483" spans="1:9" x14ac:dyDescent="0.25">
      <c r="A10483" t="s">
        <v>6</v>
      </c>
      <c r="B10483" s="1">
        <v>46094</v>
      </c>
      <c r="C10483">
        <v>18</v>
      </c>
      <c r="D10483">
        <v>844.62</v>
      </c>
      <c r="E10483">
        <v>175.14</v>
      </c>
      <c r="F10483" t="s">
        <v>7</v>
      </c>
      <c r="G10483" t="s">
        <v>11</v>
      </c>
      <c r="H10483" s="5">
        <f>MONTH(Tabela1[[#This Row],[data]])</f>
        <v>3</v>
      </c>
      <c r="I10483">
        <f>YEAR(Tabela1[[#This Row],[data]])</f>
        <v>2026</v>
      </c>
    </row>
    <row r="10484" spans="1:9" x14ac:dyDescent="0.25">
      <c r="A10484" t="s">
        <v>6</v>
      </c>
      <c r="B10484" s="1">
        <v>46094</v>
      </c>
      <c r="C10484">
        <v>19</v>
      </c>
      <c r="D10484">
        <v>808.5</v>
      </c>
      <c r="E10484">
        <v>155.4</v>
      </c>
      <c r="F10484" t="s">
        <v>7</v>
      </c>
      <c r="G10484" t="s">
        <v>11</v>
      </c>
      <c r="H10484" s="5">
        <f>MONTH(Tabela1[[#This Row],[data]])</f>
        <v>3</v>
      </c>
      <c r="I10484">
        <f>YEAR(Tabela1[[#This Row],[data]])</f>
        <v>2026</v>
      </c>
    </row>
    <row r="10485" spans="1:9" x14ac:dyDescent="0.25">
      <c r="A10485" t="s">
        <v>6</v>
      </c>
      <c r="B10485" s="1">
        <v>46094</v>
      </c>
      <c r="C10485">
        <v>20</v>
      </c>
      <c r="D10485">
        <v>786.66</v>
      </c>
      <c r="E10485">
        <v>168</v>
      </c>
      <c r="F10485" t="s">
        <v>7</v>
      </c>
      <c r="G10485" t="s">
        <v>11</v>
      </c>
      <c r="H10485" s="5">
        <f>MONTH(Tabela1[[#This Row],[data]])</f>
        <v>3</v>
      </c>
      <c r="I10485">
        <f>YEAR(Tabela1[[#This Row],[data]])</f>
        <v>2026</v>
      </c>
    </row>
    <row r="10486" spans="1:9" x14ac:dyDescent="0.25">
      <c r="A10486" t="s">
        <v>6</v>
      </c>
      <c r="B10486" s="1">
        <v>46094</v>
      </c>
      <c r="C10486">
        <v>21</v>
      </c>
      <c r="D10486">
        <v>789.6</v>
      </c>
      <c r="E10486">
        <v>165.06</v>
      </c>
      <c r="F10486" t="s">
        <v>7</v>
      </c>
      <c r="G10486" t="s">
        <v>11</v>
      </c>
      <c r="H10486" s="5">
        <f>MONTH(Tabela1[[#This Row],[data]])</f>
        <v>3</v>
      </c>
      <c r="I10486">
        <f>YEAR(Tabela1[[#This Row],[data]])</f>
        <v>2026</v>
      </c>
    </row>
    <row r="10487" spans="1:9" x14ac:dyDescent="0.25">
      <c r="A10487" t="s">
        <v>6</v>
      </c>
      <c r="B10487" s="1">
        <v>46094</v>
      </c>
      <c r="C10487">
        <v>22</v>
      </c>
      <c r="D10487">
        <v>742.56</v>
      </c>
      <c r="E10487">
        <v>151.62</v>
      </c>
      <c r="F10487" t="s">
        <v>7</v>
      </c>
      <c r="G10487" t="s">
        <v>11</v>
      </c>
      <c r="H10487" s="5">
        <f>MONTH(Tabela1[[#This Row],[data]])</f>
        <v>3</v>
      </c>
      <c r="I10487">
        <f>YEAR(Tabela1[[#This Row],[data]])</f>
        <v>2026</v>
      </c>
    </row>
    <row r="10488" spans="1:9" x14ac:dyDescent="0.25">
      <c r="A10488" t="s">
        <v>6</v>
      </c>
      <c r="B10488" s="1">
        <v>46094</v>
      </c>
      <c r="C10488">
        <v>23</v>
      </c>
      <c r="D10488">
        <v>386.4</v>
      </c>
      <c r="E10488">
        <v>2.52</v>
      </c>
      <c r="F10488" t="s">
        <v>7</v>
      </c>
      <c r="G10488" t="s">
        <v>11</v>
      </c>
      <c r="H10488" s="5">
        <f>MONTH(Tabela1[[#This Row],[data]])</f>
        <v>3</v>
      </c>
      <c r="I10488">
        <f>YEAR(Tabela1[[#This Row],[data]])</f>
        <v>2026</v>
      </c>
    </row>
    <row r="10489" spans="1:9" x14ac:dyDescent="0.25">
      <c r="A10489" t="s">
        <v>6</v>
      </c>
      <c r="B10489" s="1">
        <v>46094</v>
      </c>
      <c r="C10489">
        <v>24</v>
      </c>
      <c r="D10489">
        <v>252</v>
      </c>
      <c r="E10489">
        <v>0</v>
      </c>
      <c r="F10489" t="s">
        <v>7</v>
      </c>
      <c r="G10489" t="s">
        <v>11</v>
      </c>
      <c r="H10489" s="5">
        <f>MONTH(Tabela1[[#This Row],[data]])</f>
        <v>3</v>
      </c>
      <c r="I10489">
        <f>YEAR(Tabela1[[#This Row],[data]])</f>
        <v>2026</v>
      </c>
    </row>
    <row r="10490" spans="1:9" x14ac:dyDescent="0.25">
      <c r="A10490" t="s">
        <v>6</v>
      </c>
      <c r="B10490" s="1">
        <v>46095</v>
      </c>
      <c r="C10490">
        <v>1</v>
      </c>
      <c r="D10490">
        <v>229.32</v>
      </c>
      <c r="E10490">
        <v>0</v>
      </c>
      <c r="F10490" t="s">
        <v>7</v>
      </c>
      <c r="G10490" t="s">
        <v>11</v>
      </c>
      <c r="H10490" s="5">
        <f>MONTH(Tabela1[[#This Row],[data]])</f>
        <v>3</v>
      </c>
      <c r="I10490">
        <f>YEAR(Tabela1[[#This Row],[data]])</f>
        <v>2026</v>
      </c>
    </row>
    <row r="10491" spans="1:9" x14ac:dyDescent="0.25">
      <c r="A10491" t="s">
        <v>6</v>
      </c>
      <c r="B10491" s="1">
        <v>46095</v>
      </c>
      <c r="C10491">
        <v>2</v>
      </c>
      <c r="D10491">
        <v>221.76</v>
      </c>
      <c r="E10491">
        <v>0</v>
      </c>
      <c r="F10491" t="s">
        <v>7</v>
      </c>
      <c r="G10491" t="s">
        <v>11</v>
      </c>
      <c r="H10491" s="5">
        <f>MONTH(Tabela1[[#This Row],[data]])</f>
        <v>3</v>
      </c>
      <c r="I10491">
        <f>YEAR(Tabela1[[#This Row],[data]])</f>
        <v>2026</v>
      </c>
    </row>
    <row r="10492" spans="1:9" x14ac:dyDescent="0.25">
      <c r="A10492" t="s">
        <v>6</v>
      </c>
      <c r="B10492" s="1">
        <v>46095</v>
      </c>
      <c r="C10492">
        <v>3</v>
      </c>
      <c r="D10492">
        <v>217.14</v>
      </c>
      <c r="E10492">
        <v>0</v>
      </c>
      <c r="F10492" t="s">
        <v>7</v>
      </c>
      <c r="G10492" t="s">
        <v>11</v>
      </c>
      <c r="H10492" s="5">
        <f>MONTH(Tabela1[[#This Row],[data]])</f>
        <v>3</v>
      </c>
      <c r="I10492">
        <f>YEAR(Tabela1[[#This Row],[data]])</f>
        <v>2026</v>
      </c>
    </row>
    <row r="10493" spans="1:9" x14ac:dyDescent="0.25">
      <c r="A10493" t="s">
        <v>6</v>
      </c>
      <c r="B10493" s="1">
        <v>46095</v>
      </c>
      <c r="C10493">
        <v>4</v>
      </c>
      <c r="D10493">
        <v>215.88</v>
      </c>
      <c r="E10493">
        <v>0</v>
      </c>
      <c r="F10493" t="s">
        <v>7</v>
      </c>
      <c r="G10493" t="s">
        <v>11</v>
      </c>
      <c r="H10493" s="5">
        <f>MONTH(Tabela1[[#This Row],[data]])</f>
        <v>3</v>
      </c>
      <c r="I10493">
        <f>YEAR(Tabela1[[#This Row],[data]])</f>
        <v>2026</v>
      </c>
    </row>
    <row r="10494" spans="1:9" x14ac:dyDescent="0.25">
      <c r="A10494" t="s">
        <v>6</v>
      </c>
      <c r="B10494" s="1">
        <v>46095</v>
      </c>
      <c r="C10494">
        <v>5</v>
      </c>
      <c r="D10494">
        <v>219.24</v>
      </c>
      <c r="E10494">
        <v>0</v>
      </c>
      <c r="F10494" t="s">
        <v>7</v>
      </c>
      <c r="G10494" t="s">
        <v>11</v>
      </c>
      <c r="H10494" s="5">
        <f>MONTH(Tabela1[[#This Row],[data]])</f>
        <v>3</v>
      </c>
      <c r="I10494">
        <f>YEAR(Tabela1[[#This Row],[data]])</f>
        <v>2026</v>
      </c>
    </row>
    <row r="10495" spans="1:9" x14ac:dyDescent="0.25">
      <c r="A10495" t="s">
        <v>6</v>
      </c>
      <c r="B10495" s="1">
        <v>46095</v>
      </c>
      <c r="C10495">
        <v>6</v>
      </c>
      <c r="D10495">
        <v>216.72</v>
      </c>
      <c r="E10495">
        <v>0</v>
      </c>
      <c r="F10495" t="s">
        <v>7</v>
      </c>
      <c r="G10495" t="s">
        <v>11</v>
      </c>
      <c r="H10495" s="5">
        <f>MONTH(Tabela1[[#This Row],[data]])</f>
        <v>3</v>
      </c>
      <c r="I10495">
        <f>YEAR(Tabela1[[#This Row],[data]])</f>
        <v>2026</v>
      </c>
    </row>
    <row r="10496" spans="1:9" x14ac:dyDescent="0.25">
      <c r="A10496" t="s">
        <v>6</v>
      </c>
      <c r="B10496" s="1">
        <v>46095</v>
      </c>
      <c r="C10496">
        <v>7</v>
      </c>
      <c r="D10496">
        <v>205.38</v>
      </c>
      <c r="E10496">
        <v>0</v>
      </c>
      <c r="F10496" t="s">
        <v>7</v>
      </c>
      <c r="G10496" t="s">
        <v>11</v>
      </c>
      <c r="H10496" s="5">
        <f>MONTH(Tabela1[[#This Row],[data]])</f>
        <v>3</v>
      </c>
      <c r="I10496">
        <f>YEAR(Tabela1[[#This Row],[data]])</f>
        <v>2026</v>
      </c>
    </row>
    <row r="10497" spans="1:9" x14ac:dyDescent="0.25">
      <c r="A10497" t="s">
        <v>6</v>
      </c>
      <c r="B10497" s="1">
        <v>46095</v>
      </c>
      <c r="C10497">
        <v>8</v>
      </c>
      <c r="D10497">
        <v>223.44</v>
      </c>
      <c r="E10497">
        <v>0</v>
      </c>
      <c r="F10497" t="s">
        <v>7</v>
      </c>
      <c r="G10497" t="s">
        <v>11</v>
      </c>
      <c r="H10497" s="5">
        <f>MONTH(Tabela1[[#This Row],[data]])</f>
        <v>3</v>
      </c>
      <c r="I10497">
        <f>YEAR(Tabela1[[#This Row],[data]])</f>
        <v>2026</v>
      </c>
    </row>
    <row r="10498" spans="1:9" x14ac:dyDescent="0.25">
      <c r="A10498" t="s">
        <v>6</v>
      </c>
      <c r="B10498" s="1">
        <v>46095</v>
      </c>
      <c r="C10498">
        <v>9</v>
      </c>
      <c r="D10498">
        <v>324.24</v>
      </c>
      <c r="E10498">
        <v>0</v>
      </c>
      <c r="F10498" t="s">
        <v>7</v>
      </c>
      <c r="G10498" t="s">
        <v>11</v>
      </c>
      <c r="H10498" s="5">
        <f>MONTH(Tabela1[[#This Row],[data]])</f>
        <v>3</v>
      </c>
      <c r="I10498">
        <f>YEAR(Tabela1[[#This Row],[data]])</f>
        <v>2026</v>
      </c>
    </row>
    <row r="10499" spans="1:9" x14ac:dyDescent="0.25">
      <c r="A10499" t="s">
        <v>6</v>
      </c>
      <c r="B10499" s="1">
        <v>46095</v>
      </c>
      <c r="C10499">
        <v>10</v>
      </c>
      <c r="D10499">
        <v>477.96</v>
      </c>
      <c r="E10499">
        <v>49.56</v>
      </c>
      <c r="F10499" t="s">
        <v>7</v>
      </c>
      <c r="G10499" t="s">
        <v>11</v>
      </c>
      <c r="H10499" s="5">
        <f>MONTH(Tabela1[[#This Row],[data]])</f>
        <v>3</v>
      </c>
      <c r="I10499">
        <f>YEAR(Tabela1[[#This Row],[data]])</f>
        <v>2026</v>
      </c>
    </row>
    <row r="10500" spans="1:9" x14ac:dyDescent="0.25">
      <c r="A10500" t="s">
        <v>6</v>
      </c>
      <c r="B10500" s="1">
        <v>46095</v>
      </c>
      <c r="C10500">
        <v>11</v>
      </c>
      <c r="D10500">
        <v>832.86</v>
      </c>
      <c r="E10500">
        <v>175.56</v>
      </c>
      <c r="F10500" t="s">
        <v>7</v>
      </c>
      <c r="G10500" t="s">
        <v>11</v>
      </c>
      <c r="H10500" s="5">
        <f>MONTH(Tabela1[[#This Row],[data]])</f>
        <v>3</v>
      </c>
      <c r="I10500">
        <f>YEAR(Tabela1[[#This Row],[data]])</f>
        <v>2026</v>
      </c>
    </row>
    <row r="10501" spans="1:9" x14ac:dyDescent="0.25">
      <c r="A10501" t="s">
        <v>6</v>
      </c>
      <c r="B10501" s="1">
        <v>46095</v>
      </c>
      <c r="C10501">
        <v>12</v>
      </c>
      <c r="D10501">
        <v>872.76</v>
      </c>
      <c r="E10501">
        <v>202.44</v>
      </c>
      <c r="F10501" t="s">
        <v>7</v>
      </c>
      <c r="G10501" t="s">
        <v>11</v>
      </c>
      <c r="H10501" s="5">
        <f>MONTH(Tabela1[[#This Row],[data]])</f>
        <v>3</v>
      </c>
      <c r="I10501">
        <f>YEAR(Tabela1[[#This Row],[data]])</f>
        <v>2026</v>
      </c>
    </row>
    <row r="10502" spans="1:9" x14ac:dyDescent="0.25">
      <c r="A10502" t="s">
        <v>6</v>
      </c>
      <c r="B10502" s="1">
        <v>46095</v>
      </c>
      <c r="C10502">
        <v>13</v>
      </c>
      <c r="D10502">
        <v>878.22</v>
      </c>
      <c r="E10502">
        <v>221.76</v>
      </c>
      <c r="F10502" t="s">
        <v>7</v>
      </c>
      <c r="G10502" t="s">
        <v>11</v>
      </c>
      <c r="H10502" s="5">
        <f>MONTH(Tabela1[[#This Row],[data]])</f>
        <v>3</v>
      </c>
      <c r="I10502">
        <f>YEAR(Tabela1[[#This Row],[data]])</f>
        <v>2026</v>
      </c>
    </row>
    <row r="10503" spans="1:9" x14ac:dyDescent="0.25">
      <c r="A10503" t="s">
        <v>6</v>
      </c>
      <c r="B10503" s="1">
        <v>46095</v>
      </c>
      <c r="C10503">
        <v>14</v>
      </c>
      <c r="D10503">
        <v>872.34</v>
      </c>
      <c r="E10503">
        <v>212.52</v>
      </c>
      <c r="F10503" t="s">
        <v>7</v>
      </c>
      <c r="G10503" t="s">
        <v>11</v>
      </c>
      <c r="H10503" s="5">
        <f>MONTH(Tabela1[[#This Row],[data]])</f>
        <v>3</v>
      </c>
      <c r="I10503">
        <f>YEAR(Tabela1[[#This Row],[data]])</f>
        <v>2026</v>
      </c>
    </row>
    <row r="10504" spans="1:9" x14ac:dyDescent="0.25">
      <c r="A10504" t="s">
        <v>6</v>
      </c>
      <c r="B10504" s="1">
        <v>46095</v>
      </c>
      <c r="C10504">
        <v>15</v>
      </c>
      <c r="D10504">
        <v>892.92</v>
      </c>
      <c r="E10504">
        <v>209.58</v>
      </c>
      <c r="F10504" t="s">
        <v>7</v>
      </c>
      <c r="G10504" t="s">
        <v>11</v>
      </c>
      <c r="H10504" s="5">
        <f>MONTH(Tabela1[[#This Row],[data]])</f>
        <v>3</v>
      </c>
      <c r="I10504">
        <f>YEAR(Tabela1[[#This Row],[data]])</f>
        <v>2026</v>
      </c>
    </row>
    <row r="10505" spans="1:9" x14ac:dyDescent="0.25">
      <c r="A10505" t="s">
        <v>6</v>
      </c>
      <c r="B10505" s="1">
        <v>46095</v>
      </c>
      <c r="C10505">
        <v>16</v>
      </c>
      <c r="D10505">
        <v>891.24</v>
      </c>
      <c r="E10505">
        <v>216.3</v>
      </c>
      <c r="F10505" t="s">
        <v>7</v>
      </c>
      <c r="G10505" t="s">
        <v>11</v>
      </c>
      <c r="H10505" s="5">
        <f>MONTH(Tabela1[[#This Row],[data]])</f>
        <v>3</v>
      </c>
      <c r="I10505">
        <f>YEAR(Tabela1[[#This Row],[data]])</f>
        <v>2026</v>
      </c>
    </row>
    <row r="10506" spans="1:9" x14ac:dyDescent="0.25">
      <c r="A10506" t="s">
        <v>6</v>
      </c>
      <c r="B10506" s="1">
        <v>46095</v>
      </c>
      <c r="C10506">
        <v>17</v>
      </c>
      <c r="D10506">
        <v>882.42</v>
      </c>
      <c r="E10506">
        <v>230.16</v>
      </c>
      <c r="F10506" t="s">
        <v>7</v>
      </c>
      <c r="G10506" t="s">
        <v>11</v>
      </c>
      <c r="H10506" s="5">
        <f>MONTH(Tabela1[[#This Row],[data]])</f>
        <v>3</v>
      </c>
      <c r="I10506">
        <f>YEAR(Tabela1[[#This Row],[data]])</f>
        <v>2026</v>
      </c>
    </row>
    <row r="10507" spans="1:9" x14ac:dyDescent="0.25">
      <c r="A10507" t="s">
        <v>6</v>
      </c>
      <c r="B10507" s="1">
        <v>46095</v>
      </c>
      <c r="C10507">
        <v>18</v>
      </c>
      <c r="D10507">
        <v>876.54</v>
      </c>
      <c r="E10507">
        <v>233.1</v>
      </c>
      <c r="F10507" t="s">
        <v>7</v>
      </c>
      <c r="G10507" t="s">
        <v>11</v>
      </c>
      <c r="H10507" s="5">
        <f>MONTH(Tabela1[[#This Row],[data]])</f>
        <v>3</v>
      </c>
      <c r="I10507">
        <f>YEAR(Tabela1[[#This Row],[data]])</f>
        <v>2026</v>
      </c>
    </row>
    <row r="10508" spans="1:9" x14ac:dyDescent="0.25">
      <c r="A10508" t="s">
        <v>6</v>
      </c>
      <c r="B10508" s="1">
        <v>46095</v>
      </c>
      <c r="C10508">
        <v>19</v>
      </c>
      <c r="D10508">
        <v>880.74</v>
      </c>
      <c r="E10508">
        <v>206.22</v>
      </c>
      <c r="F10508" t="s">
        <v>7</v>
      </c>
      <c r="G10508" t="s">
        <v>11</v>
      </c>
      <c r="H10508" s="5">
        <f>MONTH(Tabela1[[#This Row],[data]])</f>
        <v>3</v>
      </c>
      <c r="I10508">
        <f>YEAR(Tabela1[[#This Row],[data]])</f>
        <v>2026</v>
      </c>
    </row>
    <row r="10509" spans="1:9" x14ac:dyDescent="0.25">
      <c r="A10509" t="s">
        <v>6</v>
      </c>
      <c r="B10509" s="1">
        <v>46095</v>
      </c>
      <c r="C10509">
        <v>20</v>
      </c>
      <c r="D10509">
        <v>830.34</v>
      </c>
      <c r="E10509">
        <v>178.08</v>
      </c>
      <c r="F10509" t="s">
        <v>7</v>
      </c>
      <c r="G10509" t="s">
        <v>11</v>
      </c>
      <c r="H10509" s="5">
        <f>MONTH(Tabela1[[#This Row],[data]])</f>
        <v>3</v>
      </c>
      <c r="I10509">
        <f>YEAR(Tabela1[[#This Row],[data]])</f>
        <v>2026</v>
      </c>
    </row>
    <row r="10510" spans="1:9" x14ac:dyDescent="0.25">
      <c r="A10510" t="s">
        <v>6</v>
      </c>
      <c r="B10510" s="1">
        <v>46095</v>
      </c>
      <c r="C10510">
        <v>21</v>
      </c>
      <c r="D10510">
        <v>661.5</v>
      </c>
      <c r="E10510">
        <v>100.8</v>
      </c>
      <c r="F10510" t="s">
        <v>7</v>
      </c>
      <c r="G10510" t="s">
        <v>11</v>
      </c>
      <c r="H10510" s="5">
        <f>MONTH(Tabela1[[#This Row],[data]])</f>
        <v>3</v>
      </c>
      <c r="I10510">
        <f>YEAR(Tabela1[[#This Row],[data]])</f>
        <v>2026</v>
      </c>
    </row>
    <row r="10511" spans="1:9" x14ac:dyDescent="0.25">
      <c r="A10511" t="s">
        <v>6</v>
      </c>
      <c r="B10511" s="1">
        <v>46095</v>
      </c>
      <c r="C10511">
        <v>22</v>
      </c>
      <c r="D10511">
        <v>661.5</v>
      </c>
      <c r="E10511">
        <v>84</v>
      </c>
      <c r="F10511" t="s">
        <v>7</v>
      </c>
      <c r="G10511" t="s">
        <v>11</v>
      </c>
      <c r="H10511" s="5">
        <f>MONTH(Tabela1[[#This Row],[data]])</f>
        <v>3</v>
      </c>
      <c r="I10511">
        <f>YEAR(Tabela1[[#This Row],[data]])</f>
        <v>2026</v>
      </c>
    </row>
    <row r="10512" spans="1:9" x14ac:dyDescent="0.25">
      <c r="A10512" t="s">
        <v>6</v>
      </c>
      <c r="B10512" s="1">
        <v>46095</v>
      </c>
      <c r="C10512">
        <v>23</v>
      </c>
      <c r="D10512">
        <v>445.62</v>
      </c>
      <c r="E10512">
        <v>8.4</v>
      </c>
      <c r="F10512" t="s">
        <v>7</v>
      </c>
      <c r="G10512" t="s">
        <v>11</v>
      </c>
      <c r="H10512" s="5">
        <f>MONTH(Tabela1[[#This Row],[data]])</f>
        <v>3</v>
      </c>
      <c r="I10512">
        <f>YEAR(Tabela1[[#This Row],[data]])</f>
        <v>2026</v>
      </c>
    </row>
    <row r="10513" spans="1:9" x14ac:dyDescent="0.25">
      <c r="A10513" t="s">
        <v>6</v>
      </c>
      <c r="B10513" s="1">
        <v>46095</v>
      </c>
      <c r="C10513">
        <v>24</v>
      </c>
      <c r="D10513">
        <v>288.12</v>
      </c>
      <c r="E10513">
        <v>0</v>
      </c>
      <c r="F10513" t="s">
        <v>7</v>
      </c>
      <c r="G10513" t="s">
        <v>11</v>
      </c>
      <c r="H10513" s="5">
        <f>MONTH(Tabela1[[#This Row],[data]])</f>
        <v>3</v>
      </c>
      <c r="I10513">
        <f>YEAR(Tabela1[[#This Row],[data]])</f>
        <v>2026</v>
      </c>
    </row>
    <row r="10514" spans="1:9" x14ac:dyDescent="0.25">
      <c r="A10514" t="s">
        <v>6</v>
      </c>
      <c r="B10514" s="1">
        <v>46096</v>
      </c>
      <c r="C10514">
        <v>1</v>
      </c>
      <c r="D10514">
        <v>259.98</v>
      </c>
      <c r="E10514">
        <v>0</v>
      </c>
      <c r="F10514" t="s">
        <v>7</v>
      </c>
      <c r="G10514" t="s">
        <v>11</v>
      </c>
      <c r="H10514" s="5">
        <f>MONTH(Tabela1[[#This Row],[data]])</f>
        <v>3</v>
      </c>
      <c r="I10514">
        <f>YEAR(Tabela1[[#This Row],[data]])</f>
        <v>2026</v>
      </c>
    </row>
    <row r="10515" spans="1:9" x14ac:dyDescent="0.25">
      <c r="A10515" t="s">
        <v>6</v>
      </c>
      <c r="B10515" s="1">
        <v>46096</v>
      </c>
      <c r="C10515">
        <v>2</v>
      </c>
      <c r="D10515">
        <v>236.88</v>
      </c>
      <c r="E10515">
        <v>0</v>
      </c>
      <c r="F10515" t="s">
        <v>7</v>
      </c>
      <c r="G10515" t="s">
        <v>11</v>
      </c>
      <c r="H10515" s="5">
        <f>MONTH(Tabela1[[#This Row],[data]])</f>
        <v>3</v>
      </c>
      <c r="I10515">
        <f>YEAR(Tabela1[[#This Row],[data]])</f>
        <v>2026</v>
      </c>
    </row>
    <row r="10516" spans="1:9" x14ac:dyDescent="0.25">
      <c r="A10516" t="s">
        <v>6</v>
      </c>
      <c r="B10516" s="1">
        <v>46096</v>
      </c>
      <c r="C10516">
        <v>3</v>
      </c>
      <c r="D10516">
        <v>228.9</v>
      </c>
      <c r="E10516">
        <v>0</v>
      </c>
      <c r="F10516" t="s">
        <v>7</v>
      </c>
      <c r="G10516" t="s">
        <v>11</v>
      </c>
      <c r="H10516" s="5">
        <f>MONTH(Tabela1[[#This Row],[data]])</f>
        <v>3</v>
      </c>
      <c r="I10516">
        <f>YEAR(Tabela1[[#This Row],[data]])</f>
        <v>2026</v>
      </c>
    </row>
    <row r="10517" spans="1:9" x14ac:dyDescent="0.25">
      <c r="A10517" t="s">
        <v>6</v>
      </c>
      <c r="B10517" s="1">
        <v>46096</v>
      </c>
      <c r="C10517">
        <v>4</v>
      </c>
      <c r="D10517">
        <v>228.06</v>
      </c>
      <c r="E10517">
        <v>0</v>
      </c>
      <c r="F10517" t="s">
        <v>7</v>
      </c>
      <c r="G10517" t="s">
        <v>11</v>
      </c>
      <c r="H10517" s="5">
        <f>MONTH(Tabela1[[#This Row],[data]])</f>
        <v>3</v>
      </c>
      <c r="I10517">
        <f>YEAR(Tabela1[[#This Row],[data]])</f>
        <v>2026</v>
      </c>
    </row>
    <row r="10518" spans="1:9" x14ac:dyDescent="0.25">
      <c r="A10518" t="s">
        <v>6</v>
      </c>
      <c r="B10518" s="1">
        <v>46096</v>
      </c>
      <c r="C10518">
        <v>5</v>
      </c>
      <c r="D10518">
        <v>236.46</v>
      </c>
      <c r="E10518">
        <v>0</v>
      </c>
      <c r="F10518" t="s">
        <v>7</v>
      </c>
      <c r="G10518" t="s">
        <v>11</v>
      </c>
      <c r="H10518" s="5">
        <f>MONTH(Tabela1[[#This Row],[data]])</f>
        <v>3</v>
      </c>
      <c r="I10518">
        <f>YEAR(Tabela1[[#This Row],[data]])</f>
        <v>2026</v>
      </c>
    </row>
    <row r="10519" spans="1:9" x14ac:dyDescent="0.25">
      <c r="A10519" t="s">
        <v>6</v>
      </c>
      <c r="B10519" s="1">
        <v>46096</v>
      </c>
      <c r="C10519">
        <v>6</v>
      </c>
      <c r="D10519">
        <v>221.34</v>
      </c>
      <c r="E10519">
        <v>0</v>
      </c>
      <c r="F10519" t="s">
        <v>7</v>
      </c>
      <c r="G10519" t="s">
        <v>11</v>
      </c>
      <c r="H10519" s="5">
        <f>MONTH(Tabela1[[#This Row],[data]])</f>
        <v>3</v>
      </c>
      <c r="I10519">
        <f>YEAR(Tabela1[[#This Row],[data]])</f>
        <v>2026</v>
      </c>
    </row>
    <row r="10520" spans="1:9" x14ac:dyDescent="0.25">
      <c r="A10520" t="s">
        <v>6</v>
      </c>
      <c r="B10520" s="1">
        <v>46096</v>
      </c>
      <c r="C10520">
        <v>7</v>
      </c>
      <c r="D10520">
        <v>207.48</v>
      </c>
      <c r="E10520">
        <v>0</v>
      </c>
      <c r="F10520" t="s">
        <v>7</v>
      </c>
      <c r="G10520" t="s">
        <v>11</v>
      </c>
      <c r="H10520" s="5">
        <f>MONTH(Tabela1[[#This Row],[data]])</f>
        <v>3</v>
      </c>
      <c r="I10520">
        <f>YEAR(Tabela1[[#This Row],[data]])</f>
        <v>2026</v>
      </c>
    </row>
    <row r="10521" spans="1:9" x14ac:dyDescent="0.25">
      <c r="A10521" t="s">
        <v>6</v>
      </c>
      <c r="B10521" s="1">
        <v>46096</v>
      </c>
      <c r="C10521">
        <v>8</v>
      </c>
      <c r="D10521">
        <v>198.66</v>
      </c>
      <c r="E10521">
        <v>0</v>
      </c>
      <c r="F10521" t="s">
        <v>7</v>
      </c>
      <c r="G10521" t="s">
        <v>11</v>
      </c>
      <c r="H10521" s="5">
        <f>MONTH(Tabela1[[#This Row],[data]])</f>
        <v>3</v>
      </c>
      <c r="I10521">
        <f>YEAR(Tabela1[[#This Row],[data]])</f>
        <v>2026</v>
      </c>
    </row>
    <row r="10522" spans="1:9" x14ac:dyDescent="0.25">
      <c r="A10522" t="s">
        <v>6</v>
      </c>
      <c r="B10522" s="1">
        <v>46096</v>
      </c>
      <c r="C10522">
        <v>9</v>
      </c>
      <c r="D10522">
        <v>262.5</v>
      </c>
      <c r="E10522">
        <v>0</v>
      </c>
      <c r="F10522" t="s">
        <v>7</v>
      </c>
      <c r="G10522" t="s">
        <v>11</v>
      </c>
      <c r="H10522" s="5">
        <f>MONTH(Tabela1[[#This Row],[data]])</f>
        <v>3</v>
      </c>
      <c r="I10522">
        <f>YEAR(Tabela1[[#This Row],[data]])</f>
        <v>2026</v>
      </c>
    </row>
    <row r="10523" spans="1:9" x14ac:dyDescent="0.25">
      <c r="A10523" t="s">
        <v>6</v>
      </c>
      <c r="B10523" s="1">
        <v>46096</v>
      </c>
      <c r="C10523">
        <v>10</v>
      </c>
      <c r="D10523">
        <v>310.8</v>
      </c>
      <c r="E10523">
        <v>0.84</v>
      </c>
      <c r="F10523" t="s">
        <v>7</v>
      </c>
      <c r="G10523" t="s">
        <v>11</v>
      </c>
      <c r="H10523" s="5">
        <f>MONTH(Tabela1[[#This Row],[data]])</f>
        <v>3</v>
      </c>
      <c r="I10523">
        <f>YEAR(Tabela1[[#This Row],[data]])</f>
        <v>2026</v>
      </c>
    </row>
    <row r="10524" spans="1:9" x14ac:dyDescent="0.25">
      <c r="A10524" t="s">
        <v>6</v>
      </c>
      <c r="B10524" s="1">
        <v>46096</v>
      </c>
      <c r="C10524">
        <v>11</v>
      </c>
      <c r="D10524">
        <v>629.58000000000004</v>
      </c>
      <c r="E10524">
        <v>123.06</v>
      </c>
      <c r="F10524" t="s">
        <v>7</v>
      </c>
      <c r="G10524" t="s">
        <v>11</v>
      </c>
      <c r="H10524" s="5">
        <f>MONTH(Tabela1[[#This Row],[data]])</f>
        <v>3</v>
      </c>
      <c r="I10524">
        <f>YEAR(Tabela1[[#This Row],[data]])</f>
        <v>2026</v>
      </c>
    </row>
    <row r="10525" spans="1:9" x14ac:dyDescent="0.25">
      <c r="A10525" t="s">
        <v>6</v>
      </c>
      <c r="B10525" s="1">
        <v>46096</v>
      </c>
      <c r="C10525">
        <v>12</v>
      </c>
      <c r="D10525">
        <v>774.06</v>
      </c>
      <c r="E10525">
        <v>176.82</v>
      </c>
      <c r="F10525" t="s">
        <v>7</v>
      </c>
      <c r="G10525" t="s">
        <v>11</v>
      </c>
      <c r="H10525" s="5">
        <f>MONTH(Tabela1[[#This Row],[data]])</f>
        <v>3</v>
      </c>
      <c r="I10525">
        <f>YEAR(Tabela1[[#This Row],[data]])</f>
        <v>2026</v>
      </c>
    </row>
    <row r="10526" spans="1:9" x14ac:dyDescent="0.25">
      <c r="A10526" t="s">
        <v>6</v>
      </c>
      <c r="B10526" s="1">
        <v>46096</v>
      </c>
      <c r="C10526">
        <v>13</v>
      </c>
      <c r="D10526">
        <v>846.3</v>
      </c>
      <c r="E10526">
        <v>188.16</v>
      </c>
      <c r="F10526" t="s">
        <v>7</v>
      </c>
      <c r="G10526" t="s">
        <v>11</v>
      </c>
      <c r="H10526" s="5">
        <f>MONTH(Tabela1[[#This Row],[data]])</f>
        <v>3</v>
      </c>
      <c r="I10526">
        <f>YEAR(Tabela1[[#This Row],[data]])</f>
        <v>2026</v>
      </c>
    </row>
    <row r="10527" spans="1:9" x14ac:dyDescent="0.25">
      <c r="A10527" t="s">
        <v>6</v>
      </c>
      <c r="B10527" s="1">
        <v>46096</v>
      </c>
      <c r="C10527">
        <v>14</v>
      </c>
      <c r="D10527">
        <v>905.1</v>
      </c>
      <c r="E10527">
        <v>211.26</v>
      </c>
      <c r="F10527" t="s">
        <v>7</v>
      </c>
      <c r="G10527" t="s">
        <v>11</v>
      </c>
      <c r="H10527" s="5">
        <f>MONTH(Tabela1[[#This Row],[data]])</f>
        <v>3</v>
      </c>
      <c r="I10527">
        <f>YEAR(Tabela1[[#This Row],[data]])</f>
        <v>2026</v>
      </c>
    </row>
    <row r="10528" spans="1:9" x14ac:dyDescent="0.25">
      <c r="A10528" t="s">
        <v>6</v>
      </c>
      <c r="B10528" s="1">
        <v>46096</v>
      </c>
      <c r="C10528">
        <v>15</v>
      </c>
      <c r="D10528">
        <v>925.26</v>
      </c>
      <c r="E10528">
        <v>213.36</v>
      </c>
      <c r="F10528" t="s">
        <v>7</v>
      </c>
      <c r="G10528" t="s">
        <v>11</v>
      </c>
      <c r="H10528" s="5">
        <f>MONTH(Tabela1[[#This Row],[data]])</f>
        <v>3</v>
      </c>
      <c r="I10528">
        <f>YEAR(Tabela1[[#This Row],[data]])</f>
        <v>2026</v>
      </c>
    </row>
    <row r="10529" spans="1:9" x14ac:dyDescent="0.25">
      <c r="A10529" t="s">
        <v>6</v>
      </c>
      <c r="B10529" s="1">
        <v>46096</v>
      </c>
      <c r="C10529">
        <v>16</v>
      </c>
      <c r="D10529">
        <v>911.4</v>
      </c>
      <c r="E10529">
        <v>213.36</v>
      </c>
      <c r="F10529" t="s">
        <v>7</v>
      </c>
      <c r="G10529" t="s">
        <v>11</v>
      </c>
      <c r="H10529" s="5">
        <f>MONTH(Tabela1[[#This Row],[data]])</f>
        <v>3</v>
      </c>
      <c r="I10529">
        <f>YEAR(Tabela1[[#This Row],[data]])</f>
        <v>2026</v>
      </c>
    </row>
    <row r="10530" spans="1:9" x14ac:dyDescent="0.25">
      <c r="A10530" t="s">
        <v>6</v>
      </c>
      <c r="B10530" s="1">
        <v>46096</v>
      </c>
      <c r="C10530">
        <v>17</v>
      </c>
      <c r="D10530">
        <v>871.92</v>
      </c>
      <c r="E10530">
        <v>210.84</v>
      </c>
      <c r="F10530" t="s">
        <v>7</v>
      </c>
      <c r="G10530" t="s">
        <v>11</v>
      </c>
      <c r="H10530" s="5">
        <f>MONTH(Tabela1[[#This Row],[data]])</f>
        <v>3</v>
      </c>
      <c r="I10530">
        <f>YEAR(Tabela1[[#This Row],[data]])</f>
        <v>2026</v>
      </c>
    </row>
    <row r="10531" spans="1:9" x14ac:dyDescent="0.25">
      <c r="A10531" t="s">
        <v>6</v>
      </c>
      <c r="B10531" s="1">
        <v>46096</v>
      </c>
      <c r="C10531">
        <v>18</v>
      </c>
      <c r="D10531">
        <v>872.34</v>
      </c>
      <c r="E10531">
        <v>190.26</v>
      </c>
      <c r="F10531" t="s">
        <v>7</v>
      </c>
      <c r="G10531" t="s">
        <v>11</v>
      </c>
      <c r="H10531" s="5">
        <f>MONTH(Tabela1[[#This Row],[data]])</f>
        <v>3</v>
      </c>
      <c r="I10531">
        <f>YEAR(Tabela1[[#This Row],[data]])</f>
        <v>2026</v>
      </c>
    </row>
    <row r="10532" spans="1:9" x14ac:dyDescent="0.25">
      <c r="A10532" t="s">
        <v>6</v>
      </c>
      <c r="B10532" s="1">
        <v>46096</v>
      </c>
      <c r="C10532">
        <v>19</v>
      </c>
      <c r="D10532">
        <v>864.36</v>
      </c>
      <c r="E10532">
        <v>182.28</v>
      </c>
      <c r="F10532" t="s">
        <v>7</v>
      </c>
      <c r="G10532" t="s">
        <v>11</v>
      </c>
      <c r="H10532" s="5">
        <f>MONTH(Tabela1[[#This Row],[data]])</f>
        <v>3</v>
      </c>
      <c r="I10532">
        <f>YEAR(Tabela1[[#This Row],[data]])</f>
        <v>2026</v>
      </c>
    </row>
    <row r="10533" spans="1:9" x14ac:dyDescent="0.25">
      <c r="A10533" t="s">
        <v>6</v>
      </c>
      <c r="B10533" s="1">
        <v>46096</v>
      </c>
      <c r="C10533">
        <v>20</v>
      </c>
      <c r="D10533">
        <v>857.64</v>
      </c>
      <c r="E10533">
        <v>176.4</v>
      </c>
      <c r="F10533" t="s">
        <v>7</v>
      </c>
      <c r="G10533" t="s">
        <v>11</v>
      </c>
      <c r="H10533" s="5">
        <f>MONTH(Tabela1[[#This Row],[data]])</f>
        <v>3</v>
      </c>
      <c r="I10533">
        <f>YEAR(Tabela1[[#This Row],[data]])</f>
        <v>2026</v>
      </c>
    </row>
    <row r="10534" spans="1:9" x14ac:dyDescent="0.25">
      <c r="A10534" t="s">
        <v>6</v>
      </c>
      <c r="B10534" s="1">
        <v>46096</v>
      </c>
      <c r="C10534">
        <v>21</v>
      </c>
      <c r="D10534">
        <v>797.16</v>
      </c>
      <c r="E10534">
        <v>170.94</v>
      </c>
      <c r="F10534" t="s">
        <v>7</v>
      </c>
      <c r="G10534" t="s">
        <v>11</v>
      </c>
      <c r="H10534" s="5">
        <f>MONTH(Tabela1[[#This Row],[data]])</f>
        <v>3</v>
      </c>
      <c r="I10534">
        <f>YEAR(Tabela1[[#This Row],[data]])</f>
        <v>2026</v>
      </c>
    </row>
    <row r="10535" spans="1:9" x14ac:dyDescent="0.25">
      <c r="A10535" t="s">
        <v>6</v>
      </c>
      <c r="B10535" s="1">
        <v>46096</v>
      </c>
      <c r="C10535">
        <v>22</v>
      </c>
      <c r="D10535">
        <v>642.17999999999995</v>
      </c>
      <c r="E10535">
        <v>129.78</v>
      </c>
      <c r="F10535" t="s">
        <v>7</v>
      </c>
      <c r="G10535" t="s">
        <v>11</v>
      </c>
      <c r="H10535" s="5">
        <f>MONTH(Tabela1[[#This Row],[data]])</f>
        <v>3</v>
      </c>
      <c r="I10535">
        <f>YEAR(Tabela1[[#This Row],[data]])</f>
        <v>2026</v>
      </c>
    </row>
    <row r="10536" spans="1:9" x14ac:dyDescent="0.25">
      <c r="A10536" t="s">
        <v>6</v>
      </c>
      <c r="B10536" s="1">
        <v>46096</v>
      </c>
      <c r="C10536">
        <v>23</v>
      </c>
      <c r="D10536">
        <v>314.58</v>
      </c>
      <c r="E10536">
        <v>0</v>
      </c>
      <c r="F10536" t="s">
        <v>7</v>
      </c>
      <c r="G10536" t="s">
        <v>11</v>
      </c>
      <c r="H10536" s="5">
        <f>MONTH(Tabela1[[#This Row],[data]])</f>
        <v>3</v>
      </c>
      <c r="I10536">
        <f>YEAR(Tabela1[[#This Row],[data]])</f>
        <v>2026</v>
      </c>
    </row>
    <row r="10537" spans="1:9" x14ac:dyDescent="0.25">
      <c r="A10537" t="s">
        <v>6</v>
      </c>
      <c r="B10537" s="1">
        <v>46096</v>
      </c>
      <c r="C10537">
        <v>24</v>
      </c>
      <c r="D10537">
        <v>262.92</v>
      </c>
      <c r="E10537">
        <v>0</v>
      </c>
      <c r="F10537" t="s">
        <v>7</v>
      </c>
      <c r="G10537" t="s">
        <v>11</v>
      </c>
      <c r="H10537" s="5">
        <f>MONTH(Tabela1[[#This Row],[data]])</f>
        <v>3</v>
      </c>
      <c r="I10537">
        <f>YEAR(Tabela1[[#This Row],[data]])</f>
        <v>2026</v>
      </c>
    </row>
    <row r="10538" spans="1:9" x14ac:dyDescent="0.25">
      <c r="A10538" t="s">
        <v>6</v>
      </c>
      <c r="B10538" s="1">
        <v>46097</v>
      </c>
      <c r="C10538">
        <v>1</v>
      </c>
      <c r="D10538">
        <v>246.54</v>
      </c>
      <c r="E10538">
        <v>0</v>
      </c>
      <c r="F10538" t="s">
        <v>7</v>
      </c>
      <c r="G10538" t="s">
        <v>12</v>
      </c>
      <c r="H10538" s="5">
        <f>MONTH(Tabela1[[#This Row],[data]])</f>
        <v>3</v>
      </c>
      <c r="I10538">
        <f>YEAR(Tabela1[[#This Row],[data]])</f>
        <v>2026</v>
      </c>
    </row>
    <row r="10539" spans="1:9" x14ac:dyDescent="0.25">
      <c r="A10539" t="s">
        <v>6</v>
      </c>
      <c r="B10539" s="1">
        <v>46097</v>
      </c>
      <c r="C10539">
        <v>2</v>
      </c>
      <c r="D10539">
        <v>223.86</v>
      </c>
      <c r="E10539">
        <v>0</v>
      </c>
      <c r="F10539" t="s">
        <v>7</v>
      </c>
      <c r="G10539" t="s">
        <v>12</v>
      </c>
      <c r="H10539" s="5">
        <f>MONTH(Tabela1[[#This Row],[data]])</f>
        <v>3</v>
      </c>
      <c r="I10539">
        <f>YEAR(Tabela1[[#This Row],[data]])</f>
        <v>2026</v>
      </c>
    </row>
    <row r="10540" spans="1:9" x14ac:dyDescent="0.25">
      <c r="A10540" t="s">
        <v>6</v>
      </c>
      <c r="B10540" s="1">
        <v>46097</v>
      </c>
      <c r="C10540">
        <v>3</v>
      </c>
      <c r="D10540">
        <v>218.4</v>
      </c>
      <c r="E10540">
        <v>0</v>
      </c>
      <c r="F10540" t="s">
        <v>7</v>
      </c>
      <c r="G10540" t="s">
        <v>12</v>
      </c>
      <c r="H10540" s="5">
        <f>MONTH(Tabela1[[#This Row],[data]])</f>
        <v>3</v>
      </c>
      <c r="I10540">
        <f>YEAR(Tabela1[[#This Row],[data]])</f>
        <v>2026</v>
      </c>
    </row>
    <row r="10541" spans="1:9" x14ac:dyDescent="0.25">
      <c r="A10541" t="s">
        <v>6</v>
      </c>
      <c r="B10541" s="1">
        <v>46097</v>
      </c>
      <c r="C10541">
        <v>4</v>
      </c>
      <c r="D10541">
        <v>217.56</v>
      </c>
      <c r="E10541">
        <v>0</v>
      </c>
      <c r="F10541" t="s">
        <v>7</v>
      </c>
      <c r="G10541" t="s">
        <v>12</v>
      </c>
      <c r="H10541" s="5">
        <f>MONTH(Tabela1[[#This Row],[data]])</f>
        <v>3</v>
      </c>
      <c r="I10541">
        <f>YEAR(Tabela1[[#This Row],[data]])</f>
        <v>2026</v>
      </c>
    </row>
    <row r="10542" spans="1:9" x14ac:dyDescent="0.25">
      <c r="A10542" t="s">
        <v>6</v>
      </c>
      <c r="B10542" s="1">
        <v>46097</v>
      </c>
      <c r="C10542">
        <v>5</v>
      </c>
      <c r="D10542">
        <v>226.8</v>
      </c>
      <c r="E10542">
        <v>0</v>
      </c>
      <c r="F10542" t="s">
        <v>7</v>
      </c>
      <c r="G10542" t="s">
        <v>12</v>
      </c>
      <c r="H10542" s="5">
        <f>MONTH(Tabela1[[#This Row],[data]])</f>
        <v>3</v>
      </c>
      <c r="I10542">
        <f>YEAR(Tabela1[[#This Row],[data]])</f>
        <v>2026</v>
      </c>
    </row>
    <row r="10543" spans="1:9" x14ac:dyDescent="0.25">
      <c r="A10543" t="s">
        <v>6</v>
      </c>
      <c r="B10543" s="1">
        <v>46097</v>
      </c>
      <c r="C10543">
        <v>6</v>
      </c>
      <c r="D10543">
        <v>216.3</v>
      </c>
      <c r="E10543">
        <v>0</v>
      </c>
      <c r="F10543" t="s">
        <v>7</v>
      </c>
      <c r="G10543" t="s">
        <v>12</v>
      </c>
      <c r="H10543" s="5">
        <f>MONTH(Tabela1[[#This Row],[data]])</f>
        <v>3</v>
      </c>
      <c r="I10543">
        <f>YEAR(Tabela1[[#This Row],[data]])</f>
        <v>2026</v>
      </c>
    </row>
    <row r="10544" spans="1:9" x14ac:dyDescent="0.25">
      <c r="A10544" t="s">
        <v>6</v>
      </c>
      <c r="B10544" s="1">
        <v>46097</v>
      </c>
      <c r="C10544">
        <v>7</v>
      </c>
      <c r="D10544">
        <v>227.22</v>
      </c>
      <c r="E10544">
        <v>0</v>
      </c>
      <c r="F10544" t="s">
        <v>7</v>
      </c>
      <c r="G10544" t="s">
        <v>12</v>
      </c>
      <c r="H10544" s="5">
        <f>MONTH(Tabela1[[#This Row],[data]])</f>
        <v>3</v>
      </c>
      <c r="I10544">
        <f>YEAR(Tabela1[[#This Row],[data]])</f>
        <v>2026</v>
      </c>
    </row>
    <row r="10545" spans="1:9" x14ac:dyDescent="0.25">
      <c r="A10545" t="s">
        <v>6</v>
      </c>
      <c r="B10545" s="1">
        <v>46097</v>
      </c>
      <c r="C10545">
        <v>8</v>
      </c>
      <c r="D10545">
        <v>246.54</v>
      </c>
      <c r="E10545">
        <v>0</v>
      </c>
      <c r="F10545" t="s">
        <v>7</v>
      </c>
      <c r="G10545" t="s">
        <v>12</v>
      </c>
      <c r="H10545" s="5">
        <f>MONTH(Tabela1[[#This Row],[data]])</f>
        <v>3</v>
      </c>
      <c r="I10545">
        <f>YEAR(Tabela1[[#This Row],[data]])</f>
        <v>2026</v>
      </c>
    </row>
    <row r="10546" spans="1:9" x14ac:dyDescent="0.25">
      <c r="A10546" t="s">
        <v>6</v>
      </c>
      <c r="B10546" s="1">
        <v>46097</v>
      </c>
      <c r="C10546">
        <v>9</v>
      </c>
      <c r="D10546">
        <v>329.7</v>
      </c>
      <c r="E10546">
        <v>0</v>
      </c>
      <c r="F10546" t="s">
        <v>7</v>
      </c>
      <c r="G10546" t="s">
        <v>12</v>
      </c>
      <c r="H10546" s="5">
        <f>MONTH(Tabela1[[#This Row],[data]])</f>
        <v>3</v>
      </c>
      <c r="I10546">
        <f>YEAR(Tabela1[[#This Row],[data]])</f>
        <v>2026</v>
      </c>
    </row>
    <row r="10547" spans="1:9" x14ac:dyDescent="0.25">
      <c r="A10547" t="s">
        <v>6</v>
      </c>
      <c r="B10547" s="1">
        <v>46097</v>
      </c>
      <c r="C10547">
        <v>10</v>
      </c>
      <c r="D10547">
        <v>447.3</v>
      </c>
      <c r="E10547">
        <v>28.56</v>
      </c>
      <c r="F10547" t="s">
        <v>7</v>
      </c>
      <c r="G10547" t="s">
        <v>12</v>
      </c>
      <c r="H10547" s="5">
        <f>MONTH(Tabela1[[#This Row],[data]])</f>
        <v>3</v>
      </c>
      <c r="I10547">
        <f>YEAR(Tabela1[[#This Row],[data]])</f>
        <v>2026</v>
      </c>
    </row>
    <row r="10548" spans="1:9" x14ac:dyDescent="0.25">
      <c r="A10548" t="s">
        <v>6</v>
      </c>
      <c r="B10548" s="1">
        <v>46097</v>
      </c>
      <c r="C10548">
        <v>11</v>
      </c>
      <c r="D10548">
        <v>898.38</v>
      </c>
      <c r="E10548">
        <v>215.04</v>
      </c>
      <c r="F10548" t="s">
        <v>7</v>
      </c>
      <c r="G10548" t="s">
        <v>12</v>
      </c>
      <c r="H10548" s="5">
        <f>MONTH(Tabela1[[#This Row],[data]])</f>
        <v>3</v>
      </c>
      <c r="I10548">
        <f>YEAR(Tabela1[[#This Row],[data]])</f>
        <v>2026</v>
      </c>
    </row>
    <row r="10549" spans="1:9" x14ac:dyDescent="0.25">
      <c r="A10549" t="s">
        <v>6</v>
      </c>
      <c r="B10549" s="1">
        <v>46097</v>
      </c>
      <c r="C10549">
        <v>12</v>
      </c>
      <c r="D10549">
        <v>900.9</v>
      </c>
      <c r="E10549">
        <v>213.36</v>
      </c>
      <c r="F10549" t="s">
        <v>7</v>
      </c>
      <c r="G10549" t="s">
        <v>12</v>
      </c>
      <c r="H10549" s="5">
        <f>MONTH(Tabela1[[#This Row],[data]])</f>
        <v>3</v>
      </c>
      <c r="I10549">
        <f>YEAR(Tabela1[[#This Row],[data]])</f>
        <v>2026</v>
      </c>
    </row>
    <row r="10550" spans="1:9" x14ac:dyDescent="0.25">
      <c r="A10550" t="s">
        <v>6</v>
      </c>
      <c r="B10550" s="1">
        <v>46097</v>
      </c>
      <c r="C10550">
        <v>13</v>
      </c>
      <c r="D10550">
        <v>885.36</v>
      </c>
      <c r="E10550">
        <v>201.6</v>
      </c>
      <c r="F10550" t="s">
        <v>7</v>
      </c>
      <c r="G10550" t="s">
        <v>12</v>
      </c>
      <c r="H10550" s="5">
        <f>MONTH(Tabela1[[#This Row],[data]])</f>
        <v>3</v>
      </c>
      <c r="I10550">
        <f>YEAR(Tabela1[[#This Row],[data]])</f>
        <v>2026</v>
      </c>
    </row>
    <row r="10551" spans="1:9" x14ac:dyDescent="0.25">
      <c r="A10551" t="s">
        <v>6</v>
      </c>
      <c r="B10551" s="1">
        <v>46097</v>
      </c>
      <c r="C10551">
        <v>14</v>
      </c>
      <c r="D10551">
        <v>943.74</v>
      </c>
      <c r="E10551">
        <v>220.08</v>
      </c>
      <c r="F10551" t="s">
        <v>7</v>
      </c>
      <c r="G10551" t="s">
        <v>12</v>
      </c>
      <c r="H10551" s="5">
        <f>MONTH(Tabela1[[#This Row],[data]])</f>
        <v>3</v>
      </c>
      <c r="I10551">
        <f>YEAR(Tabela1[[#This Row],[data]])</f>
        <v>2026</v>
      </c>
    </row>
    <row r="10552" spans="1:9" x14ac:dyDescent="0.25">
      <c r="A10552" t="s">
        <v>6</v>
      </c>
      <c r="B10552" s="1">
        <v>46097</v>
      </c>
      <c r="C10552">
        <v>15</v>
      </c>
      <c r="D10552">
        <v>940.38</v>
      </c>
      <c r="E10552">
        <v>220.92</v>
      </c>
      <c r="F10552" t="s">
        <v>7</v>
      </c>
      <c r="G10552" t="s">
        <v>12</v>
      </c>
      <c r="H10552" s="5">
        <f>MONTH(Tabela1[[#This Row],[data]])</f>
        <v>3</v>
      </c>
      <c r="I10552">
        <f>YEAR(Tabela1[[#This Row],[data]])</f>
        <v>2026</v>
      </c>
    </row>
    <row r="10553" spans="1:9" x14ac:dyDescent="0.25">
      <c r="A10553" t="s">
        <v>6</v>
      </c>
      <c r="B10553" s="1">
        <v>46097</v>
      </c>
      <c r="C10553">
        <v>16</v>
      </c>
      <c r="D10553">
        <v>966</v>
      </c>
      <c r="E10553">
        <v>245.28</v>
      </c>
      <c r="F10553" t="s">
        <v>7</v>
      </c>
      <c r="G10553" t="s">
        <v>12</v>
      </c>
      <c r="H10553" s="5">
        <f>MONTH(Tabela1[[#This Row],[data]])</f>
        <v>3</v>
      </c>
      <c r="I10553">
        <f>YEAR(Tabela1[[#This Row],[data]])</f>
        <v>2026</v>
      </c>
    </row>
    <row r="10554" spans="1:9" x14ac:dyDescent="0.25">
      <c r="A10554" t="s">
        <v>6</v>
      </c>
      <c r="B10554" s="1">
        <v>46097</v>
      </c>
      <c r="C10554">
        <v>17</v>
      </c>
      <c r="D10554">
        <v>946.26</v>
      </c>
      <c r="E10554">
        <v>267.95999999999998</v>
      </c>
      <c r="F10554" t="s">
        <v>7</v>
      </c>
      <c r="G10554" t="s">
        <v>12</v>
      </c>
      <c r="H10554" s="5">
        <f>MONTH(Tabela1[[#This Row],[data]])</f>
        <v>3</v>
      </c>
      <c r="I10554">
        <f>YEAR(Tabela1[[#This Row],[data]])</f>
        <v>2026</v>
      </c>
    </row>
    <row r="10555" spans="1:9" x14ac:dyDescent="0.25">
      <c r="A10555" t="s">
        <v>6</v>
      </c>
      <c r="B10555" s="1">
        <v>46097</v>
      </c>
      <c r="C10555">
        <v>18</v>
      </c>
      <c r="D10555">
        <v>892.92</v>
      </c>
      <c r="E10555">
        <v>224.7</v>
      </c>
      <c r="F10555" t="s">
        <v>7</v>
      </c>
      <c r="G10555" t="s">
        <v>12</v>
      </c>
      <c r="H10555" s="5">
        <f>MONTH(Tabela1[[#This Row],[data]])</f>
        <v>3</v>
      </c>
      <c r="I10555">
        <f>YEAR(Tabela1[[#This Row],[data]])</f>
        <v>2026</v>
      </c>
    </row>
    <row r="10556" spans="1:9" x14ac:dyDescent="0.25">
      <c r="A10556" t="s">
        <v>6</v>
      </c>
      <c r="B10556" s="1">
        <v>46097</v>
      </c>
      <c r="C10556">
        <v>19</v>
      </c>
      <c r="D10556">
        <v>879.06</v>
      </c>
      <c r="E10556">
        <v>197.82</v>
      </c>
      <c r="F10556" t="s">
        <v>7</v>
      </c>
      <c r="G10556" t="s">
        <v>12</v>
      </c>
      <c r="H10556" s="5">
        <f>MONTH(Tabela1[[#This Row],[data]])</f>
        <v>3</v>
      </c>
      <c r="I10556">
        <f>YEAR(Tabela1[[#This Row],[data]])</f>
        <v>2026</v>
      </c>
    </row>
    <row r="10557" spans="1:9" x14ac:dyDescent="0.25">
      <c r="A10557" t="s">
        <v>6</v>
      </c>
      <c r="B10557" s="1">
        <v>46097</v>
      </c>
      <c r="C10557">
        <v>20</v>
      </c>
      <c r="D10557">
        <v>834.54</v>
      </c>
      <c r="E10557">
        <v>208.74</v>
      </c>
      <c r="F10557" t="s">
        <v>7</v>
      </c>
      <c r="G10557" t="s">
        <v>12</v>
      </c>
      <c r="H10557" s="5">
        <f>MONTH(Tabela1[[#This Row],[data]])</f>
        <v>3</v>
      </c>
      <c r="I10557">
        <f>YEAR(Tabela1[[#This Row],[data]])</f>
        <v>2026</v>
      </c>
    </row>
    <row r="10558" spans="1:9" x14ac:dyDescent="0.25">
      <c r="A10558" t="s">
        <v>6</v>
      </c>
      <c r="B10558" s="1">
        <v>46097</v>
      </c>
      <c r="C10558">
        <v>21</v>
      </c>
      <c r="D10558">
        <v>766.92</v>
      </c>
      <c r="E10558">
        <v>178.5</v>
      </c>
      <c r="F10558" t="s">
        <v>7</v>
      </c>
      <c r="G10558" t="s">
        <v>12</v>
      </c>
      <c r="H10558" s="5">
        <f>MONTH(Tabela1[[#This Row],[data]])</f>
        <v>3</v>
      </c>
      <c r="I10558">
        <f>YEAR(Tabela1[[#This Row],[data]])</f>
        <v>2026</v>
      </c>
    </row>
    <row r="10559" spans="1:9" x14ac:dyDescent="0.25">
      <c r="A10559" t="s">
        <v>6</v>
      </c>
      <c r="B10559" s="1">
        <v>46097</v>
      </c>
      <c r="C10559">
        <v>22</v>
      </c>
      <c r="D10559">
        <v>572.88</v>
      </c>
      <c r="E10559">
        <v>57.96</v>
      </c>
      <c r="F10559" t="s">
        <v>7</v>
      </c>
      <c r="G10559" t="s">
        <v>12</v>
      </c>
      <c r="H10559" s="5">
        <f>MONTH(Tabela1[[#This Row],[data]])</f>
        <v>3</v>
      </c>
      <c r="I10559">
        <f>YEAR(Tabela1[[#This Row],[data]])</f>
        <v>2026</v>
      </c>
    </row>
    <row r="10560" spans="1:9" x14ac:dyDescent="0.25">
      <c r="A10560" t="s">
        <v>6</v>
      </c>
      <c r="B10560" s="1">
        <v>46097</v>
      </c>
      <c r="C10560">
        <v>23</v>
      </c>
      <c r="D10560">
        <v>361.2</v>
      </c>
      <c r="E10560">
        <v>1.68</v>
      </c>
      <c r="F10560" t="s">
        <v>7</v>
      </c>
      <c r="G10560" t="s">
        <v>12</v>
      </c>
      <c r="H10560" s="5">
        <f>MONTH(Tabela1[[#This Row],[data]])</f>
        <v>3</v>
      </c>
      <c r="I10560">
        <f>YEAR(Tabela1[[#This Row],[data]])</f>
        <v>2026</v>
      </c>
    </row>
    <row r="10561" spans="1:9" x14ac:dyDescent="0.25">
      <c r="A10561" t="s">
        <v>6</v>
      </c>
      <c r="B10561" s="1">
        <v>46097</v>
      </c>
      <c r="C10561">
        <v>24</v>
      </c>
      <c r="D10561">
        <v>265.86</v>
      </c>
      <c r="E10561">
        <v>0</v>
      </c>
      <c r="F10561" t="s">
        <v>7</v>
      </c>
      <c r="G10561" t="s">
        <v>12</v>
      </c>
      <c r="H10561" s="5">
        <f>MONTH(Tabela1[[#This Row],[data]])</f>
        <v>3</v>
      </c>
      <c r="I10561">
        <f>YEAR(Tabela1[[#This Row],[data]])</f>
        <v>2026</v>
      </c>
    </row>
    <row r="10562" spans="1:9" x14ac:dyDescent="0.25">
      <c r="A10562" t="s">
        <v>6</v>
      </c>
      <c r="B10562" s="1">
        <v>46098</v>
      </c>
      <c r="C10562">
        <v>1</v>
      </c>
      <c r="D10562">
        <v>236.46</v>
      </c>
      <c r="E10562">
        <v>0</v>
      </c>
      <c r="F10562" t="s">
        <v>7</v>
      </c>
      <c r="G10562" t="s">
        <v>11</v>
      </c>
      <c r="H10562" s="5">
        <f>MONTH(Tabela1[[#This Row],[data]])</f>
        <v>3</v>
      </c>
      <c r="I10562">
        <f>YEAR(Tabela1[[#This Row],[data]])</f>
        <v>2026</v>
      </c>
    </row>
    <row r="10563" spans="1:9" x14ac:dyDescent="0.25">
      <c r="A10563" t="s">
        <v>6</v>
      </c>
      <c r="B10563" s="1">
        <v>46098</v>
      </c>
      <c r="C10563">
        <v>2</v>
      </c>
      <c r="D10563">
        <v>223.86</v>
      </c>
      <c r="E10563">
        <v>0</v>
      </c>
      <c r="F10563" t="s">
        <v>7</v>
      </c>
      <c r="G10563" t="s">
        <v>11</v>
      </c>
      <c r="H10563" s="5">
        <f>MONTH(Tabela1[[#This Row],[data]])</f>
        <v>3</v>
      </c>
      <c r="I10563">
        <f>YEAR(Tabela1[[#This Row],[data]])</f>
        <v>2026</v>
      </c>
    </row>
    <row r="10564" spans="1:9" x14ac:dyDescent="0.25">
      <c r="A10564" t="s">
        <v>6</v>
      </c>
      <c r="B10564" s="1">
        <v>46098</v>
      </c>
      <c r="C10564">
        <v>3</v>
      </c>
      <c r="D10564">
        <v>217.56</v>
      </c>
      <c r="E10564">
        <v>0</v>
      </c>
      <c r="F10564" t="s">
        <v>7</v>
      </c>
      <c r="G10564" t="s">
        <v>11</v>
      </c>
      <c r="H10564" s="5">
        <f>MONTH(Tabela1[[#This Row],[data]])</f>
        <v>3</v>
      </c>
      <c r="I10564">
        <f>YEAR(Tabela1[[#This Row],[data]])</f>
        <v>2026</v>
      </c>
    </row>
    <row r="10565" spans="1:9" x14ac:dyDescent="0.25">
      <c r="A10565" t="s">
        <v>6</v>
      </c>
      <c r="B10565" s="1">
        <v>46098</v>
      </c>
      <c r="C10565">
        <v>4</v>
      </c>
      <c r="D10565">
        <v>217.98</v>
      </c>
      <c r="E10565">
        <v>0</v>
      </c>
      <c r="F10565" t="s">
        <v>7</v>
      </c>
      <c r="G10565" t="s">
        <v>11</v>
      </c>
      <c r="H10565" s="5">
        <f>MONTH(Tabela1[[#This Row],[data]])</f>
        <v>3</v>
      </c>
      <c r="I10565">
        <f>YEAR(Tabela1[[#This Row],[data]])</f>
        <v>2026</v>
      </c>
    </row>
    <row r="10566" spans="1:9" x14ac:dyDescent="0.25">
      <c r="A10566" t="s">
        <v>6</v>
      </c>
      <c r="B10566" s="1">
        <v>46098</v>
      </c>
      <c r="C10566">
        <v>5</v>
      </c>
      <c r="D10566">
        <v>220.92</v>
      </c>
      <c r="E10566">
        <v>0</v>
      </c>
      <c r="F10566" t="s">
        <v>7</v>
      </c>
      <c r="G10566" t="s">
        <v>11</v>
      </c>
      <c r="H10566" s="5">
        <f>MONTH(Tabela1[[#This Row],[data]])</f>
        <v>3</v>
      </c>
      <c r="I10566">
        <f>YEAR(Tabela1[[#This Row],[data]])</f>
        <v>2026</v>
      </c>
    </row>
    <row r="10567" spans="1:9" x14ac:dyDescent="0.25">
      <c r="A10567" t="s">
        <v>6</v>
      </c>
      <c r="B10567" s="1">
        <v>46098</v>
      </c>
      <c r="C10567">
        <v>6</v>
      </c>
      <c r="D10567">
        <v>203.7</v>
      </c>
      <c r="E10567">
        <v>0</v>
      </c>
      <c r="F10567" t="s">
        <v>7</v>
      </c>
      <c r="G10567" t="s">
        <v>11</v>
      </c>
      <c r="H10567" s="5">
        <f>MONTH(Tabela1[[#This Row],[data]])</f>
        <v>3</v>
      </c>
      <c r="I10567">
        <f>YEAR(Tabela1[[#This Row],[data]])</f>
        <v>2026</v>
      </c>
    </row>
    <row r="10568" spans="1:9" x14ac:dyDescent="0.25">
      <c r="A10568" t="s">
        <v>6</v>
      </c>
      <c r="B10568" s="1">
        <v>46098</v>
      </c>
      <c r="C10568">
        <v>7</v>
      </c>
      <c r="D10568">
        <v>209.58</v>
      </c>
      <c r="E10568">
        <v>0</v>
      </c>
      <c r="F10568" t="s">
        <v>7</v>
      </c>
      <c r="G10568" t="s">
        <v>11</v>
      </c>
      <c r="H10568" s="5">
        <f>MONTH(Tabela1[[#This Row],[data]])</f>
        <v>3</v>
      </c>
      <c r="I10568">
        <f>YEAR(Tabela1[[#This Row],[data]])</f>
        <v>2026</v>
      </c>
    </row>
    <row r="10569" spans="1:9" x14ac:dyDescent="0.25">
      <c r="A10569" t="s">
        <v>6</v>
      </c>
      <c r="B10569" s="1">
        <v>46098</v>
      </c>
      <c r="C10569">
        <v>8</v>
      </c>
      <c r="D10569">
        <v>223.86</v>
      </c>
      <c r="E10569">
        <v>0</v>
      </c>
      <c r="F10569" t="s">
        <v>7</v>
      </c>
      <c r="G10569" t="s">
        <v>11</v>
      </c>
      <c r="H10569" s="5">
        <f>MONTH(Tabela1[[#This Row],[data]])</f>
        <v>3</v>
      </c>
      <c r="I10569">
        <f>YEAR(Tabela1[[#This Row],[data]])</f>
        <v>2026</v>
      </c>
    </row>
    <row r="10570" spans="1:9" x14ac:dyDescent="0.25">
      <c r="A10570" t="s">
        <v>6</v>
      </c>
      <c r="B10570" s="1">
        <v>46098</v>
      </c>
      <c r="C10570">
        <v>9</v>
      </c>
      <c r="D10570">
        <v>383.88</v>
      </c>
      <c r="E10570">
        <v>27.72</v>
      </c>
      <c r="F10570" t="s">
        <v>7</v>
      </c>
      <c r="G10570" t="s">
        <v>11</v>
      </c>
      <c r="H10570" s="5">
        <f>MONTH(Tabela1[[#This Row],[data]])</f>
        <v>3</v>
      </c>
      <c r="I10570">
        <f>YEAR(Tabela1[[#This Row],[data]])</f>
        <v>2026</v>
      </c>
    </row>
    <row r="10571" spans="1:9" x14ac:dyDescent="0.25">
      <c r="A10571" t="s">
        <v>6</v>
      </c>
      <c r="B10571" s="1">
        <v>46098</v>
      </c>
      <c r="C10571">
        <v>10</v>
      </c>
      <c r="D10571">
        <v>539.28</v>
      </c>
      <c r="E10571">
        <v>91.56</v>
      </c>
      <c r="F10571" t="s">
        <v>7</v>
      </c>
      <c r="G10571" t="s">
        <v>11</v>
      </c>
      <c r="H10571" s="5">
        <f>MONTH(Tabela1[[#This Row],[data]])</f>
        <v>3</v>
      </c>
      <c r="I10571">
        <f>YEAR(Tabela1[[#This Row],[data]])</f>
        <v>2026</v>
      </c>
    </row>
    <row r="10572" spans="1:9" x14ac:dyDescent="0.25">
      <c r="A10572" t="s">
        <v>6</v>
      </c>
      <c r="B10572" s="1">
        <v>46098</v>
      </c>
      <c r="C10572">
        <v>11</v>
      </c>
      <c r="D10572">
        <v>914.76</v>
      </c>
      <c r="E10572">
        <v>244.44</v>
      </c>
      <c r="F10572" t="s">
        <v>7</v>
      </c>
      <c r="G10572" t="s">
        <v>11</v>
      </c>
      <c r="H10572" s="5">
        <f>MONTH(Tabela1[[#This Row],[data]])</f>
        <v>3</v>
      </c>
      <c r="I10572">
        <f>YEAR(Tabela1[[#This Row],[data]])</f>
        <v>2026</v>
      </c>
    </row>
    <row r="10573" spans="1:9" x14ac:dyDescent="0.25">
      <c r="A10573" t="s">
        <v>6</v>
      </c>
      <c r="B10573" s="1">
        <v>46098</v>
      </c>
      <c r="C10573">
        <v>12</v>
      </c>
      <c r="D10573">
        <v>928.62</v>
      </c>
      <c r="E10573">
        <v>247.8</v>
      </c>
      <c r="F10573" t="s">
        <v>7</v>
      </c>
      <c r="G10573" t="s">
        <v>11</v>
      </c>
      <c r="H10573" s="5">
        <f>MONTH(Tabela1[[#This Row],[data]])</f>
        <v>3</v>
      </c>
      <c r="I10573">
        <f>YEAR(Tabela1[[#This Row],[data]])</f>
        <v>2026</v>
      </c>
    </row>
    <row r="10574" spans="1:9" x14ac:dyDescent="0.25">
      <c r="A10574" t="s">
        <v>6</v>
      </c>
      <c r="B10574" s="1">
        <v>46098</v>
      </c>
      <c r="C10574">
        <v>13</v>
      </c>
      <c r="D10574">
        <v>924.84</v>
      </c>
      <c r="E10574">
        <v>261.24</v>
      </c>
      <c r="F10574" t="s">
        <v>7</v>
      </c>
      <c r="G10574" t="s">
        <v>11</v>
      </c>
      <c r="H10574" s="5">
        <f>MONTH(Tabela1[[#This Row],[data]])</f>
        <v>3</v>
      </c>
      <c r="I10574">
        <f>YEAR(Tabela1[[#This Row],[data]])</f>
        <v>2026</v>
      </c>
    </row>
    <row r="10575" spans="1:9" x14ac:dyDescent="0.25">
      <c r="A10575" t="s">
        <v>6</v>
      </c>
      <c r="B10575" s="1">
        <v>46098</v>
      </c>
      <c r="C10575">
        <v>14</v>
      </c>
      <c r="D10575">
        <v>917.28</v>
      </c>
      <c r="E10575">
        <v>226.38</v>
      </c>
      <c r="F10575" t="s">
        <v>7</v>
      </c>
      <c r="G10575" t="s">
        <v>11</v>
      </c>
      <c r="H10575" s="5">
        <f>MONTH(Tabela1[[#This Row],[data]])</f>
        <v>3</v>
      </c>
      <c r="I10575">
        <f>YEAR(Tabela1[[#This Row],[data]])</f>
        <v>2026</v>
      </c>
    </row>
    <row r="10576" spans="1:9" x14ac:dyDescent="0.25">
      <c r="A10576" t="s">
        <v>6</v>
      </c>
      <c r="B10576" s="1">
        <v>46098</v>
      </c>
      <c r="C10576">
        <v>15</v>
      </c>
      <c r="D10576">
        <v>956.76</v>
      </c>
      <c r="E10576">
        <v>257.45999999999998</v>
      </c>
      <c r="F10576" t="s">
        <v>7</v>
      </c>
      <c r="G10576" t="s">
        <v>11</v>
      </c>
      <c r="H10576" s="5">
        <f>MONTH(Tabela1[[#This Row],[data]])</f>
        <v>3</v>
      </c>
      <c r="I10576">
        <f>YEAR(Tabela1[[#This Row],[data]])</f>
        <v>2026</v>
      </c>
    </row>
    <row r="10577" spans="1:9" x14ac:dyDescent="0.25">
      <c r="A10577" t="s">
        <v>6</v>
      </c>
      <c r="B10577" s="1">
        <v>46098</v>
      </c>
      <c r="C10577">
        <v>16</v>
      </c>
      <c r="D10577">
        <v>946.26</v>
      </c>
      <c r="E10577">
        <v>264.18</v>
      </c>
      <c r="F10577" t="s">
        <v>7</v>
      </c>
      <c r="G10577" t="s">
        <v>11</v>
      </c>
      <c r="H10577" s="5">
        <f>MONTH(Tabela1[[#This Row],[data]])</f>
        <v>3</v>
      </c>
      <c r="I10577">
        <f>YEAR(Tabela1[[#This Row],[data]])</f>
        <v>2026</v>
      </c>
    </row>
    <row r="10578" spans="1:9" x14ac:dyDescent="0.25">
      <c r="A10578" t="s">
        <v>6</v>
      </c>
      <c r="B10578" s="1">
        <v>46098</v>
      </c>
      <c r="C10578">
        <v>17</v>
      </c>
      <c r="D10578">
        <v>951.3</v>
      </c>
      <c r="E10578">
        <v>262.08</v>
      </c>
      <c r="F10578" t="s">
        <v>7</v>
      </c>
      <c r="G10578" t="s">
        <v>11</v>
      </c>
      <c r="H10578" s="5">
        <f>MONTH(Tabela1[[#This Row],[data]])</f>
        <v>3</v>
      </c>
      <c r="I10578">
        <f>YEAR(Tabela1[[#This Row],[data]])</f>
        <v>2026</v>
      </c>
    </row>
    <row r="10579" spans="1:9" x14ac:dyDescent="0.25">
      <c r="A10579" t="s">
        <v>6</v>
      </c>
      <c r="B10579" s="1">
        <v>46098</v>
      </c>
      <c r="C10579">
        <v>18</v>
      </c>
      <c r="D10579">
        <v>904.68</v>
      </c>
      <c r="E10579">
        <v>234.78</v>
      </c>
      <c r="F10579" t="s">
        <v>7</v>
      </c>
      <c r="G10579" t="s">
        <v>11</v>
      </c>
      <c r="H10579" s="5">
        <f>MONTH(Tabela1[[#This Row],[data]])</f>
        <v>3</v>
      </c>
      <c r="I10579">
        <f>YEAR(Tabela1[[#This Row],[data]])</f>
        <v>2026</v>
      </c>
    </row>
    <row r="10580" spans="1:9" x14ac:dyDescent="0.25">
      <c r="A10580" t="s">
        <v>6</v>
      </c>
      <c r="B10580" s="1">
        <v>46098</v>
      </c>
      <c r="C10580">
        <v>19</v>
      </c>
      <c r="D10580">
        <v>830.76</v>
      </c>
      <c r="E10580">
        <v>179.34</v>
      </c>
      <c r="F10580" t="s">
        <v>7</v>
      </c>
      <c r="G10580" t="s">
        <v>11</v>
      </c>
      <c r="H10580" s="5">
        <f>MONTH(Tabela1[[#This Row],[data]])</f>
        <v>3</v>
      </c>
      <c r="I10580">
        <f>YEAR(Tabela1[[#This Row],[data]])</f>
        <v>2026</v>
      </c>
    </row>
    <row r="10581" spans="1:9" x14ac:dyDescent="0.25">
      <c r="A10581" t="s">
        <v>6</v>
      </c>
      <c r="B10581" s="1">
        <v>46098</v>
      </c>
      <c r="C10581">
        <v>20</v>
      </c>
      <c r="D10581">
        <v>815.64</v>
      </c>
      <c r="E10581">
        <v>197.4</v>
      </c>
      <c r="F10581" t="s">
        <v>7</v>
      </c>
      <c r="G10581" t="s">
        <v>11</v>
      </c>
      <c r="H10581" s="5">
        <f>MONTH(Tabela1[[#This Row],[data]])</f>
        <v>3</v>
      </c>
      <c r="I10581">
        <f>YEAR(Tabela1[[#This Row],[data]])</f>
        <v>2026</v>
      </c>
    </row>
    <row r="10582" spans="1:9" x14ac:dyDescent="0.25">
      <c r="A10582" t="s">
        <v>6</v>
      </c>
      <c r="B10582" s="1">
        <v>46098</v>
      </c>
      <c r="C10582">
        <v>21</v>
      </c>
      <c r="D10582">
        <v>790.86</v>
      </c>
      <c r="E10582">
        <v>174.3</v>
      </c>
      <c r="F10582" t="s">
        <v>7</v>
      </c>
      <c r="G10582" t="s">
        <v>11</v>
      </c>
      <c r="H10582" s="5">
        <f>MONTH(Tabela1[[#This Row],[data]])</f>
        <v>3</v>
      </c>
      <c r="I10582">
        <f>YEAR(Tabela1[[#This Row],[data]])</f>
        <v>2026</v>
      </c>
    </row>
    <row r="10583" spans="1:9" x14ac:dyDescent="0.25">
      <c r="A10583" t="s">
        <v>6</v>
      </c>
      <c r="B10583" s="1">
        <v>46098</v>
      </c>
      <c r="C10583">
        <v>22</v>
      </c>
      <c r="D10583">
        <v>728.7</v>
      </c>
      <c r="E10583">
        <v>144.47999999999999</v>
      </c>
      <c r="F10583" t="s">
        <v>7</v>
      </c>
      <c r="G10583" t="s">
        <v>11</v>
      </c>
      <c r="H10583" s="5">
        <f>MONTH(Tabela1[[#This Row],[data]])</f>
        <v>3</v>
      </c>
      <c r="I10583">
        <f>YEAR(Tabela1[[#This Row],[data]])</f>
        <v>2026</v>
      </c>
    </row>
    <row r="10584" spans="1:9" x14ac:dyDescent="0.25">
      <c r="A10584" t="s">
        <v>6</v>
      </c>
      <c r="B10584" s="1">
        <v>46098</v>
      </c>
      <c r="C10584">
        <v>23</v>
      </c>
      <c r="D10584">
        <v>341.88</v>
      </c>
      <c r="E10584">
        <v>3.36</v>
      </c>
      <c r="F10584" t="s">
        <v>7</v>
      </c>
      <c r="G10584" t="s">
        <v>11</v>
      </c>
      <c r="H10584" s="5">
        <f>MONTH(Tabela1[[#This Row],[data]])</f>
        <v>3</v>
      </c>
      <c r="I10584">
        <f>YEAR(Tabela1[[#This Row],[data]])</f>
        <v>2026</v>
      </c>
    </row>
    <row r="10585" spans="1:9" x14ac:dyDescent="0.25">
      <c r="A10585" t="s">
        <v>6</v>
      </c>
      <c r="B10585" s="1">
        <v>46098</v>
      </c>
      <c r="C10585">
        <v>24</v>
      </c>
      <c r="D10585">
        <v>243.18</v>
      </c>
      <c r="E10585">
        <v>0</v>
      </c>
      <c r="F10585" t="s">
        <v>7</v>
      </c>
      <c r="G10585" t="s">
        <v>11</v>
      </c>
      <c r="H10585" s="5">
        <f>MONTH(Tabela1[[#This Row],[data]])</f>
        <v>3</v>
      </c>
      <c r="I10585">
        <f>YEAR(Tabela1[[#This Row],[data]])</f>
        <v>2026</v>
      </c>
    </row>
    <row r="10586" spans="1:9" x14ac:dyDescent="0.25">
      <c r="A10586" t="s">
        <v>6</v>
      </c>
      <c r="B10586" s="1">
        <v>46099</v>
      </c>
      <c r="C10586">
        <v>1</v>
      </c>
      <c r="D10586">
        <v>220.08</v>
      </c>
      <c r="E10586">
        <v>0</v>
      </c>
      <c r="F10586" t="s">
        <v>7</v>
      </c>
      <c r="G10586" t="s">
        <v>11</v>
      </c>
      <c r="H10586" s="5">
        <f>MONTH(Tabela1[[#This Row],[data]])</f>
        <v>3</v>
      </c>
      <c r="I10586">
        <f>YEAR(Tabela1[[#This Row],[data]])</f>
        <v>2026</v>
      </c>
    </row>
    <row r="10587" spans="1:9" x14ac:dyDescent="0.25">
      <c r="A10587" t="s">
        <v>6</v>
      </c>
      <c r="B10587" s="1">
        <v>46099</v>
      </c>
      <c r="C10587">
        <v>2</v>
      </c>
      <c r="D10587">
        <v>216.72</v>
      </c>
      <c r="E10587">
        <v>0</v>
      </c>
      <c r="F10587" t="s">
        <v>7</v>
      </c>
      <c r="G10587" t="s">
        <v>11</v>
      </c>
      <c r="H10587" s="5">
        <f>MONTH(Tabela1[[#This Row],[data]])</f>
        <v>3</v>
      </c>
      <c r="I10587">
        <f>YEAR(Tabela1[[#This Row],[data]])</f>
        <v>2026</v>
      </c>
    </row>
    <row r="10588" spans="1:9" x14ac:dyDescent="0.25">
      <c r="A10588" t="s">
        <v>6</v>
      </c>
      <c r="B10588" s="1">
        <v>46099</v>
      </c>
      <c r="C10588">
        <v>3</v>
      </c>
      <c r="D10588">
        <v>217.14</v>
      </c>
      <c r="E10588">
        <v>0</v>
      </c>
      <c r="F10588" t="s">
        <v>7</v>
      </c>
      <c r="G10588" t="s">
        <v>11</v>
      </c>
      <c r="H10588" s="5">
        <f>MONTH(Tabela1[[#This Row],[data]])</f>
        <v>3</v>
      </c>
      <c r="I10588">
        <f>YEAR(Tabela1[[#This Row],[data]])</f>
        <v>2026</v>
      </c>
    </row>
    <row r="10589" spans="1:9" x14ac:dyDescent="0.25">
      <c r="A10589" t="s">
        <v>6</v>
      </c>
      <c r="B10589" s="1">
        <v>46099</v>
      </c>
      <c r="C10589">
        <v>4</v>
      </c>
      <c r="D10589">
        <v>213.36</v>
      </c>
      <c r="E10589">
        <v>0</v>
      </c>
      <c r="F10589" t="s">
        <v>7</v>
      </c>
      <c r="G10589" t="s">
        <v>11</v>
      </c>
      <c r="H10589" s="5">
        <f>MONTH(Tabela1[[#This Row],[data]])</f>
        <v>3</v>
      </c>
      <c r="I10589">
        <f>YEAR(Tabela1[[#This Row],[data]])</f>
        <v>2026</v>
      </c>
    </row>
    <row r="10590" spans="1:9" x14ac:dyDescent="0.25">
      <c r="A10590" t="s">
        <v>6</v>
      </c>
      <c r="B10590" s="1">
        <v>46099</v>
      </c>
      <c r="C10590">
        <v>5</v>
      </c>
      <c r="D10590">
        <v>220.92</v>
      </c>
      <c r="E10590">
        <v>0</v>
      </c>
      <c r="F10590" t="s">
        <v>7</v>
      </c>
      <c r="G10590" t="s">
        <v>11</v>
      </c>
      <c r="H10590" s="5">
        <f>MONTH(Tabela1[[#This Row],[data]])</f>
        <v>3</v>
      </c>
      <c r="I10590">
        <f>YEAR(Tabela1[[#This Row],[data]])</f>
        <v>2026</v>
      </c>
    </row>
    <row r="10591" spans="1:9" x14ac:dyDescent="0.25">
      <c r="A10591" t="s">
        <v>6</v>
      </c>
      <c r="B10591" s="1">
        <v>46099</v>
      </c>
      <c r="C10591">
        <v>6</v>
      </c>
      <c r="D10591">
        <v>217.56</v>
      </c>
      <c r="E10591">
        <v>0</v>
      </c>
      <c r="F10591" t="s">
        <v>7</v>
      </c>
      <c r="G10591" t="s">
        <v>11</v>
      </c>
      <c r="H10591" s="5">
        <f>MONTH(Tabela1[[#This Row],[data]])</f>
        <v>3</v>
      </c>
      <c r="I10591">
        <f>YEAR(Tabela1[[#This Row],[data]])</f>
        <v>2026</v>
      </c>
    </row>
    <row r="10592" spans="1:9" x14ac:dyDescent="0.25">
      <c r="A10592" t="s">
        <v>6</v>
      </c>
      <c r="B10592" s="1">
        <v>46099</v>
      </c>
      <c r="C10592">
        <v>7</v>
      </c>
      <c r="D10592">
        <v>211.26</v>
      </c>
      <c r="E10592">
        <v>0</v>
      </c>
      <c r="F10592" t="s">
        <v>7</v>
      </c>
      <c r="G10592" t="s">
        <v>11</v>
      </c>
      <c r="H10592" s="5">
        <f>MONTH(Tabela1[[#This Row],[data]])</f>
        <v>3</v>
      </c>
      <c r="I10592">
        <f>YEAR(Tabela1[[#This Row],[data]])</f>
        <v>2026</v>
      </c>
    </row>
    <row r="10593" spans="1:9" x14ac:dyDescent="0.25">
      <c r="A10593" t="s">
        <v>6</v>
      </c>
      <c r="B10593" s="1">
        <v>46099</v>
      </c>
      <c r="C10593">
        <v>8</v>
      </c>
      <c r="D10593">
        <v>224.28</v>
      </c>
      <c r="E10593">
        <v>0</v>
      </c>
      <c r="F10593" t="s">
        <v>7</v>
      </c>
      <c r="G10593" t="s">
        <v>11</v>
      </c>
      <c r="H10593" s="5">
        <f>MONTH(Tabela1[[#This Row],[data]])</f>
        <v>3</v>
      </c>
      <c r="I10593">
        <f>YEAR(Tabela1[[#This Row],[data]])</f>
        <v>2026</v>
      </c>
    </row>
    <row r="10594" spans="1:9" x14ac:dyDescent="0.25">
      <c r="A10594" t="s">
        <v>6</v>
      </c>
      <c r="B10594" s="1">
        <v>46099</v>
      </c>
      <c r="C10594">
        <v>9</v>
      </c>
      <c r="D10594">
        <v>318.77999999999997</v>
      </c>
      <c r="E10594">
        <v>0</v>
      </c>
      <c r="F10594" t="s">
        <v>7</v>
      </c>
      <c r="G10594" t="s">
        <v>11</v>
      </c>
      <c r="H10594" s="5">
        <f>MONTH(Tabela1[[#This Row],[data]])</f>
        <v>3</v>
      </c>
      <c r="I10594">
        <f>YEAR(Tabela1[[#This Row],[data]])</f>
        <v>2026</v>
      </c>
    </row>
    <row r="10595" spans="1:9" x14ac:dyDescent="0.25">
      <c r="A10595" t="s">
        <v>6</v>
      </c>
      <c r="B10595" s="1">
        <v>46099</v>
      </c>
      <c r="C10595">
        <v>10</v>
      </c>
      <c r="D10595">
        <v>469.98</v>
      </c>
      <c r="E10595">
        <v>39.9</v>
      </c>
      <c r="F10595" t="s">
        <v>7</v>
      </c>
      <c r="G10595" t="s">
        <v>11</v>
      </c>
      <c r="H10595" s="5">
        <f>MONTH(Tabela1[[#This Row],[data]])</f>
        <v>3</v>
      </c>
      <c r="I10595">
        <f>YEAR(Tabela1[[#This Row],[data]])</f>
        <v>2026</v>
      </c>
    </row>
    <row r="10596" spans="1:9" x14ac:dyDescent="0.25">
      <c r="A10596" t="s">
        <v>6</v>
      </c>
      <c r="B10596" s="1">
        <v>46099</v>
      </c>
      <c r="C10596">
        <v>11</v>
      </c>
      <c r="D10596">
        <v>906.36</v>
      </c>
      <c r="E10596">
        <v>226.38</v>
      </c>
      <c r="F10596" t="s">
        <v>7</v>
      </c>
      <c r="G10596" t="s">
        <v>11</v>
      </c>
      <c r="H10596" s="5">
        <f>MONTH(Tabela1[[#This Row],[data]])</f>
        <v>3</v>
      </c>
      <c r="I10596">
        <f>YEAR(Tabela1[[#This Row],[data]])</f>
        <v>2026</v>
      </c>
    </row>
    <row r="10597" spans="1:9" x14ac:dyDescent="0.25">
      <c r="A10597" t="s">
        <v>6</v>
      </c>
      <c r="B10597" s="1">
        <v>46099</v>
      </c>
      <c r="C10597">
        <v>12</v>
      </c>
      <c r="D10597">
        <v>882.84</v>
      </c>
      <c r="E10597">
        <v>217.14</v>
      </c>
      <c r="F10597" t="s">
        <v>7</v>
      </c>
      <c r="G10597" t="s">
        <v>11</v>
      </c>
      <c r="H10597" s="5">
        <f>MONTH(Tabela1[[#This Row],[data]])</f>
        <v>3</v>
      </c>
      <c r="I10597">
        <f>YEAR(Tabela1[[#This Row],[data]])</f>
        <v>2026</v>
      </c>
    </row>
    <row r="10598" spans="1:9" x14ac:dyDescent="0.25">
      <c r="A10598" t="s">
        <v>6</v>
      </c>
      <c r="B10598" s="1">
        <v>46099</v>
      </c>
      <c r="C10598">
        <v>13</v>
      </c>
      <c r="D10598">
        <v>939.96</v>
      </c>
      <c r="E10598">
        <v>245.7</v>
      </c>
      <c r="F10598" t="s">
        <v>7</v>
      </c>
      <c r="G10598" t="s">
        <v>11</v>
      </c>
      <c r="H10598" s="5">
        <f>MONTH(Tabela1[[#This Row],[data]])</f>
        <v>3</v>
      </c>
      <c r="I10598">
        <f>YEAR(Tabela1[[#This Row],[data]])</f>
        <v>2026</v>
      </c>
    </row>
    <row r="10599" spans="1:9" x14ac:dyDescent="0.25">
      <c r="A10599" t="s">
        <v>6</v>
      </c>
      <c r="B10599" s="1">
        <v>46099</v>
      </c>
      <c r="C10599">
        <v>14</v>
      </c>
      <c r="D10599">
        <v>926.1</v>
      </c>
      <c r="E10599">
        <v>236.04</v>
      </c>
      <c r="F10599" t="s">
        <v>7</v>
      </c>
      <c r="G10599" t="s">
        <v>11</v>
      </c>
      <c r="H10599" s="5">
        <f>MONTH(Tabela1[[#This Row],[data]])</f>
        <v>3</v>
      </c>
      <c r="I10599">
        <f>YEAR(Tabela1[[#This Row],[data]])</f>
        <v>2026</v>
      </c>
    </row>
    <row r="10600" spans="1:9" x14ac:dyDescent="0.25">
      <c r="A10600" t="s">
        <v>6</v>
      </c>
      <c r="B10600" s="1">
        <v>46099</v>
      </c>
      <c r="C10600">
        <v>15</v>
      </c>
      <c r="D10600">
        <v>942.06</v>
      </c>
      <c r="E10600">
        <v>231</v>
      </c>
      <c r="F10600" t="s">
        <v>7</v>
      </c>
      <c r="G10600" t="s">
        <v>11</v>
      </c>
      <c r="H10600" s="5">
        <f>MONTH(Tabela1[[#This Row],[data]])</f>
        <v>3</v>
      </c>
      <c r="I10600">
        <f>YEAR(Tabela1[[#This Row],[data]])</f>
        <v>2026</v>
      </c>
    </row>
    <row r="10601" spans="1:9" x14ac:dyDescent="0.25">
      <c r="A10601" t="s">
        <v>6</v>
      </c>
      <c r="B10601" s="1">
        <v>46099</v>
      </c>
      <c r="C10601">
        <v>16</v>
      </c>
      <c r="D10601">
        <v>955.08</v>
      </c>
      <c r="E10601">
        <v>235.62</v>
      </c>
      <c r="F10601" t="s">
        <v>7</v>
      </c>
      <c r="G10601" t="s">
        <v>11</v>
      </c>
      <c r="H10601" s="5">
        <f>MONTH(Tabela1[[#This Row],[data]])</f>
        <v>3</v>
      </c>
      <c r="I10601">
        <f>YEAR(Tabela1[[#This Row],[data]])</f>
        <v>2026</v>
      </c>
    </row>
    <row r="10602" spans="1:9" x14ac:dyDescent="0.25">
      <c r="A10602" t="s">
        <v>6</v>
      </c>
      <c r="B10602" s="1">
        <v>46099</v>
      </c>
      <c r="C10602">
        <v>17</v>
      </c>
      <c r="D10602">
        <v>920.22</v>
      </c>
      <c r="E10602">
        <v>238.98</v>
      </c>
      <c r="F10602" t="s">
        <v>7</v>
      </c>
      <c r="G10602" t="s">
        <v>11</v>
      </c>
      <c r="H10602" s="5">
        <f>MONTH(Tabela1[[#This Row],[data]])</f>
        <v>3</v>
      </c>
      <c r="I10602">
        <f>YEAR(Tabela1[[#This Row],[data]])</f>
        <v>2026</v>
      </c>
    </row>
    <row r="10603" spans="1:9" x14ac:dyDescent="0.25">
      <c r="A10603" t="s">
        <v>6</v>
      </c>
      <c r="B10603" s="1">
        <v>46099</v>
      </c>
      <c r="C10603">
        <v>18</v>
      </c>
      <c r="D10603">
        <v>878.22</v>
      </c>
      <c r="E10603">
        <v>214.2</v>
      </c>
      <c r="F10603" t="s">
        <v>7</v>
      </c>
      <c r="G10603" t="s">
        <v>11</v>
      </c>
      <c r="H10603" s="5">
        <f>MONTH(Tabela1[[#This Row],[data]])</f>
        <v>3</v>
      </c>
      <c r="I10603">
        <f>YEAR(Tabela1[[#This Row],[data]])</f>
        <v>2026</v>
      </c>
    </row>
    <row r="10604" spans="1:9" x14ac:dyDescent="0.25">
      <c r="A10604" t="s">
        <v>6</v>
      </c>
      <c r="B10604" s="1">
        <v>46099</v>
      </c>
      <c r="C10604">
        <v>19</v>
      </c>
      <c r="D10604">
        <v>821.52</v>
      </c>
      <c r="E10604">
        <v>174.3</v>
      </c>
      <c r="F10604" t="s">
        <v>7</v>
      </c>
      <c r="G10604" t="s">
        <v>11</v>
      </c>
      <c r="H10604" s="5">
        <f>MONTH(Tabela1[[#This Row],[data]])</f>
        <v>3</v>
      </c>
      <c r="I10604">
        <f>YEAR(Tabela1[[#This Row],[data]])</f>
        <v>2026</v>
      </c>
    </row>
    <row r="10605" spans="1:9" x14ac:dyDescent="0.25">
      <c r="A10605" t="s">
        <v>6</v>
      </c>
      <c r="B10605" s="1">
        <v>46099</v>
      </c>
      <c r="C10605">
        <v>20</v>
      </c>
      <c r="D10605">
        <v>826.14</v>
      </c>
      <c r="E10605">
        <v>186.9</v>
      </c>
      <c r="F10605" t="s">
        <v>7</v>
      </c>
      <c r="G10605" t="s">
        <v>11</v>
      </c>
      <c r="H10605" s="5">
        <f>MONTH(Tabela1[[#This Row],[data]])</f>
        <v>3</v>
      </c>
      <c r="I10605">
        <f>YEAR(Tabela1[[#This Row],[data]])</f>
        <v>2026</v>
      </c>
    </row>
    <row r="10606" spans="1:9" x14ac:dyDescent="0.25">
      <c r="A10606" t="s">
        <v>6</v>
      </c>
      <c r="B10606" s="1">
        <v>46099</v>
      </c>
      <c r="C10606">
        <v>21</v>
      </c>
      <c r="D10606">
        <v>806.82</v>
      </c>
      <c r="E10606">
        <v>199.5</v>
      </c>
      <c r="F10606" t="s">
        <v>7</v>
      </c>
      <c r="G10606" t="s">
        <v>11</v>
      </c>
      <c r="H10606" s="5">
        <f>MONTH(Tabela1[[#This Row],[data]])</f>
        <v>3</v>
      </c>
      <c r="I10606">
        <f>YEAR(Tabela1[[#This Row],[data]])</f>
        <v>2026</v>
      </c>
    </row>
    <row r="10607" spans="1:9" x14ac:dyDescent="0.25">
      <c r="A10607" t="s">
        <v>6</v>
      </c>
      <c r="B10607" s="1">
        <v>46099</v>
      </c>
      <c r="C10607">
        <v>22</v>
      </c>
      <c r="D10607">
        <v>764.82</v>
      </c>
      <c r="E10607">
        <v>160.02000000000001</v>
      </c>
      <c r="F10607" t="s">
        <v>7</v>
      </c>
      <c r="G10607" t="s">
        <v>11</v>
      </c>
      <c r="H10607" s="5">
        <f>MONTH(Tabela1[[#This Row],[data]])</f>
        <v>3</v>
      </c>
      <c r="I10607">
        <f>YEAR(Tabela1[[#This Row],[data]])</f>
        <v>2026</v>
      </c>
    </row>
    <row r="10608" spans="1:9" x14ac:dyDescent="0.25">
      <c r="A10608" t="s">
        <v>6</v>
      </c>
      <c r="B10608" s="1">
        <v>46099</v>
      </c>
      <c r="C10608">
        <v>23</v>
      </c>
      <c r="D10608">
        <v>454.86</v>
      </c>
      <c r="E10608">
        <v>57.54</v>
      </c>
      <c r="F10608" t="s">
        <v>7</v>
      </c>
      <c r="G10608" t="s">
        <v>11</v>
      </c>
      <c r="H10608" s="5">
        <f>MONTH(Tabela1[[#This Row],[data]])</f>
        <v>3</v>
      </c>
      <c r="I10608">
        <f>YEAR(Tabela1[[#This Row],[data]])</f>
        <v>2026</v>
      </c>
    </row>
    <row r="10609" spans="1:9" x14ac:dyDescent="0.25">
      <c r="A10609" t="s">
        <v>6</v>
      </c>
      <c r="B10609" s="1">
        <v>46099</v>
      </c>
      <c r="C10609">
        <v>24</v>
      </c>
      <c r="D10609">
        <v>334.74</v>
      </c>
      <c r="E10609">
        <v>0</v>
      </c>
      <c r="F10609" t="s">
        <v>7</v>
      </c>
      <c r="G10609" t="s">
        <v>11</v>
      </c>
      <c r="H10609" s="5">
        <f>MONTH(Tabela1[[#This Row],[data]])</f>
        <v>3</v>
      </c>
      <c r="I10609">
        <f>YEAR(Tabela1[[#This Row],[data]])</f>
        <v>2026</v>
      </c>
    </row>
    <row r="10610" spans="1:9" x14ac:dyDescent="0.25">
      <c r="A10610" t="s">
        <v>6</v>
      </c>
      <c r="B10610" s="1">
        <v>46100</v>
      </c>
      <c r="C10610">
        <v>1</v>
      </c>
      <c r="D10610">
        <v>232.68</v>
      </c>
      <c r="E10610">
        <v>0</v>
      </c>
      <c r="F10610" t="s">
        <v>7</v>
      </c>
      <c r="G10610" t="s">
        <v>11</v>
      </c>
      <c r="H10610" s="5">
        <f>MONTH(Tabela1[[#This Row],[data]])</f>
        <v>3</v>
      </c>
      <c r="I10610">
        <f>YEAR(Tabela1[[#This Row],[data]])</f>
        <v>2026</v>
      </c>
    </row>
    <row r="10611" spans="1:9" x14ac:dyDescent="0.25">
      <c r="A10611" t="s">
        <v>6</v>
      </c>
      <c r="B10611" s="1">
        <v>46100</v>
      </c>
      <c r="C10611">
        <v>2</v>
      </c>
      <c r="D10611">
        <v>224.7</v>
      </c>
      <c r="E10611">
        <v>0</v>
      </c>
      <c r="F10611" t="s">
        <v>7</v>
      </c>
      <c r="G10611" t="s">
        <v>11</v>
      </c>
      <c r="H10611" s="5">
        <f>MONTH(Tabela1[[#This Row],[data]])</f>
        <v>3</v>
      </c>
      <c r="I10611">
        <f>YEAR(Tabela1[[#This Row],[data]])</f>
        <v>2026</v>
      </c>
    </row>
    <row r="10612" spans="1:9" x14ac:dyDescent="0.25">
      <c r="A10612" t="s">
        <v>6</v>
      </c>
      <c r="B10612" s="1">
        <v>46100</v>
      </c>
      <c r="C10612">
        <v>3</v>
      </c>
      <c r="D10612">
        <v>223.86</v>
      </c>
      <c r="E10612">
        <v>0</v>
      </c>
      <c r="F10612" t="s">
        <v>7</v>
      </c>
      <c r="G10612" t="s">
        <v>11</v>
      </c>
      <c r="H10612" s="5">
        <f>MONTH(Tabela1[[#This Row],[data]])</f>
        <v>3</v>
      </c>
      <c r="I10612">
        <f>YEAR(Tabela1[[#This Row],[data]])</f>
        <v>2026</v>
      </c>
    </row>
    <row r="10613" spans="1:9" x14ac:dyDescent="0.25">
      <c r="A10613" t="s">
        <v>6</v>
      </c>
      <c r="B10613" s="1">
        <v>46100</v>
      </c>
      <c r="C10613">
        <v>4</v>
      </c>
      <c r="D10613">
        <v>221.76</v>
      </c>
      <c r="E10613">
        <v>0</v>
      </c>
      <c r="F10613" t="s">
        <v>7</v>
      </c>
      <c r="G10613" t="s">
        <v>11</v>
      </c>
      <c r="H10613" s="5">
        <f>MONTH(Tabela1[[#This Row],[data]])</f>
        <v>3</v>
      </c>
      <c r="I10613">
        <f>YEAR(Tabela1[[#This Row],[data]])</f>
        <v>2026</v>
      </c>
    </row>
    <row r="10614" spans="1:9" x14ac:dyDescent="0.25">
      <c r="A10614" t="s">
        <v>6</v>
      </c>
      <c r="B10614" s="1">
        <v>46100</v>
      </c>
      <c r="C10614">
        <v>5</v>
      </c>
      <c r="D10614">
        <v>230.16</v>
      </c>
      <c r="E10614">
        <v>0</v>
      </c>
      <c r="F10614" t="s">
        <v>7</v>
      </c>
      <c r="G10614" t="s">
        <v>11</v>
      </c>
      <c r="H10614" s="5">
        <f>MONTH(Tabela1[[#This Row],[data]])</f>
        <v>3</v>
      </c>
      <c r="I10614">
        <f>YEAR(Tabela1[[#This Row],[data]])</f>
        <v>2026</v>
      </c>
    </row>
    <row r="10615" spans="1:9" x14ac:dyDescent="0.25">
      <c r="A10615" t="s">
        <v>6</v>
      </c>
      <c r="B10615" s="1">
        <v>46100</v>
      </c>
      <c r="C10615">
        <v>6</v>
      </c>
      <c r="D10615">
        <v>224.28</v>
      </c>
      <c r="E10615">
        <v>0</v>
      </c>
      <c r="F10615" t="s">
        <v>7</v>
      </c>
      <c r="G10615" t="s">
        <v>11</v>
      </c>
      <c r="H10615" s="5">
        <f>MONTH(Tabela1[[#This Row],[data]])</f>
        <v>3</v>
      </c>
      <c r="I10615">
        <f>YEAR(Tabela1[[#This Row],[data]])</f>
        <v>2026</v>
      </c>
    </row>
    <row r="10616" spans="1:9" x14ac:dyDescent="0.25">
      <c r="A10616" t="s">
        <v>6</v>
      </c>
      <c r="B10616" s="1">
        <v>46100</v>
      </c>
      <c r="C10616">
        <v>7</v>
      </c>
      <c r="D10616">
        <v>230.58</v>
      </c>
      <c r="E10616">
        <v>0</v>
      </c>
      <c r="F10616" t="s">
        <v>7</v>
      </c>
      <c r="G10616" t="s">
        <v>11</v>
      </c>
      <c r="H10616" s="5">
        <f>MONTH(Tabela1[[#This Row],[data]])</f>
        <v>3</v>
      </c>
      <c r="I10616">
        <f>YEAR(Tabela1[[#This Row],[data]])</f>
        <v>2026</v>
      </c>
    </row>
    <row r="10617" spans="1:9" x14ac:dyDescent="0.25">
      <c r="A10617" t="s">
        <v>6</v>
      </c>
      <c r="B10617" s="1">
        <v>46100</v>
      </c>
      <c r="C10617">
        <v>8</v>
      </c>
      <c r="D10617">
        <v>252.84</v>
      </c>
      <c r="E10617">
        <v>0</v>
      </c>
      <c r="F10617" t="s">
        <v>7</v>
      </c>
      <c r="G10617" t="s">
        <v>11</v>
      </c>
      <c r="H10617" s="5">
        <f>MONTH(Tabela1[[#This Row],[data]])</f>
        <v>3</v>
      </c>
      <c r="I10617">
        <f>YEAR(Tabela1[[#This Row],[data]])</f>
        <v>2026</v>
      </c>
    </row>
    <row r="10618" spans="1:9" x14ac:dyDescent="0.25">
      <c r="A10618" t="s">
        <v>6</v>
      </c>
      <c r="B10618" s="1">
        <v>46100</v>
      </c>
      <c r="C10618">
        <v>9</v>
      </c>
      <c r="D10618">
        <v>354.06</v>
      </c>
      <c r="E10618">
        <v>0.42</v>
      </c>
      <c r="F10618" t="s">
        <v>7</v>
      </c>
      <c r="G10618" t="s">
        <v>11</v>
      </c>
      <c r="H10618" s="5">
        <f>MONTH(Tabela1[[#This Row],[data]])</f>
        <v>3</v>
      </c>
      <c r="I10618">
        <f>YEAR(Tabela1[[#This Row],[data]])</f>
        <v>2026</v>
      </c>
    </row>
    <row r="10619" spans="1:9" x14ac:dyDescent="0.25">
      <c r="A10619" t="s">
        <v>6</v>
      </c>
      <c r="B10619" s="1">
        <v>46100</v>
      </c>
      <c r="C10619">
        <v>10</v>
      </c>
      <c r="D10619">
        <v>467.46</v>
      </c>
      <c r="E10619">
        <v>49.98</v>
      </c>
      <c r="F10619" t="s">
        <v>7</v>
      </c>
      <c r="G10619" t="s">
        <v>11</v>
      </c>
      <c r="H10619" s="5">
        <f>MONTH(Tabela1[[#This Row],[data]])</f>
        <v>3</v>
      </c>
      <c r="I10619">
        <f>YEAR(Tabela1[[#This Row],[data]])</f>
        <v>2026</v>
      </c>
    </row>
    <row r="10620" spans="1:9" x14ac:dyDescent="0.25">
      <c r="A10620" t="s">
        <v>6</v>
      </c>
      <c r="B10620" s="1">
        <v>46100</v>
      </c>
      <c r="C10620">
        <v>11</v>
      </c>
      <c r="D10620">
        <v>901.32</v>
      </c>
      <c r="E10620">
        <v>233.94</v>
      </c>
      <c r="F10620" t="s">
        <v>7</v>
      </c>
      <c r="G10620" t="s">
        <v>11</v>
      </c>
      <c r="H10620" s="5">
        <f>MONTH(Tabela1[[#This Row],[data]])</f>
        <v>3</v>
      </c>
      <c r="I10620">
        <f>YEAR(Tabela1[[#This Row],[data]])</f>
        <v>2026</v>
      </c>
    </row>
    <row r="10621" spans="1:9" x14ac:dyDescent="0.25">
      <c r="A10621" t="s">
        <v>6</v>
      </c>
      <c r="B10621" s="1">
        <v>46100</v>
      </c>
      <c r="C10621">
        <v>12</v>
      </c>
      <c r="D10621">
        <v>929.88</v>
      </c>
      <c r="E10621">
        <v>270.89999999999998</v>
      </c>
      <c r="F10621" t="s">
        <v>7</v>
      </c>
      <c r="G10621" t="s">
        <v>11</v>
      </c>
      <c r="H10621" s="5">
        <f>MONTH(Tabela1[[#This Row],[data]])</f>
        <v>3</v>
      </c>
      <c r="I10621">
        <f>YEAR(Tabela1[[#This Row],[data]])</f>
        <v>2026</v>
      </c>
    </row>
    <row r="10622" spans="1:9" x14ac:dyDescent="0.25">
      <c r="A10622" t="s">
        <v>6</v>
      </c>
      <c r="B10622" s="1">
        <v>46100</v>
      </c>
      <c r="C10622">
        <v>13</v>
      </c>
      <c r="D10622">
        <v>913.08</v>
      </c>
      <c r="E10622">
        <v>232.26</v>
      </c>
      <c r="F10622" t="s">
        <v>7</v>
      </c>
      <c r="G10622" t="s">
        <v>11</v>
      </c>
      <c r="H10622" s="5">
        <f>MONTH(Tabela1[[#This Row],[data]])</f>
        <v>3</v>
      </c>
      <c r="I10622">
        <f>YEAR(Tabela1[[#This Row],[data]])</f>
        <v>2026</v>
      </c>
    </row>
    <row r="10623" spans="1:9" x14ac:dyDescent="0.25">
      <c r="A10623" t="s">
        <v>6</v>
      </c>
      <c r="B10623" s="1">
        <v>46100</v>
      </c>
      <c r="C10623">
        <v>14</v>
      </c>
      <c r="D10623">
        <v>929.88</v>
      </c>
      <c r="E10623">
        <v>245.28</v>
      </c>
      <c r="F10623" t="s">
        <v>7</v>
      </c>
      <c r="G10623" t="s">
        <v>11</v>
      </c>
      <c r="H10623" s="5">
        <f>MONTH(Tabela1[[#This Row],[data]])</f>
        <v>3</v>
      </c>
      <c r="I10623">
        <f>YEAR(Tabela1[[#This Row],[data]])</f>
        <v>2026</v>
      </c>
    </row>
    <row r="10624" spans="1:9" x14ac:dyDescent="0.25">
      <c r="A10624" t="s">
        <v>6</v>
      </c>
      <c r="B10624" s="1">
        <v>46100</v>
      </c>
      <c r="C10624">
        <v>15</v>
      </c>
      <c r="D10624">
        <v>232.26</v>
      </c>
      <c r="E10624">
        <v>62.58</v>
      </c>
      <c r="F10624" t="s">
        <v>7</v>
      </c>
      <c r="G10624" t="s">
        <v>11</v>
      </c>
      <c r="H10624" s="5">
        <f>MONTH(Tabela1[[#This Row],[data]])</f>
        <v>3</v>
      </c>
      <c r="I10624">
        <f>YEAR(Tabela1[[#This Row],[data]])</f>
        <v>2026</v>
      </c>
    </row>
    <row r="10625" spans="1:9" x14ac:dyDescent="0.25">
      <c r="A10625" t="s">
        <v>6</v>
      </c>
      <c r="B10625" s="1">
        <v>46100</v>
      </c>
      <c r="C10625">
        <v>16</v>
      </c>
      <c r="D10625">
        <v>0</v>
      </c>
      <c r="E10625">
        <v>0</v>
      </c>
      <c r="F10625" t="s">
        <v>7</v>
      </c>
      <c r="G10625" t="s">
        <v>11</v>
      </c>
      <c r="H10625" s="5">
        <f>MONTH(Tabela1[[#This Row],[data]])</f>
        <v>3</v>
      </c>
      <c r="I10625">
        <f>YEAR(Tabela1[[#This Row],[data]])</f>
        <v>2026</v>
      </c>
    </row>
    <row r="10626" spans="1:9" x14ac:dyDescent="0.25">
      <c r="A10626" t="s">
        <v>6</v>
      </c>
      <c r="B10626" s="1">
        <v>46100</v>
      </c>
      <c r="C10626">
        <v>17</v>
      </c>
      <c r="D10626">
        <v>288.95999999999998</v>
      </c>
      <c r="E10626">
        <v>32.76</v>
      </c>
      <c r="F10626" t="s">
        <v>7</v>
      </c>
      <c r="G10626" t="s">
        <v>11</v>
      </c>
      <c r="H10626" s="5">
        <f>MONTH(Tabela1[[#This Row],[data]])</f>
        <v>3</v>
      </c>
      <c r="I10626">
        <f>YEAR(Tabela1[[#This Row],[data]])</f>
        <v>2026</v>
      </c>
    </row>
    <row r="10627" spans="1:9" x14ac:dyDescent="0.25">
      <c r="A10627" t="s">
        <v>6</v>
      </c>
      <c r="B10627" s="1">
        <v>46100</v>
      </c>
      <c r="C10627">
        <v>18</v>
      </c>
      <c r="D10627">
        <v>674.52</v>
      </c>
      <c r="E10627">
        <v>102.06</v>
      </c>
      <c r="F10627" t="s">
        <v>7</v>
      </c>
      <c r="G10627" t="s">
        <v>11</v>
      </c>
      <c r="H10627" s="5">
        <f>MONTH(Tabela1[[#This Row],[data]])</f>
        <v>3</v>
      </c>
      <c r="I10627">
        <f>YEAR(Tabela1[[#This Row],[data]])</f>
        <v>2026</v>
      </c>
    </row>
    <row r="10628" spans="1:9" x14ac:dyDescent="0.25">
      <c r="A10628" t="s">
        <v>6</v>
      </c>
      <c r="B10628" s="1">
        <v>46100</v>
      </c>
      <c r="C10628">
        <v>19</v>
      </c>
      <c r="D10628">
        <v>816.48</v>
      </c>
      <c r="E10628">
        <v>172.2</v>
      </c>
      <c r="F10628" t="s">
        <v>7</v>
      </c>
      <c r="G10628" t="s">
        <v>11</v>
      </c>
      <c r="H10628" s="5">
        <f>MONTH(Tabela1[[#This Row],[data]])</f>
        <v>3</v>
      </c>
      <c r="I10628">
        <f>YEAR(Tabela1[[#This Row],[data]])</f>
        <v>2026</v>
      </c>
    </row>
    <row r="10629" spans="1:9" x14ac:dyDescent="0.25">
      <c r="A10629" t="s">
        <v>6</v>
      </c>
      <c r="B10629" s="1">
        <v>46100</v>
      </c>
      <c r="C10629">
        <v>20</v>
      </c>
      <c r="D10629">
        <v>786.24</v>
      </c>
      <c r="E10629">
        <v>174.3</v>
      </c>
      <c r="F10629" t="s">
        <v>7</v>
      </c>
      <c r="G10629" t="s">
        <v>11</v>
      </c>
      <c r="H10629" s="5">
        <f>MONTH(Tabela1[[#This Row],[data]])</f>
        <v>3</v>
      </c>
      <c r="I10629">
        <f>YEAR(Tabela1[[#This Row],[data]])</f>
        <v>2026</v>
      </c>
    </row>
    <row r="10630" spans="1:9" x14ac:dyDescent="0.25">
      <c r="A10630" t="s">
        <v>6</v>
      </c>
      <c r="B10630" s="1">
        <v>46100</v>
      </c>
      <c r="C10630">
        <v>21</v>
      </c>
      <c r="D10630">
        <v>763.56</v>
      </c>
      <c r="E10630">
        <v>177.66</v>
      </c>
      <c r="F10630" t="s">
        <v>7</v>
      </c>
      <c r="G10630" t="s">
        <v>11</v>
      </c>
      <c r="H10630" s="5">
        <f>MONTH(Tabela1[[#This Row],[data]])</f>
        <v>3</v>
      </c>
      <c r="I10630">
        <f>YEAR(Tabela1[[#This Row],[data]])</f>
        <v>2026</v>
      </c>
    </row>
    <row r="10631" spans="1:9" x14ac:dyDescent="0.25">
      <c r="A10631" t="s">
        <v>6</v>
      </c>
      <c r="B10631" s="1">
        <v>46100</v>
      </c>
      <c r="C10631">
        <v>22</v>
      </c>
      <c r="D10631">
        <v>696.36</v>
      </c>
      <c r="E10631">
        <v>136.5</v>
      </c>
      <c r="F10631" t="s">
        <v>7</v>
      </c>
      <c r="G10631" t="s">
        <v>11</v>
      </c>
      <c r="H10631" s="5">
        <f>MONTH(Tabela1[[#This Row],[data]])</f>
        <v>3</v>
      </c>
      <c r="I10631">
        <f>YEAR(Tabela1[[#This Row],[data]])</f>
        <v>2026</v>
      </c>
    </row>
    <row r="10632" spans="1:9" x14ac:dyDescent="0.25">
      <c r="A10632" t="s">
        <v>6</v>
      </c>
      <c r="B10632" s="1">
        <v>46100</v>
      </c>
      <c r="C10632">
        <v>23</v>
      </c>
      <c r="D10632">
        <v>402.78</v>
      </c>
      <c r="E10632">
        <v>13.44</v>
      </c>
      <c r="F10632" t="s">
        <v>7</v>
      </c>
      <c r="G10632" t="s">
        <v>11</v>
      </c>
      <c r="H10632" s="5">
        <f>MONTH(Tabela1[[#This Row],[data]])</f>
        <v>3</v>
      </c>
      <c r="I10632">
        <f>YEAR(Tabela1[[#This Row],[data]])</f>
        <v>2026</v>
      </c>
    </row>
    <row r="10633" spans="1:9" x14ac:dyDescent="0.25">
      <c r="A10633" t="s">
        <v>6</v>
      </c>
      <c r="B10633" s="1">
        <v>46100</v>
      </c>
      <c r="C10633">
        <v>24</v>
      </c>
      <c r="D10633">
        <v>263.76</v>
      </c>
      <c r="E10633">
        <v>0</v>
      </c>
      <c r="F10633" t="s">
        <v>7</v>
      </c>
      <c r="G10633" t="s">
        <v>11</v>
      </c>
      <c r="H10633" s="5">
        <f>MONTH(Tabela1[[#This Row],[data]])</f>
        <v>3</v>
      </c>
      <c r="I10633">
        <f>YEAR(Tabela1[[#This Row],[data]])</f>
        <v>2026</v>
      </c>
    </row>
    <row r="10634" spans="1:9" x14ac:dyDescent="0.25">
      <c r="A10634" t="s">
        <v>6</v>
      </c>
      <c r="B10634" s="1">
        <v>46101</v>
      </c>
      <c r="C10634">
        <v>1</v>
      </c>
      <c r="D10634">
        <v>225.96</v>
      </c>
      <c r="E10634">
        <v>0</v>
      </c>
      <c r="F10634" t="s">
        <v>7</v>
      </c>
      <c r="G10634" t="s">
        <v>11</v>
      </c>
      <c r="H10634" s="5">
        <f>MONTH(Tabela1[[#This Row],[data]])</f>
        <v>3</v>
      </c>
      <c r="I10634">
        <f>YEAR(Tabela1[[#This Row],[data]])</f>
        <v>2026</v>
      </c>
    </row>
    <row r="10635" spans="1:9" x14ac:dyDescent="0.25">
      <c r="A10635" t="s">
        <v>6</v>
      </c>
      <c r="B10635" s="1">
        <v>46101</v>
      </c>
      <c r="C10635">
        <v>2</v>
      </c>
      <c r="D10635">
        <v>224.28</v>
      </c>
      <c r="E10635">
        <v>0</v>
      </c>
      <c r="F10635" t="s">
        <v>7</v>
      </c>
      <c r="G10635" t="s">
        <v>11</v>
      </c>
      <c r="H10635" s="5">
        <f>MONTH(Tabela1[[#This Row],[data]])</f>
        <v>3</v>
      </c>
      <c r="I10635">
        <f>YEAR(Tabela1[[#This Row],[data]])</f>
        <v>2026</v>
      </c>
    </row>
    <row r="10636" spans="1:9" x14ac:dyDescent="0.25">
      <c r="A10636" t="s">
        <v>6</v>
      </c>
      <c r="B10636" s="1">
        <v>46101</v>
      </c>
      <c r="C10636">
        <v>3</v>
      </c>
      <c r="D10636">
        <v>217.14</v>
      </c>
      <c r="E10636">
        <v>0</v>
      </c>
      <c r="F10636" t="s">
        <v>7</v>
      </c>
      <c r="G10636" t="s">
        <v>11</v>
      </c>
      <c r="H10636" s="5">
        <f>MONTH(Tabela1[[#This Row],[data]])</f>
        <v>3</v>
      </c>
      <c r="I10636">
        <f>YEAR(Tabela1[[#This Row],[data]])</f>
        <v>2026</v>
      </c>
    </row>
    <row r="10637" spans="1:9" x14ac:dyDescent="0.25">
      <c r="A10637" t="s">
        <v>6</v>
      </c>
      <c r="B10637" s="1">
        <v>46101</v>
      </c>
      <c r="C10637">
        <v>4</v>
      </c>
      <c r="D10637">
        <v>219.66</v>
      </c>
      <c r="E10637">
        <v>0</v>
      </c>
      <c r="F10637" t="s">
        <v>7</v>
      </c>
      <c r="G10637" t="s">
        <v>11</v>
      </c>
      <c r="H10637" s="5">
        <f>MONTH(Tabela1[[#This Row],[data]])</f>
        <v>3</v>
      </c>
      <c r="I10637">
        <f>YEAR(Tabela1[[#This Row],[data]])</f>
        <v>2026</v>
      </c>
    </row>
    <row r="10638" spans="1:9" x14ac:dyDescent="0.25">
      <c r="A10638" t="s">
        <v>6</v>
      </c>
      <c r="B10638" s="1">
        <v>46101</v>
      </c>
      <c r="C10638">
        <v>5</v>
      </c>
      <c r="D10638">
        <v>220.92</v>
      </c>
      <c r="E10638">
        <v>0</v>
      </c>
      <c r="F10638" t="s">
        <v>7</v>
      </c>
      <c r="G10638" t="s">
        <v>11</v>
      </c>
      <c r="H10638" s="5">
        <f>MONTH(Tabela1[[#This Row],[data]])</f>
        <v>3</v>
      </c>
      <c r="I10638">
        <f>YEAR(Tabela1[[#This Row],[data]])</f>
        <v>2026</v>
      </c>
    </row>
    <row r="10639" spans="1:9" x14ac:dyDescent="0.25">
      <c r="A10639" t="s">
        <v>6</v>
      </c>
      <c r="B10639" s="1">
        <v>46101</v>
      </c>
      <c r="C10639">
        <v>6</v>
      </c>
      <c r="D10639">
        <v>216.72</v>
      </c>
      <c r="E10639">
        <v>0</v>
      </c>
      <c r="F10639" t="s">
        <v>7</v>
      </c>
      <c r="G10639" t="s">
        <v>11</v>
      </c>
      <c r="H10639" s="5">
        <f>MONTH(Tabela1[[#This Row],[data]])</f>
        <v>3</v>
      </c>
      <c r="I10639">
        <f>YEAR(Tabela1[[#This Row],[data]])</f>
        <v>2026</v>
      </c>
    </row>
    <row r="10640" spans="1:9" x14ac:dyDescent="0.25">
      <c r="A10640" t="s">
        <v>6</v>
      </c>
      <c r="B10640" s="1">
        <v>46101</v>
      </c>
      <c r="C10640">
        <v>7</v>
      </c>
      <c r="D10640">
        <v>205.8</v>
      </c>
      <c r="E10640">
        <v>0</v>
      </c>
      <c r="F10640" t="s">
        <v>7</v>
      </c>
      <c r="G10640" t="s">
        <v>11</v>
      </c>
      <c r="H10640" s="5">
        <f>MONTH(Tabela1[[#This Row],[data]])</f>
        <v>3</v>
      </c>
      <c r="I10640">
        <f>YEAR(Tabela1[[#This Row],[data]])</f>
        <v>2026</v>
      </c>
    </row>
    <row r="10641" spans="1:9" x14ac:dyDescent="0.25">
      <c r="A10641" t="s">
        <v>6</v>
      </c>
      <c r="B10641" s="1">
        <v>46101</v>
      </c>
      <c r="C10641">
        <v>8</v>
      </c>
      <c r="D10641">
        <v>230.16</v>
      </c>
      <c r="E10641">
        <v>0</v>
      </c>
      <c r="F10641" t="s">
        <v>7</v>
      </c>
      <c r="G10641" t="s">
        <v>11</v>
      </c>
      <c r="H10641" s="5">
        <f>MONTH(Tabela1[[#This Row],[data]])</f>
        <v>3</v>
      </c>
      <c r="I10641">
        <f>YEAR(Tabela1[[#This Row],[data]])</f>
        <v>2026</v>
      </c>
    </row>
    <row r="10642" spans="1:9" x14ac:dyDescent="0.25">
      <c r="A10642" t="s">
        <v>6</v>
      </c>
      <c r="B10642" s="1">
        <v>46101</v>
      </c>
      <c r="C10642">
        <v>9</v>
      </c>
      <c r="D10642">
        <v>347.76</v>
      </c>
      <c r="E10642">
        <v>2.1</v>
      </c>
      <c r="F10642" t="s">
        <v>7</v>
      </c>
      <c r="G10642" t="s">
        <v>11</v>
      </c>
      <c r="H10642" s="5">
        <f>MONTH(Tabela1[[#This Row],[data]])</f>
        <v>3</v>
      </c>
      <c r="I10642">
        <f>YEAR(Tabela1[[#This Row],[data]])</f>
        <v>2026</v>
      </c>
    </row>
    <row r="10643" spans="1:9" x14ac:dyDescent="0.25">
      <c r="A10643" t="s">
        <v>6</v>
      </c>
      <c r="B10643" s="1">
        <v>46101</v>
      </c>
      <c r="C10643">
        <v>10</v>
      </c>
      <c r="D10643">
        <v>524.58000000000004</v>
      </c>
      <c r="E10643">
        <v>60.48</v>
      </c>
      <c r="F10643" t="s">
        <v>7</v>
      </c>
      <c r="G10643" t="s">
        <v>11</v>
      </c>
      <c r="H10643" s="5">
        <f>MONTH(Tabela1[[#This Row],[data]])</f>
        <v>3</v>
      </c>
      <c r="I10643">
        <f>YEAR(Tabela1[[#This Row],[data]])</f>
        <v>2026</v>
      </c>
    </row>
    <row r="10644" spans="1:9" x14ac:dyDescent="0.25">
      <c r="A10644" t="s">
        <v>6</v>
      </c>
      <c r="B10644" s="1">
        <v>46101</v>
      </c>
      <c r="C10644">
        <v>11</v>
      </c>
      <c r="D10644">
        <v>821.52</v>
      </c>
      <c r="E10644">
        <v>183.54</v>
      </c>
      <c r="F10644" t="s">
        <v>7</v>
      </c>
      <c r="G10644" t="s">
        <v>11</v>
      </c>
      <c r="H10644" s="5">
        <f>MONTH(Tabela1[[#This Row],[data]])</f>
        <v>3</v>
      </c>
      <c r="I10644">
        <f>YEAR(Tabela1[[#This Row],[data]])</f>
        <v>2026</v>
      </c>
    </row>
    <row r="10645" spans="1:9" x14ac:dyDescent="0.25">
      <c r="A10645" t="s">
        <v>6</v>
      </c>
      <c r="B10645" s="1">
        <v>46101</v>
      </c>
      <c r="C10645">
        <v>12</v>
      </c>
      <c r="D10645">
        <v>828.24</v>
      </c>
      <c r="E10645">
        <v>193.62</v>
      </c>
      <c r="F10645" t="s">
        <v>7</v>
      </c>
      <c r="G10645" t="s">
        <v>11</v>
      </c>
      <c r="H10645" s="5">
        <f>MONTH(Tabela1[[#This Row],[data]])</f>
        <v>3</v>
      </c>
      <c r="I10645">
        <f>YEAR(Tabela1[[#This Row],[data]])</f>
        <v>2026</v>
      </c>
    </row>
    <row r="10646" spans="1:9" x14ac:dyDescent="0.25">
      <c r="A10646" t="s">
        <v>6</v>
      </c>
      <c r="B10646" s="1">
        <v>46101</v>
      </c>
      <c r="C10646">
        <v>13</v>
      </c>
      <c r="D10646">
        <v>834.12</v>
      </c>
      <c r="E10646">
        <v>204.54</v>
      </c>
      <c r="F10646" t="s">
        <v>7</v>
      </c>
      <c r="G10646" t="s">
        <v>11</v>
      </c>
      <c r="H10646" s="5">
        <f>MONTH(Tabela1[[#This Row],[data]])</f>
        <v>3</v>
      </c>
      <c r="I10646">
        <f>YEAR(Tabela1[[#This Row],[data]])</f>
        <v>2026</v>
      </c>
    </row>
    <row r="10647" spans="1:9" x14ac:dyDescent="0.25">
      <c r="A10647" t="s">
        <v>6</v>
      </c>
      <c r="B10647" s="1">
        <v>46101</v>
      </c>
      <c r="C10647">
        <v>14</v>
      </c>
      <c r="D10647">
        <v>844.2</v>
      </c>
      <c r="E10647">
        <v>189.42</v>
      </c>
      <c r="F10647" t="s">
        <v>7</v>
      </c>
      <c r="G10647" t="s">
        <v>11</v>
      </c>
      <c r="H10647" s="5">
        <f>MONTH(Tabela1[[#This Row],[data]])</f>
        <v>3</v>
      </c>
      <c r="I10647">
        <f>YEAR(Tabela1[[#This Row],[data]])</f>
        <v>2026</v>
      </c>
    </row>
    <row r="10648" spans="1:9" x14ac:dyDescent="0.25">
      <c r="A10648" t="s">
        <v>6</v>
      </c>
      <c r="B10648" s="1">
        <v>46101</v>
      </c>
      <c r="C10648">
        <v>15</v>
      </c>
      <c r="D10648">
        <v>828.66</v>
      </c>
      <c r="E10648">
        <v>180.6</v>
      </c>
      <c r="F10648" t="s">
        <v>7</v>
      </c>
      <c r="G10648" t="s">
        <v>11</v>
      </c>
      <c r="H10648" s="5">
        <f>MONTH(Tabela1[[#This Row],[data]])</f>
        <v>3</v>
      </c>
      <c r="I10648">
        <f>YEAR(Tabela1[[#This Row],[data]])</f>
        <v>2026</v>
      </c>
    </row>
    <row r="10649" spans="1:9" x14ac:dyDescent="0.25">
      <c r="A10649" t="s">
        <v>6</v>
      </c>
      <c r="B10649" s="1">
        <v>46101</v>
      </c>
      <c r="C10649">
        <v>16</v>
      </c>
      <c r="D10649">
        <v>876.54</v>
      </c>
      <c r="E10649">
        <v>215.46</v>
      </c>
      <c r="F10649" t="s">
        <v>7</v>
      </c>
      <c r="G10649" t="s">
        <v>11</v>
      </c>
      <c r="H10649" s="5">
        <f>MONTH(Tabela1[[#This Row],[data]])</f>
        <v>3</v>
      </c>
      <c r="I10649">
        <f>YEAR(Tabela1[[#This Row],[data]])</f>
        <v>2026</v>
      </c>
    </row>
    <row r="10650" spans="1:9" x14ac:dyDescent="0.25">
      <c r="A10650" t="s">
        <v>6</v>
      </c>
      <c r="B10650" s="1">
        <v>46101</v>
      </c>
      <c r="C10650">
        <v>17</v>
      </c>
      <c r="D10650">
        <v>863.94</v>
      </c>
      <c r="E10650">
        <v>195.72</v>
      </c>
      <c r="F10650" t="s">
        <v>7</v>
      </c>
      <c r="G10650" t="s">
        <v>11</v>
      </c>
      <c r="H10650" s="5">
        <f>MONTH(Tabela1[[#This Row],[data]])</f>
        <v>3</v>
      </c>
      <c r="I10650">
        <f>YEAR(Tabela1[[#This Row],[data]])</f>
        <v>2026</v>
      </c>
    </row>
    <row r="10651" spans="1:9" x14ac:dyDescent="0.25">
      <c r="A10651" t="s">
        <v>6</v>
      </c>
      <c r="B10651" s="1">
        <v>46101</v>
      </c>
      <c r="C10651">
        <v>18</v>
      </c>
      <c r="D10651">
        <v>852.6</v>
      </c>
      <c r="E10651">
        <v>198.66</v>
      </c>
      <c r="F10651" t="s">
        <v>7</v>
      </c>
      <c r="G10651" t="s">
        <v>11</v>
      </c>
      <c r="H10651" s="5">
        <f>MONTH(Tabela1[[#This Row],[data]])</f>
        <v>3</v>
      </c>
      <c r="I10651">
        <f>YEAR(Tabela1[[#This Row],[data]])</f>
        <v>2026</v>
      </c>
    </row>
    <row r="10652" spans="1:9" x14ac:dyDescent="0.25">
      <c r="A10652" t="s">
        <v>6</v>
      </c>
      <c r="B10652" s="1">
        <v>46101</v>
      </c>
      <c r="C10652">
        <v>19</v>
      </c>
      <c r="D10652">
        <v>813.12</v>
      </c>
      <c r="E10652">
        <v>171.78</v>
      </c>
      <c r="F10652" t="s">
        <v>7</v>
      </c>
      <c r="G10652" t="s">
        <v>11</v>
      </c>
      <c r="H10652" s="5">
        <f>MONTH(Tabela1[[#This Row],[data]])</f>
        <v>3</v>
      </c>
      <c r="I10652">
        <f>YEAR(Tabela1[[#This Row],[data]])</f>
        <v>2026</v>
      </c>
    </row>
    <row r="10653" spans="1:9" x14ac:dyDescent="0.25">
      <c r="A10653" t="s">
        <v>6</v>
      </c>
      <c r="B10653" s="1">
        <v>46101</v>
      </c>
      <c r="C10653">
        <v>20</v>
      </c>
      <c r="D10653">
        <v>786.66</v>
      </c>
      <c r="E10653">
        <v>157.91999999999999</v>
      </c>
      <c r="F10653" t="s">
        <v>7</v>
      </c>
      <c r="G10653" t="s">
        <v>11</v>
      </c>
      <c r="H10653" s="5">
        <f>MONTH(Tabela1[[#This Row],[data]])</f>
        <v>3</v>
      </c>
      <c r="I10653">
        <f>YEAR(Tabela1[[#This Row],[data]])</f>
        <v>2026</v>
      </c>
    </row>
    <row r="10654" spans="1:9" x14ac:dyDescent="0.25">
      <c r="A10654" t="s">
        <v>6</v>
      </c>
      <c r="B10654" s="1">
        <v>46101</v>
      </c>
      <c r="C10654">
        <v>21</v>
      </c>
      <c r="D10654">
        <v>788.34</v>
      </c>
      <c r="E10654">
        <v>170.94</v>
      </c>
      <c r="F10654" t="s">
        <v>7</v>
      </c>
      <c r="G10654" t="s">
        <v>11</v>
      </c>
      <c r="H10654" s="5">
        <f>MONTH(Tabela1[[#This Row],[data]])</f>
        <v>3</v>
      </c>
      <c r="I10654">
        <f>YEAR(Tabela1[[#This Row],[data]])</f>
        <v>2026</v>
      </c>
    </row>
    <row r="10655" spans="1:9" x14ac:dyDescent="0.25">
      <c r="A10655" t="s">
        <v>6</v>
      </c>
      <c r="B10655" s="1">
        <v>46101</v>
      </c>
      <c r="C10655">
        <v>22</v>
      </c>
      <c r="D10655">
        <v>757.68</v>
      </c>
      <c r="E10655">
        <v>155.82</v>
      </c>
      <c r="F10655" t="s">
        <v>7</v>
      </c>
      <c r="G10655" t="s">
        <v>11</v>
      </c>
      <c r="H10655" s="5">
        <f>MONTH(Tabela1[[#This Row],[data]])</f>
        <v>3</v>
      </c>
      <c r="I10655">
        <f>YEAR(Tabela1[[#This Row],[data]])</f>
        <v>2026</v>
      </c>
    </row>
    <row r="10656" spans="1:9" x14ac:dyDescent="0.25">
      <c r="A10656" t="s">
        <v>6</v>
      </c>
      <c r="B10656" s="1">
        <v>46101</v>
      </c>
      <c r="C10656">
        <v>23</v>
      </c>
      <c r="D10656">
        <v>408.66</v>
      </c>
      <c r="E10656">
        <v>13.86</v>
      </c>
      <c r="F10656" t="s">
        <v>7</v>
      </c>
      <c r="G10656" t="s">
        <v>11</v>
      </c>
      <c r="H10656" s="5">
        <f>MONTH(Tabela1[[#This Row],[data]])</f>
        <v>3</v>
      </c>
      <c r="I10656">
        <f>YEAR(Tabela1[[#This Row],[data]])</f>
        <v>2026</v>
      </c>
    </row>
    <row r="10657" spans="1:9" x14ac:dyDescent="0.25">
      <c r="A10657" t="s">
        <v>6</v>
      </c>
      <c r="B10657" s="1">
        <v>46101</v>
      </c>
      <c r="C10657">
        <v>24</v>
      </c>
      <c r="D10657">
        <v>267.54000000000002</v>
      </c>
      <c r="E10657">
        <v>0</v>
      </c>
      <c r="F10657" t="s">
        <v>7</v>
      </c>
      <c r="G10657" t="s">
        <v>11</v>
      </c>
      <c r="H10657" s="5">
        <f>MONTH(Tabela1[[#This Row],[data]])</f>
        <v>3</v>
      </c>
      <c r="I10657">
        <f>YEAR(Tabela1[[#This Row],[data]])</f>
        <v>2026</v>
      </c>
    </row>
    <row r="10658" spans="1:9" x14ac:dyDescent="0.25">
      <c r="A10658" t="s">
        <v>6</v>
      </c>
      <c r="B10658" s="1">
        <v>46102</v>
      </c>
      <c r="C10658">
        <v>1</v>
      </c>
      <c r="D10658">
        <v>231.84</v>
      </c>
      <c r="E10658">
        <v>0</v>
      </c>
      <c r="F10658" t="s">
        <v>7</v>
      </c>
      <c r="G10658" t="s">
        <v>11</v>
      </c>
      <c r="H10658" s="5">
        <f>MONTH(Tabela1[[#This Row],[data]])</f>
        <v>3</v>
      </c>
      <c r="I10658">
        <f>YEAR(Tabela1[[#This Row],[data]])</f>
        <v>2026</v>
      </c>
    </row>
    <row r="10659" spans="1:9" x14ac:dyDescent="0.25">
      <c r="A10659" t="s">
        <v>6</v>
      </c>
      <c r="B10659" s="1">
        <v>46102</v>
      </c>
      <c r="C10659">
        <v>2</v>
      </c>
      <c r="D10659">
        <v>220.92</v>
      </c>
      <c r="E10659">
        <v>0</v>
      </c>
      <c r="F10659" t="s">
        <v>7</v>
      </c>
      <c r="G10659" t="s">
        <v>11</v>
      </c>
      <c r="H10659" s="5">
        <f>MONTH(Tabela1[[#This Row],[data]])</f>
        <v>3</v>
      </c>
      <c r="I10659">
        <f>YEAR(Tabela1[[#This Row],[data]])</f>
        <v>2026</v>
      </c>
    </row>
    <row r="10660" spans="1:9" x14ac:dyDescent="0.25">
      <c r="A10660" t="s">
        <v>6</v>
      </c>
      <c r="B10660" s="1">
        <v>46102</v>
      </c>
      <c r="C10660">
        <v>3</v>
      </c>
      <c r="D10660">
        <v>221.76</v>
      </c>
      <c r="E10660">
        <v>0</v>
      </c>
      <c r="F10660" t="s">
        <v>7</v>
      </c>
      <c r="G10660" t="s">
        <v>11</v>
      </c>
      <c r="H10660" s="5">
        <f>MONTH(Tabela1[[#This Row],[data]])</f>
        <v>3</v>
      </c>
      <c r="I10660">
        <f>YEAR(Tabela1[[#This Row],[data]])</f>
        <v>2026</v>
      </c>
    </row>
    <row r="10661" spans="1:9" x14ac:dyDescent="0.25">
      <c r="A10661" t="s">
        <v>6</v>
      </c>
      <c r="B10661" s="1">
        <v>46102</v>
      </c>
      <c r="C10661">
        <v>4</v>
      </c>
      <c r="D10661">
        <v>222.6</v>
      </c>
      <c r="E10661">
        <v>0</v>
      </c>
      <c r="F10661" t="s">
        <v>7</v>
      </c>
      <c r="G10661" t="s">
        <v>11</v>
      </c>
      <c r="H10661" s="5">
        <f>MONTH(Tabela1[[#This Row],[data]])</f>
        <v>3</v>
      </c>
      <c r="I10661">
        <f>YEAR(Tabela1[[#This Row],[data]])</f>
        <v>2026</v>
      </c>
    </row>
    <row r="10662" spans="1:9" x14ac:dyDescent="0.25">
      <c r="A10662" t="s">
        <v>6</v>
      </c>
      <c r="B10662" s="1">
        <v>46102</v>
      </c>
      <c r="C10662">
        <v>5</v>
      </c>
      <c r="D10662">
        <v>228.9</v>
      </c>
      <c r="E10662">
        <v>0</v>
      </c>
      <c r="F10662" t="s">
        <v>7</v>
      </c>
      <c r="G10662" t="s">
        <v>11</v>
      </c>
      <c r="H10662" s="5">
        <f>MONTH(Tabela1[[#This Row],[data]])</f>
        <v>3</v>
      </c>
      <c r="I10662">
        <f>YEAR(Tabela1[[#This Row],[data]])</f>
        <v>2026</v>
      </c>
    </row>
    <row r="10663" spans="1:9" x14ac:dyDescent="0.25">
      <c r="A10663" t="s">
        <v>6</v>
      </c>
      <c r="B10663" s="1">
        <v>46102</v>
      </c>
      <c r="C10663">
        <v>6</v>
      </c>
      <c r="D10663">
        <v>222.6</v>
      </c>
      <c r="E10663">
        <v>0</v>
      </c>
      <c r="F10663" t="s">
        <v>7</v>
      </c>
      <c r="G10663" t="s">
        <v>11</v>
      </c>
      <c r="H10663" s="5">
        <f>MONTH(Tabela1[[#This Row],[data]])</f>
        <v>3</v>
      </c>
      <c r="I10663">
        <f>YEAR(Tabela1[[#This Row],[data]])</f>
        <v>2026</v>
      </c>
    </row>
    <row r="10664" spans="1:9" x14ac:dyDescent="0.25">
      <c r="A10664" t="s">
        <v>6</v>
      </c>
      <c r="B10664" s="1">
        <v>46102</v>
      </c>
      <c r="C10664">
        <v>7</v>
      </c>
      <c r="D10664">
        <v>214.2</v>
      </c>
      <c r="E10664">
        <v>0</v>
      </c>
      <c r="F10664" t="s">
        <v>7</v>
      </c>
      <c r="G10664" t="s">
        <v>11</v>
      </c>
      <c r="H10664" s="5">
        <f>MONTH(Tabela1[[#This Row],[data]])</f>
        <v>3</v>
      </c>
      <c r="I10664">
        <f>YEAR(Tabela1[[#This Row],[data]])</f>
        <v>2026</v>
      </c>
    </row>
    <row r="10665" spans="1:9" x14ac:dyDescent="0.25">
      <c r="A10665" t="s">
        <v>6</v>
      </c>
      <c r="B10665" s="1">
        <v>46102</v>
      </c>
      <c r="C10665">
        <v>8</v>
      </c>
      <c r="D10665">
        <v>226.38</v>
      </c>
      <c r="E10665">
        <v>0</v>
      </c>
      <c r="F10665" t="s">
        <v>7</v>
      </c>
      <c r="G10665" t="s">
        <v>11</v>
      </c>
      <c r="H10665" s="5">
        <f>MONTH(Tabela1[[#This Row],[data]])</f>
        <v>3</v>
      </c>
      <c r="I10665">
        <f>YEAR(Tabela1[[#This Row],[data]])</f>
        <v>2026</v>
      </c>
    </row>
    <row r="10666" spans="1:9" x14ac:dyDescent="0.25">
      <c r="A10666" t="s">
        <v>6</v>
      </c>
      <c r="B10666" s="1">
        <v>46102</v>
      </c>
      <c r="C10666">
        <v>9</v>
      </c>
      <c r="D10666">
        <v>298.62</v>
      </c>
      <c r="E10666">
        <v>0</v>
      </c>
      <c r="F10666" t="s">
        <v>7</v>
      </c>
      <c r="G10666" t="s">
        <v>11</v>
      </c>
      <c r="H10666" s="5">
        <f>MONTH(Tabela1[[#This Row],[data]])</f>
        <v>3</v>
      </c>
      <c r="I10666">
        <f>YEAR(Tabela1[[#This Row],[data]])</f>
        <v>2026</v>
      </c>
    </row>
    <row r="10667" spans="1:9" x14ac:dyDescent="0.25">
      <c r="A10667" t="s">
        <v>6</v>
      </c>
      <c r="B10667" s="1">
        <v>46102</v>
      </c>
      <c r="C10667">
        <v>10</v>
      </c>
      <c r="D10667">
        <v>413.28</v>
      </c>
      <c r="E10667">
        <v>10.08</v>
      </c>
      <c r="F10667" t="s">
        <v>7</v>
      </c>
      <c r="G10667" t="s">
        <v>11</v>
      </c>
      <c r="H10667" s="5">
        <f>MONTH(Tabela1[[#This Row],[data]])</f>
        <v>3</v>
      </c>
      <c r="I10667">
        <f>YEAR(Tabela1[[#This Row],[data]])</f>
        <v>2026</v>
      </c>
    </row>
    <row r="10668" spans="1:9" x14ac:dyDescent="0.25">
      <c r="A10668" t="s">
        <v>6</v>
      </c>
      <c r="B10668" s="1">
        <v>46102</v>
      </c>
      <c r="C10668">
        <v>11</v>
      </c>
      <c r="D10668">
        <v>632.52</v>
      </c>
      <c r="E10668">
        <v>85.68</v>
      </c>
      <c r="F10668" t="s">
        <v>7</v>
      </c>
      <c r="G10668" t="s">
        <v>11</v>
      </c>
      <c r="H10668" s="5">
        <f>MONTH(Tabela1[[#This Row],[data]])</f>
        <v>3</v>
      </c>
      <c r="I10668">
        <f>YEAR(Tabela1[[#This Row],[data]])</f>
        <v>2026</v>
      </c>
    </row>
    <row r="10669" spans="1:9" x14ac:dyDescent="0.25">
      <c r="A10669" t="s">
        <v>6</v>
      </c>
      <c r="B10669" s="1">
        <v>46102</v>
      </c>
      <c r="C10669">
        <v>12</v>
      </c>
      <c r="D10669">
        <v>927.36</v>
      </c>
      <c r="E10669">
        <v>219.24</v>
      </c>
      <c r="F10669" t="s">
        <v>7</v>
      </c>
      <c r="G10669" t="s">
        <v>11</v>
      </c>
      <c r="H10669" s="5">
        <f>MONTH(Tabela1[[#This Row],[data]])</f>
        <v>3</v>
      </c>
      <c r="I10669">
        <f>YEAR(Tabela1[[#This Row],[data]])</f>
        <v>2026</v>
      </c>
    </row>
    <row r="10670" spans="1:9" x14ac:dyDescent="0.25">
      <c r="A10670" t="s">
        <v>6</v>
      </c>
      <c r="B10670" s="1">
        <v>46102</v>
      </c>
      <c r="C10670">
        <v>13</v>
      </c>
      <c r="D10670">
        <v>914.76</v>
      </c>
      <c r="E10670">
        <v>214.2</v>
      </c>
      <c r="F10670" t="s">
        <v>7</v>
      </c>
      <c r="G10670" t="s">
        <v>11</v>
      </c>
      <c r="H10670" s="5">
        <f>MONTH(Tabela1[[#This Row],[data]])</f>
        <v>3</v>
      </c>
      <c r="I10670">
        <f>YEAR(Tabela1[[#This Row],[data]])</f>
        <v>2026</v>
      </c>
    </row>
    <row r="10671" spans="1:9" x14ac:dyDescent="0.25">
      <c r="A10671" t="s">
        <v>6</v>
      </c>
      <c r="B10671" s="1">
        <v>46102</v>
      </c>
      <c r="C10671">
        <v>14</v>
      </c>
      <c r="D10671">
        <v>921.06</v>
      </c>
      <c r="E10671">
        <v>221.76</v>
      </c>
      <c r="F10671" t="s">
        <v>7</v>
      </c>
      <c r="G10671" t="s">
        <v>11</v>
      </c>
      <c r="H10671" s="5">
        <f>MONTH(Tabela1[[#This Row],[data]])</f>
        <v>3</v>
      </c>
      <c r="I10671">
        <f>YEAR(Tabela1[[#This Row],[data]])</f>
        <v>2026</v>
      </c>
    </row>
    <row r="10672" spans="1:9" x14ac:dyDescent="0.25">
      <c r="A10672" t="s">
        <v>6</v>
      </c>
      <c r="B10672" s="1">
        <v>46102</v>
      </c>
      <c r="C10672">
        <v>15</v>
      </c>
      <c r="D10672">
        <v>907.62</v>
      </c>
      <c r="E10672">
        <v>211.68</v>
      </c>
      <c r="F10672" t="s">
        <v>7</v>
      </c>
      <c r="G10672" t="s">
        <v>11</v>
      </c>
      <c r="H10672" s="5">
        <f>MONTH(Tabela1[[#This Row],[data]])</f>
        <v>3</v>
      </c>
      <c r="I10672">
        <f>YEAR(Tabela1[[#This Row],[data]])</f>
        <v>2026</v>
      </c>
    </row>
    <row r="10673" spans="1:9" x14ac:dyDescent="0.25">
      <c r="A10673" t="s">
        <v>6</v>
      </c>
      <c r="B10673" s="1">
        <v>46102</v>
      </c>
      <c r="C10673">
        <v>16</v>
      </c>
      <c r="D10673">
        <v>904.26</v>
      </c>
      <c r="E10673">
        <v>212.52</v>
      </c>
      <c r="F10673" t="s">
        <v>7</v>
      </c>
      <c r="G10673" t="s">
        <v>11</v>
      </c>
      <c r="H10673" s="5">
        <f>MONTH(Tabela1[[#This Row],[data]])</f>
        <v>3</v>
      </c>
      <c r="I10673">
        <f>YEAR(Tabela1[[#This Row],[data]])</f>
        <v>2026</v>
      </c>
    </row>
    <row r="10674" spans="1:9" x14ac:dyDescent="0.25">
      <c r="A10674" t="s">
        <v>6</v>
      </c>
      <c r="B10674" s="1">
        <v>46102</v>
      </c>
      <c r="C10674">
        <v>17</v>
      </c>
      <c r="D10674" s="2">
        <v>1015.14</v>
      </c>
      <c r="E10674">
        <v>290.64</v>
      </c>
      <c r="F10674" t="s">
        <v>7</v>
      </c>
      <c r="G10674" t="s">
        <v>11</v>
      </c>
      <c r="H10674" s="5">
        <f>MONTH(Tabela1[[#This Row],[data]])</f>
        <v>3</v>
      </c>
      <c r="I10674">
        <f>YEAR(Tabela1[[#This Row],[data]])</f>
        <v>2026</v>
      </c>
    </row>
    <row r="10675" spans="1:9" x14ac:dyDescent="0.25">
      <c r="A10675" t="s">
        <v>6</v>
      </c>
      <c r="B10675" s="1">
        <v>46102</v>
      </c>
      <c r="C10675">
        <v>18</v>
      </c>
      <c r="D10675">
        <v>958.02</v>
      </c>
      <c r="E10675">
        <v>275.94</v>
      </c>
      <c r="F10675" t="s">
        <v>7</v>
      </c>
      <c r="G10675" t="s">
        <v>11</v>
      </c>
      <c r="H10675" s="5">
        <f>MONTH(Tabela1[[#This Row],[data]])</f>
        <v>3</v>
      </c>
      <c r="I10675">
        <f>YEAR(Tabela1[[#This Row],[data]])</f>
        <v>2026</v>
      </c>
    </row>
    <row r="10676" spans="1:9" x14ac:dyDescent="0.25">
      <c r="A10676" t="s">
        <v>6</v>
      </c>
      <c r="B10676" s="1">
        <v>46102</v>
      </c>
      <c r="C10676">
        <v>19</v>
      </c>
      <c r="D10676">
        <v>934.92</v>
      </c>
      <c r="E10676">
        <v>235.2</v>
      </c>
      <c r="F10676" t="s">
        <v>7</v>
      </c>
      <c r="G10676" t="s">
        <v>11</v>
      </c>
      <c r="H10676" s="5">
        <f>MONTH(Tabela1[[#This Row],[data]])</f>
        <v>3</v>
      </c>
      <c r="I10676">
        <f>YEAR(Tabela1[[#This Row],[data]])</f>
        <v>2026</v>
      </c>
    </row>
    <row r="10677" spans="1:9" x14ac:dyDescent="0.25">
      <c r="A10677" t="s">
        <v>6</v>
      </c>
      <c r="B10677" s="1">
        <v>46102</v>
      </c>
      <c r="C10677">
        <v>20</v>
      </c>
      <c r="D10677">
        <v>940.38</v>
      </c>
      <c r="E10677">
        <v>232.26</v>
      </c>
      <c r="F10677" t="s">
        <v>7</v>
      </c>
      <c r="G10677" t="s">
        <v>11</v>
      </c>
      <c r="H10677" s="5">
        <f>MONTH(Tabela1[[#This Row],[data]])</f>
        <v>3</v>
      </c>
      <c r="I10677">
        <f>YEAR(Tabela1[[#This Row],[data]])</f>
        <v>2026</v>
      </c>
    </row>
    <row r="10678" spans="1:9" x14ac:dyDescent="0.25">
      <c r="A10678" t="s">
        <v>6</v>
      </c>
      <c r="B10678" s="1">
        <v>46102</v>
      </c>
      <c r="C10678">
        <v>21</v>
      </c>
      <c r="D10678">
        <v>942.9</v>
      </c>
      <c r="E10678">
        <v>231.42</v>
      </c>
      <c r="F10678" t="s">
        <v>7</v>
      </c>
      <c r="G10678" t="s">
        <v>11</v>
      </c>
      <c r="H10678" s="5">
        <f>MONTH(Tabela1[[#This Row],[data]])</f>
        <v>3</v>
      </c>
      <c r="I10678">
        <f>YEAR(Tabela1[[#This Row],[data]])</f>
        <v>2026</v>
      </c>
    </row>
    <row r="10679" spans="1:9" x14ac:dyDescent="0.25">
      <c r="A10679" t="s">
        <v>6</v>
      </c>
      <c r="B10679" s="1">
        <v>46102</v>
      </c>
      <c r="C10679">
        <v>22</v>
      </c>
      <c r="D10679">
        <v>863.94</v>
      </c>
      <c r="E10679">
        <v>185.64</v>
      </c>
      <c r="F10679" t="s">
        <v>7</v>
      </c>
      <c r="G10679" t="s">
        <v>11</v>
      </c>
      <c r="H10679" s="5">
        <f>MONTH(Tabela1[[#This Row],[data]])</f>
        <v>3</v>
      </c>
      <c r="I10679">
        <f>YEAR(Tabela1[[#This Row],[data]])</f>
        <v>2026</v>
      </c>
    </row>
    <row r="10680" spans="1:9" x14ac:dyDescent="0.25">
      <c r="A10680" t="s">
        <v>6</v>
      </c>
      <c r="B10680" s="1">
        <v>46102</v>
      </c>
      <c r="C10680">
        <v>23</v>
      </c>
      <c r="D10680">
        <v>461.58</v>
      </c>
      <c r="E10680">
        <v>33.18</v>
      </c>
      <c r="F10680" t="s">
        <v>7</v>
      </c>
      <c r="G10680" t="s">
        <v>11</v>
      </c>
      <c r="H10680" s="5">
        <f>MONTH(Tabela1[[#This Row],[data]])</f>
        <v>3</v>
      </c>
      <c r="I10680">
        <f>YEAR(Tabela1[[#This Row],[data]])</f>
        <v>2026</v>
      </c>
    </row>
    <row r="10681" spans="1:9" x14ac:dyDescent="0.25">
      <c r="A10681" t="s">
        <v>6</v>
      </c>
      <c r="B10681" s="1">
        <v>46102</v>
      </c>
      <c r="C10681">
        <v>24</v>
      </c>
      <c r="D10681">
        <v>278.45999999999998</v>
      </c>
      <c r="E10681">
        <v>0</v>
      </c>
      <c r="F10681" t="s">
        <v>7</v>
      </c>
      <c r="G10681" t="s">
        <v>11</v>
      </c>
      <c r="H10681" s="5">
        <f>MONTH(Tabela1[[#This Row],[data]])</f>
        <v>3</v>
      </c>
      <c r="I10681">
        <f>YEAR(Tabela1[[#This Row],[data]])</f>
        <v>2026</v>
      </c>
    </row>
    <row r="10682" spans="1:9" x14ac:dyDescent="0.25">
      <c r="A10682" t="s">
        <v>6</v>
      </c>
      <c r="B10682" s="1">
        <v>46103</v>
      </c>
      <c r="C10682">
        <v>1</v>
      </c>
      <c r="D10682">
        <v>244.86</v>
      </c>
      <c r="E10682">
        <v>0</v>
      </c>
      <c r="F10682" t="s">
        <v>7</v>
      </c>
      <c r="G10682" t="s">
        <v>11</v>
      </c>
      <c r="H10682" s="5">
        <f>MONTH(Tabela1[[#This Row],[data]])</f>
        <v>3</v>
      </c>
      <c r="I10682">
        <f>YEAR(Tabela1[[#This Row],[data]])</f>
        <v>2026</v>
      </c>
    </row>
    <row r="10683" spans="1:9" x14ac:dyDescent="0.25">
      <c r="A10683" t="s">
        <v>6</v>
      </c>
      <c r="B10683" s="1">
        <v>46103</v>
      </c>
      <c r="C10683">
        <v>2</v>
      </c>
      <c r="D10683">
        <v>226.38</v>
      </c>
      <c r="E10683">
        <v>0</v>
      </c>
      <c r="F10683" t="s">
        <v>7</v>
      </c>
      <c r="G10683" t="s">
        <v>11</v>
      </c>
      <c r="H10683" s="5">
        <f>MONTH(Tabela1[[#This Row],[data]])</f>
        <v>3</v>
      </c>
      <c r="I10683">
        <f>YEAR(Tabela1[[#This Row],[data]])</f>
        <v>2026</v>
      </c>
    </row>
    <row r="10684" spans="1:9" x14ac:dyDescent="0.25">
      <c r="A10684" t="s">
        <v>6</v>
      </c>
      <c r="B10684" s="1">
        <v>46103</v>
      </c>
      <c r="C10684">
        <v>3</v>
      </c>
      <c r="D10684">
        <v>217.56</v>
      </c>
      <c r="E10684">
        <v>0</v>
      </c>
      <c r="F10684" t="s">
        <v>7</v>
      </c>
      <c r="G10684" t="s">
        <v>11</v>
      </c>
      <c r="H10684" s="5">
        <f>MONTH(Tabela1[[#This Row],[data]])</f>
        <v>3</v>
      </c>
      <c r="I10684">
        <f>YEAR(Tabela1[[#This Row],[data]])</f>
        <v>2026</v>
      </c>
    </row>
    <row r="10685" spans="1:9" x14ac:dyDescent="0.25">
      <c r="A10685" t="s">
        <v>6</v>
      </c>
      <c r="B10685" s="1">
        <v>46103</v>
      </c>
      <c r="C10685">
        <v>4</v>
      </c>
      <c r="D10685">
        <v>214.2</v>
      </c>
      <c r="E10685">
        <v>0</v>
      </c>
      <c r="F10685" t="s">
        <v>7</v>
      </c>
      <c r="G10685" t="s">
        <v>11</v>
      </c>
      <c r="H10685" s="5">
        <f>MONTH(Tabela1[[#This Row],[data]])</f>
        <v>3</v>
      </c>
      <c r="I10685">
        <f>YEAR(Tabela1[[#This Row],[data]])</f>
        <v>2026</v>
      </c>
    </row>
    <row r="10686" spans="1:9" x14ac:dyDescent="0.25">
      <c r="A10686" t="s">
        <v>6</v>
      </c>
      <c r="B10686" s="1">
        <v>46103</v>
      </c>
      <c r="C10686">
        <v>5</v>
      </c>
      <c r="D10686">
        <v>215.04</v>
      </c>
      <c r="E10686">
        <v>0</v>
      </c>
      <c r="F10686" t="s">
        <v>7</v>
      </c>
      <c r="G10686" t="s">
        <v>11</v>
      </c>
      <c r="H10686" s="5">
        <f>MONTH(Tabela1[[#This Row],[data]])</f>
        <v>3</v>
      </c>
      <c r="I10686">
        <f>YEAR(Tabela1[[#This Row],[data]])</f>
        <v>2026</v>
      </c>
    </row>
    <row r="10687" spans="1:9" x14ac:dyDescent="0.25">
      <c r="A10687" t="s">
        <v>6</v>
      </c>
      <c r="B10687" s="1">
        <v>46103</v>
      </c>
      <c r="C10687">
        <v>6</v>
      </c>
      <c r="D10687">
        <v>211.26</v>
      </c>
      <c r="E10687">
        <v>0</v>
      </c>
      <c r="F10687" t="s">
        <v>7</v>
      </c>
      <c r="G10687" t="s">
        <v>11</v>
      </c>
      <c r="H10687" s="5">
        <f>MONTH(Tabela1[[#This Row],[data]])</f>
        <v>3</v>
      </c>
      <c r="I10687">
        <f>YEAR(Tabela1[[#This Row],[data]])</f>
        <v>2026</v>
      </c>
    </row>
    <row r="10688" spans="1:9" x14ac:dyDescent="0.25">
      <c r="A10688" t="s">
        <v>6</v>
      </c>
      <c r="B10688" s="1">
        <v>46103</v>
      </c>
      <c r="C10688">
        <v>7</v>
      </c>
      <c r="D10688">
        <v>191.1</v>
      </c>
      <c r="E10688">
        <v>0</v>
      </c>
      <c r="F10688" t="s">
        <v>7</v>
      </c>
      <c r="G10688" t="s">
        <v>11</v>
      </c>
      <c r="H10688" s="5">
        <f>MONTH(Tabela1[[#This Row],[data]])</f>
        <v>3</v>
      </c>
      <c r="I10688">
        <f>YEAR(Tabela1[[#This Row],[data]])</f>
        <v>2026</v>
      </c>
    </row>
    <row r="10689" spans="1:9" x14ac:dyDescent="0.25">
      <c r="A10689" t="s">
        <v>6</v>
      </c>
      <c r="B10689" s="1">
        <v>46103</v>
      </c>
      <c r="C10689">
        <v>8</v>
      </c>
      <c r="D10689">
        <v>194.88</v>
      </c>
      <c r="E10689">
        <v>0</v>
      </c>
      <c r="F10689" t="s">
        <v>7</v>
      </c>
      <c r="G10689" t="s">
        <v>11</v>
      </c>
      <c r="H10689" s="5">
        <f>MONTH(Tabela1[[#This Row],[data]])</f>
        <v>3</v>
      </c>
      <c r="I10689">
        <f>YEAR(Tabela1[[#This Row],[data]])</f>
        <v>2026</v>
      </c>
    </row>
    <row r="10690" spans="1:9" x14ac:dyDescent="0.25">
      <c r="A10690" t="s">
        <v>6</v>
      </c>
      <c r="B10690" s="1">
        <v>46103</v>
      </c>
      <c r="C10690">
        <v>9</v>
      </c>
      <c r="D10690">
        <v>269.64</v>
      </c>
      <c r="E10690">
        <v>0</v>
      </c>
      <c r="F10690" t="s">
        <v>7</v>
      </c>
      <c r="G10690" t="s">
        <v>11</v>
      </c>
      <c r="H10690" s="5">
        <f>MONTH(Tabela1[[#This Row],[data]])</f>
        <v>3</v>
      </c>
      <c r="I10690">
        <f>YEAR(Tabela1[[#This Row],[data]])</f>
        <v>2026</v>
      </c>
    </row>
    <row r="10691" spans="1:9" x14ac:dyDescent="0.25">
      <c r="A10691" t="s">
        <v>6</v>
      </c>
      <c r="B10691" s="1">
        <v>46103</v>
      </c>
      <c r="C10691">
        <v>10</v>
      </c>
      <c r="D10691">
        <v>307.02</v>
      </c>
      <c r="E10691">
        <v>0</v>
      </c>
      <c r="F10691" t="s">
        <v>7</v>
      </c>
      <c r="G10691" t="s">
        <v>11</v>
      </c>
      <c r="H10691" s="5">
        <f>MONTH(Tabela1[[#This Row],[data]])</f>
        <v>3</v>
      </c>
      <c r="I10691">
        <f>YEAR(Tabela1[[#This Row],[data]])</f>
        <v>2026</v>
      </c>
    </row>
    <row r="10692" spans="1:9" x14ac:dyDescent="0.25">
      <c r="A10692" t="s">
        <v>6</v>
      </c>
      <c r="B10692" s="1">
        <v>46103</v>
      </c>
      <c r="C10692">
        <v>11</v>
      </c>
      <c r="D10692">
        <v>442.26</v>
      </c>
      <c r="E10692">
        <v>32.76</v>
      </c>
      <c r="F10692" t="s">
        <v>7</v>
      </c>
      <c r="G10692" t="s">
        <v>11</v>
      </c>
      <c r="H10692" s="5">
        <f>MONTH(Tabela1[[#This Row],[data]])</f>
        <v>3</v>
      </c>
      <c r="I10692">
        <f>YEAR(Tabela1[[#This Row],[data]])</f>
        <v>2026</v>
      </c>
    </row>
    <row r="10693" spans="1:9" x14ac:dyDescent="0.25">
      <c r="A10693" t="s">
        <v>6</v>
      </c>
      <c r="B10693" s="1">
        <v>46103</v>
      </c>
      <c r="C10693">
        <v>12</v>
      </c>
      <c r="D10693">
        <v>740.46</v>
      </c>
      <c r="E10693">
        <v>156.24</v>
      </c>
      <c r="F10693" t="s">
        <v>7</v>
      </c>
      <c r="G10693" t="s">
        <v>11</v>
      </c>
      <c r="H10693" s="5">
        <f>MONTH(Tabela1[[#This Row],[data]])</f>
        <v>3</v>
      </c>
      <c r="I10693">
        <f>YEAR(Tabela1[[#This Row],[data]])</f>
        <v>2026</v>
      </c>
    </row>
    <row r="10694" spans="1:9" x14ac:dyDescent="0.25">
      <c r="A10694" t="s">
        <v>6</v>
      </c>
      <c r="B10694" s="1">
        <v>46103</v>
      </c>
      <c r="C10694">
        <v>13</v>
      </c>
      <c r="D10694">
        <v>749.28</v>
      </c>
      <c r="E10694">
        <v>152.04</v>
      </c>
      <c r="F10694" t="s">
        <v>7</v>
      </c>
      <c r="G10694" t="s">
        <v>11</v>
      </c>
      <c r="H10694" s="5">
        <f>MONTH(Tabela1[[#This Row],[data]])</f>
        <v>3</v>
      </c>
      <c r="I10694">
        <f>YEAR(Tabela1[[#This Row],[data]])</f>
        <v>2026</v>
      </c>
    </row>
    <row r="10695" spans="1:9" x14ac:dyDescent="0.25">
      <c r="A10695" t="s">
        <v>6</v>
      </c>
      <c r="B10695" s="1">
        <v>46103</v>
      </c>
      <c r="C10695">
        <v>14</v>
      </c>
      <c r="D10695">
        <v>785.4</v>
      </c>
      <c r="E10695">
        <v>158.76</v>
      </c>
      <c r="F10695" t="s">
        <v>7</v>
      </c>
      <c r="G10695" t="s">
        <v>11</v>
      </c>
      <c r="H10695" s="5">
        <f>MONTH(Tabela1[[#This Row],[data]])</f>
        <v>3</v>
      </c>
      <c r="I10695">
        <f>YEAR(Tabela1[[#This Row],[data]])</f>
        <v>2026</v>
      </c>
    </row>
    <row r="10696" spans="1:9" x14ac:dyDescent="0.25">
      <c r="A10696" t="s">
        <v>6</v>
      </c>
      <c r="B10696" s="1">
        <v>46103</v>
      </c>
      <c r="C10696">
        <v>15</v>
      </c>
      <c r="D10696">
        <v>837.06</v>
      </c>
      <c r="E10696">
        <v>181.02</v>
      </c>
      <c r="F10696" t="s">
        <v>7</v>
      </c>
      <c r="G10696" t="s">
        <v>11</v>
      </c>
      <c r="H10696" s="5">
        <f>MONTH(Tabela1[[#This Row],[data]])</f>
        <v>3</v>
      </c>
      <c r="I10696">
        <f>YEAR(Tabela1[[#This Row],[data]])</f>
        <v>2026</v>
      </c>
    </row>
    <row r="10697" spans="1:9" x14ac:dyDescent="0.25">
      <c r="A10697" t="s">
        <v>6</v>
      </c>
      <c r="B10697" s="1">
        <v>46103</v>
      </c>
      <c r="C10697">
        <v>16</v>
      </c>
      <c r="D10697">
        <v>850.92</v>
      </c>
      <c r="E10697">
        <v>185.22</v>
      </c>
      <c r="F10697" t="s">
        <v>7</v>
      </c>
      <c r="G10697" t="s">
        <v>11</v>
      </c>
      <c r="H10697" s="5">
        <f>MONTH(Tabela1[[#This Row],[data]])</f>
        <v>3</v>
      </c>
      <c r="I10697">
        <f>YEAR(Tabela1[[#This Row],[data]])</f>
        <v>2026</v>
      </c>
    </row>
    <row r="10698" spans="1:9" x14ac:dyDescent="0.25">
      <c r="A10698" t="s">
        <v>6</v>
      </c>
      <c r="B10698" s="1">
        <v>46103</v>
      </c>
      <c r="C10698">
        <v>17</v>
      </c>
      <c r="D10698">
        <v>837.9</v>
      </c>
      <c r="E10698">
        <v>182.7</v>
      </c>
      <c r="F10698" t="s">
        <v>7</v>
      </c>
      <c r="G10698" t="s">
        <v>11</v>
      </c>
      <c r="H10698" s="5">
        <f>MONTH(Tabela1[[#This Row],[data]])</f>
        <v>3</v>
      </c>
      <c r="I10698">
        <f>YEAR(Tabela1[[#This Row],[data]])</f>
        <v>2026</v>
      </c>
    </row>
    <row r="10699" spans="1:9" x14ac:dyDescent="0.25">
      <c r="A10699" t="s">
        <v>6</v>
      </c>
      <c r="B10699" s="1">
        <v>46103</v>
      </c>
      <c r="C10699">
        <v>18</v>
      </c>
      <c r="D10699">
        <v>829.92</v>
      </c>
      <c r="E10699">
        <v>182.28</v>
      </c>
      <c r="F10699" t="s">
        <v>7</v>
      </c>
      <c r="G10699" t="s">
        <v>11</v>
      </c>
      <c r="H10699" s="5">
        <f>MONTH(Tabela1[[#This Row],[data]])</f>
        <v>3</v>
      </c>
      <c r="I10699">
        <f>YEAR(Tabela1[[#This Row],[data]])</f>
        <v>2026</v>
      </c>
    </row>
    <row r="10700" spans="1:9" x14ac:dyDescent="0.25">
      <c r="A10700" t="s">
        <v>6</v>
      </c>
      <c r="B10700" s="1">
        <v>46103</v>
      </c>
      <c r="C10700">
        <v>19</v>
      </c>
      <c r="D10700">
        <v>828.66</v>
      </c>
      <c r="E10700">
        <v>177.66</v>
      </c>
      <c r="F10700" t="s">
        <v>7</v>
      </c>
      <c r="G10700" t="s">
        <v>11</v>
      </c>
      <c r="H10700" s="5">
        <f>MONTH(Tabela1[[#This Row],[data]])</f>
        <v>3</v>
      </c>
      <c r="I10700">
        <f>YEAR(Tabela1[[#This Row],[data]])</f>
        <v>2026</v>
      </c>
    </row>
    <row r="10701" spans="1:9" x14ac:dyDescent="0.25">
      <c r="A10701" t="s">
        <v>6</v>
      </c>
      <c r="B10701" s="1">
        <v>46103</v>
      </c>
      <c r="C10701">
        <v>20</v>
      </c>
      <c r="D10701">
        <v>814.8</v>
      </c>
      <c r="E10701">
        <v>170.52</v>
      </c>
      <c r="F10701" t="s">
        <v>7</v>
      </c>
      <c r="G10701" t="s">
        <v>11</v>
      </c>
      <c r="H10701" s="5">
        <f>MONTH(Tabela1[[#This Row],[data]])</f>
        <v>3</v>
      </c>
      <c r="I10701">
        <f>YEAR(Tabela1[[#This Row],[data]])</f>
        <v>2026</v>
      </c>
    </row>
    <row r="10702" spans="1:9" x14ac:dyDescent="0.25">
      <c r="A10702" t="s">
        <v>6</v>
      </c>
      <c r="B10702" s="1">
        <v>46103</v>
      </c>
      <c r="C10702">
        <v>21</v>
      </c>
      <c r="D10702">
        <v>748.86</v>
      </c>
      <c r="E10702">
        <v>172.62</v>
      </c>
      <c r="F10702" t="s">
        <v>7</v>
      </c>
      <c r="G10702" t="s">
        <v>11</v>
      </c>
      <c r="H10702" s="5">
        <f>MONTH(Tabela1[[#This Row],[data]])</f>
        <v>3</v>
      </c>
      <c r="I10702">
        <f>YEAR(Tabela1[[#This Row],[data]])</f>
        <v>2026</v>
      </c>
    </row>
    <row r="10703" spans="1:9" x14ac:dyDescent="0.25">
      <c r="A10703" t="s">
        <v>6</v>
      </c>
      <c r="B10703" s="1">
        <v>46103</v>
      </c>
      <c r="C10703">
        <v>22</v>
      </c>
      <c r="D10703">
        <v>614.88</v>
      </c>
      <c r="E10703">
        <v>130.19999999999999</v>
      </c>
      <c r="F10703" t="s">
        <v>7</v>
      </c>
      <c r="G10703" t="s">
        <v>11</v>
      </c>
      <c r="H10703" s="5">
        <f>MONTH(Tabela1[[#This Row],[data]])</f>
        <v>3</v>
      </c>
      <c r="I10703">
        <f>YEAR(Tabela1[[#This Row],[data]])</f>
        <v>2026</v>
      </c>
    </row>
    <row r="10704" spans="1:9" x14ac:dyDescent="0.25">
      <c r="A10704" t="s">
        <v>6</v>
      </c>
      <c r="B10704" s="1">
        <v>46103</v>
      </c>
      <c r="C10704">
        <v>23</v>
      </c>
      <c r="D10704">
        <v>338.1</v>
      </c>
      <c r="E10704">
        <v>8.82</v>
      </c>
      <c r="F10704" t="s">
        <v>7</v>
      </c>
      <c r="G10704" t="s">
        <v>11</v>
      </c>
      <c r="H10704" s="5">
        <f>MONTH(Tabela1[[#This Row],[data]])</f>
        <v>3</v>
      </c>
      <c r="I10704">
        <f>YEAR(Tabela1[[#This Row],[data]])</f>
        <v>2026</v>
      </c>
    </row>
    <row r="10705" spans="1:9" x14ac:dyDescent="0.25">
      <c r="A10705" t="s">
        <v>6</v>
      </c>
      <c r="B10705" s="1">
        <v>46103</v>
      </c>
      <c r="C10705">
        <v>24</v>
      </c>
      <c r="D10705">
        <v>249.06</v>
      </c>
      <c r="E10705">
        <v>0</v>
      </c>
      <c r="F10705" t="s">
        <v>7</v>
      </c>
      <c r="G10705" t="s">
        <v>11</v>
      </c>
      <c r="H10705" s="5">
        <f>MONTH(Tabela1[[#This Row],[data]])</f>
        <v>3</v>
      </c>
      <c r="I10705">
        <f>YEAR(Tabela1[[#This Row],[data]])</f>
        <v>2026</v>
      </c>
    </row>
    <row r="10706" spans="1:9" x14ac:dyDescent="0.25">
      <c r="A10706" t="s">
        <v>6</v>
      </c>
      <c r="B10706" s="1">
        <v>46104</v>
      </c>
      <c r="C10706">
        <v>1</v>
      </c>
      <c r="D10706">
        <v>223.02</v>
      </c>
      <c r="E10706">
        <v>0</v>
      </c>
      <c r="F10706" t="s">
        <v>7</v>
      </c>
      <c r="G10706" t="s">
        <v>11</v>
      </c>
      <c r="H10706" s="5">
        <f>MONTH(Tabela1[[#This Row],[data]])</f>
        <v>3</v>
      </c>
      <c r="I10706">
        <f>YEAR(Tabela1[[#This Row],[data]])</f>
        <v>2026</v>
      </c>
    </row>
    <row r="10707" spans="1:9" x14ac:dyDescent="0.25">
      <c r="A10707" t="s">
        <v>6</v>
      </c>
      <c r="B10707" s="1">
        <v>46104</v>
      </c>
      <c r="C10707">
        <v>2</v>
      </c>
      <c r="D10707">
        <v>222.6</v>
      </c>
      <c r="E10707">
        <v>0</v>
      </c>
      <c r="F10707" t="s">
        <v>7</v>
      </c>
      <c r="G10707" t="s">
        <v>11</v>
      </c>
      <c r="H10707" s="5">
        <f>MONTH(Tabela1[[#This Row],[data]])</f>
        <v>3</v>
      </c>
      <c r="I10707">
        <f>YEAR(Tabela1[[#This Row],[data]])</f>
        <v>2026</v>
      </c>
    </row>
    <row r="10708" spans="1:9" x14ac:dyDescent="0.25">
      <c r="A10708" t="s">
        <v>6</v>
      </c>
      <c r="B10708" s="1">
        <v>46104</v>
      </c>
      <c r="C10708">
        <v>3</v>
      </c>
      <c r="D10708">
        <v>218.4</v>
      </c>
      <c r="E10708">
        <v>0</v>
      </c>
      <c r="F10708" t="s">
        <v>7</v>
      </c>
      <c r="G10708" t="s">
        <v>11</v>
      </c>
      <c r="H10708" s="5">
        <f>MONTH(Tabela1[[#This Row],[data]])</f>
        <v>3</v>
      </c>
      <c r="I10708">
        <f>YEAR(Tabela1[[#This Row],[data]])</f>
        <v>2026</v>
      </c>
    </row>
    <row r="10709" spans="1:9" x14ac:dyDescent="0.25">
      <c r="A10709" t="s">
        <v>6</v>
      </c>
      <c r="B10709" s="1">
        <v>46104</v>
      </c>
      <c r="C10709">
        <v>4</v>
      </c>
      <c r="D10709">
        <v>216.72</v>
      </c>
      <c r="E10709">
        <v>0</v>
      </c>
      <c r="F10709" t="s">
        <v>7</v>
      </c>
      <c r="G10709" t="s">
        <v>11</v>
      </c>
      <c r="H10709" s="5">
        <f>MONTH(Tabela1[[#This Row],[data]])</f>
        <v>3</v>
      </c>
      <c r="I10709">
        <f>YEAR(Tabela1[[#This Row],[data]])</f>
        <v>2026</v>
      </c>
    </row>
    <row r="10710" spans="1:9" x14ac:dyDescent="0.25">
      <c r="A10710" t="s">
        <v>6</v>
      </c>
      <c r="B10710" s="1">
        <v>46104</v>
      </c>
      <c r="C10710">
        <v>5</v>
      </c>
      <c r="D10710">
        <v>224.7</v>
      </c>
      <c r="E10710">
        <v>0</v>
      </c>
      <c r="F10710" t="s">
        <v>7</v>
      </c>
      <c r="G10710" t="s">
        <v>11</v>
      </c>
      <c r="H10710" s="5">
        <f>MONTH(Tabela1[[#This Row],[data]])</f>
        <v>3</v>
      </c>
      <c r="I10710">
        <f>YEAR(Tabela1[[#This Row],[data]])</f>
        <v>2026</v>
      </c>
    </row>
    <row r="10711" spans="1:9" x14ac:dyDescent="0.25">
      <c r="A10711" t="s">
        <v>6</v>
      </c>
      <c r="B10711" s="1">
        <v>46104</v>
      </c>
      <c r="C10711">
        <v>6</v>
      </c>
      <c r="D10711">
        <v>220.08</v>
      </c>
      <c r="E10711">
        <v>0</v>
      </c>
      <c r="F10711" t="s">
        <v>7</v>
      </c>
      <c r="G10711" t="s">
        <v>11</v>
      </c>
      <c r="H10711" s="5">
        <f>MONTH(Tabela1[[#This Row],[data]])</f>
        <v>3</v>
      </c>
      <c r="I10711">
        <f>YEAR(Tabela1[[#This Row],[data]])</f>
        <v>2026</v>
      </c>
    </row>
    <row r="10712" spans="1:9" x14ac:dyDescent="0.25">
      <c r="A10712" t="s">
        <v>6</v>
      </c>
      <c r="B10712" s="1">
        <v>46104</v>
      </c>
      <c r="C10712">
        <v>7</v>
      </c>
      <c r="D10712">
        <v>238.56</v>
      </c>
      <c r="E10712">
        <v>0</v>
      </c>
      <c r="F10712" t="s">
        <v>7</v>
      </c>
      <c r="G10712" t="s">
        <v>11</v>
      </c>
      <c r="H10712" s="5">
        <f>MONTH(Tabela1[[#This Row],[data]])</f>
        <v>3</v>
      </c>
      <c r="I10712">
        <f>YEAR(Tabela1[[#This Row],[data]])</f>
        <v>2026</v>
      </c>
    </row>
    <row r="10713" spans="1:9" x14ac:dyDescent="0.25">
      <c r="A10713" t="s">
        <v>6</v>
      </c>
      <c r="B10713" s="1">
        <v>46104</v>
      </c>
      <c r="C10713">
        <v>8</v>
      </c>
      <c r="D10713">
        <v>252.42</v>
      </c>
      <c r="E10713">
        <v>0</v>
      </c>
      <c r="F10713" t="s">
        <v>7</v>
      </c>
      <c r="G10713" t="s">
        <v>11</v>
      </c>
      <c r="H10713" s="5">
        <f>MONTH(Tabela1[[#This Row],[data]])</f>
        <v>3</v>
      </c>
      <c r="I10713">
        <f>YEAR(Tabela1[[#This Row],[data]])</f>
        <v>2026</v>
      </c>
    </row>
    <row r="10714" spans="1:9" x14ac:dyDescent="0.25">
      <c r="A10714" t="s">
        <v>6</v>
      </c>
      <c r="B10714" s="1">
        <v>46104</v>
      </c>
      <c r="C10714">
        <v>9</v>
      </c>
      <c r="D10714">
        <v>344.82</v>
      </c>
      <c r="E10714">
        <v>0</v>
      </c>
      <c r="F10714" t="s">
        <v>7</v>
      </c>
      <c r="G10714" t="s">
        <v>11</v>
      </c>
      <c r="H10714" s="5">
        <f>MONTH(Tabela1[[#This Row],[data]])</f>
        <v>3</v>
      </c>
      <c r="I10714">
        <f>YEAR(Tabela1[[#This Row],[data]])</f>
        <v>2026</v>
      </c>
    </row>
    <row r="10715" spans="1:9" x14ac:dyDescent="0.25">
      <c r="A10715" t="s">
        <v>6</v>
      </c>
      <c r="B10715" s="1">
        <v>46104</v>
      </c>
      <c r="C10715">
        <v>10</v>
      </c>
      <c r="D10715">
        <v>446.88</v>
      </c>
      <c r="E10715">
        <v>18.059999999999999</v>
      </c>
      <c r="F10715" t="s">
        <v>7</v>
      </c>
      <c r="G10715" t="s">
        <v>11</v>
      </c>
      <c r="H10715" s="5">
        <f>MONTH(Tabela1[[#This Row],[data]])</f>
        <v>3</v>
      </c>
      <c r="I10715">
        <f>YEAR(Tabela1[[#This Row],[data]])</f>
        <v>2026</v>
      </c>
    </row>
    <row r="10716" spans="1:9" x14ac:dyDescent="0.25">
      <c r="A10716" t="s">
        <v>6</v>
      </c>
      <c r="B10716" s="1">
        <v>46104</v>
      </c>
      <c r="C10716">
        <v>11</v>
      </c>
      <c r="D10716">
        <v>839.58</v>
      </c>
      <c r="E10716">
        <v>183.12</v>
      </c>
      <c r="F10716" t="s">
        <v>7</v>
      </c>
      <c r="G10716" t="s">
        <v>11</v>
      </c>
      <c r="H10716" s="5">
        <f>MONTH(Tabela1[[#This Row],[data]])</f>
        <v>3</v>
      </c>
      <c r="I10716">
        <f>YEAR(Tabela1[[#This Row],[data]])</f>
        <v>2026</v>
      </c>
    </row>
    <row r="10717" spans="1:9" x14ac:dyDescent="0.25">
      <c r="A10717" t="s">
        <v>6</v>
      </c>
      <c r="B10717" s="1">
        <v>46104</v>
      </c>
      <c r="C10717">
        <v>12</v>
      </c>
      <c r="D10717">
        <v>851.76</v>
      </c>
      <c r="E10717">
        <v>188.58</v>
      </c>
      <c r="F10717" t="s">
        <v>7</v>
      </c>
      <c r="G10717" t="s">
        <v>11</v>
      </c>
      <c r="H10717" s="5">
        <f>MONTH(Tabela1[[#This Row],[data]])</f>
        <v>3</v>
      </c>
      <c r="I10717">
        <f>YEAR(Tabela1[[#This Row],[data]])</f>
        <v>2026</v>
      </c>
    </row>
    <row r="10718" spans="1:9" x14ac:dyDescent="0.25">
      <c r="A10718" t="s">
        <v>6</v>
      </c>
      <c r="B10718" s="1">
        <v>46104</v>
      </c>
      <c r="C10718">
        <v>13</v>
      </c>
      <c r="D10718">
        <v>848.82</v>
      </c>
      <c r="E10718">
        <v>205.38</v>
      </c>
      <c r="F10718" t="s">
        <v>7</v>
      </c>
      <c r="G10718" t="s">
        <v>11</v>
      </c>
      <c r="H10718" s="5">
        <f>MONTH(Tabela1[[#This Row],[data]])</f>
        <v>3</v>
      </c>
      <c r="I10718">
        <f>YEAR(Tabela1[[#This Row],[data]])</f>
        <v>2026</v>
      </c>
    </row>
    <row r="10719" spans="1:9" x14ac:dyDescent="0.25">
      <c r="A10719" t="s">
        <v>6</v>
      </c>
      <c r="B10719" s="1">
        <v>46104</v>
      </c>
      <c r="C10719">
        <v>14</v>
      </c>
      <c r="D10719">
        <v>842.52</v>
      </c>
      <c r="E10719">
        <v>173.88</v>
      </c>
      <c r="F10719" t="s">
        <v>7</v>
      </c>
      <c r="G10719" t="s">
        <v>11</v>
      </c>
      <c r="H10719" s="5">
        <f>MONTH(Tabela1[[#This Row],[data]])</f>
        <v>3</v>
      </c>
      <c r="I10719">
        <f>YEAR(Tabela1[[#This Row],[data]])</f>
        <v>2026</v>
      </c>
    </row>
    <row r="10720" spans="1:9" x14ac:dyDescent="0.25">
      <c r="A10720" t="s">
        <v>6</v>
      </c>
      <c r="B10720" s="1">
        <v>46104</v>
      </c>
      <c r="C10720">
        <v>15</v>
      </c>
      <c r="D10720">
        <v>878.22</v>
      </c>
      <c r="E10720">
        <v>191.52</v>
      </c>
      <c r="F10720" t="s">
        <v>7</v>
      </c>
      <c r="G10720" t="s">
        <v>11</v>
      </c>
      <c r="H10720" s="5">
        <f>MONTH(Tabela1[[#This Row],[data]])</f>
        <v>3</v>
      </c>
      <c r="I10720">
        <f>YEAR(Tabela1[[#This Row],[data]])</f>
        <v>2026</v>
      </c>
    </row>
    <row r="10721" spans="1:9" x14ac:dyDescent="0.25">
      <c r="A10721" t="s">
        <v>6</v>
      </c>
      <c r="B10721" s="1">
        <v>46104</v>
      </c>
      <c r="C10721">
        <v>16</v>
      </c>
      <c r="D10721">
        <v>865.2</v>
      </c>
      <c r="E10721">
        <v>211.26</v>
      </c>
      <c r="F10721" t="s">
        <v>7</v>
      </c>
      <c r="G10721" t="s">
        <v>11</v>
      </c>
      <c r="H10721" s="5">
        <f>MONTH(Tabela1[[#This Row],[data]])</f>
        <v>3</v>
      </c>
      <c r="I10721">
        <f>YEAR(Tabela1[[#This Row],[data]])</f>
        <v>2026</v>
      </c>
    </row>
    <row r="10722" spans="1:9" x14ac:dyDescent="0.25">
      <c r="A10722" t="s">
        <v>6</v>
      </c>
      <c r="B10722" s="1">
        <v>46104</v>
      </c>
      <c r="C10722">
        <v>17</v>
      </c>
      <c r="D10722">
        <v>877.38</v>
      </c>
      <c r="E10722">
        <v>223.44</v>
      </c>
      <c r="F10722" t="s">
        <v>7</v>
      </c>
      <c r="G10722" t="s">
        <v>11</v>
      </c>
      <c r="H10722" s="5">
        <f>MONTH(Tabela1[[#This Row],[data]])</f>
        <v>3</v>
      </c>
      <c r="I10722">
        <f>YEAR(Tabela1[[#This Row],[data]])</f>
        <v>2026</v>
      </c>
    </row>
    <row r="10723" spans="1:9" x14ac:dyDescent="0.25">
      <c r="A10723" t="s">
        <v>6</v>
      </c>
      <c r="B10723" s="1">
        <v>46104</v>
      </c>
      <c r="C10723">
        <v>18</v>
      </c>
      <c r="D10723">
        <v>855.12</v>
      </c>
      <c r="E10723">
        <v>200.76</v>
      </c>
      <c r="F10723" t="s">
        <v>7</v>
      </c>
      <c r="G10723" t="s">
        <v>11</v>
      </c>
      <c r="H10723" s="5">
        <f>MONTH(Tabela1[[#This Row],[data]])</f>
        <v>3</v>
      </c>
      <c r="I10723">
        <f>YEAR(Tabela1[[#This Row],[data]])</f>
        <v>2026</v>
      </c>
    </row>
    <row r="10724" spans="1:9" x14ac:dyDescent="0.25">
      <c r="A10724" t="s">
        <v>6</v>
      </c>
      <c r="B10724" s="1">
        <v>46104</v>
      </c>
      <c r="C10724">
        <v>19</v>
      </c>
      <c r="D10724">
        <v>799.68</v>
      </c>
      <c r="E10724">
        <v>157.5</v>
      </c>
      <c r="F10724" t="s">
        <v>7</v>
      </c>
      <c r="G10724" t="s">
        <v>11</v>
      </c>
      <c r="H10724" s="5">
        <f>MONTH(Tabela1[[#This Row],[data]])</f>
        <v>3</v>
      </c>
      <c r="I10724">
        <f>YEAR(Tabela1[[#This Row],[data]])</f>
        <v>2026</v>
      </c>
    </row>
    <row r="10725" spans="1:9" x14ac:dyDescent="0.25">
      <c r="A10725" t="s">
        <v>6</v>
      </c>
      <c r="B10725" s="1">
        <v>46104</v>
      </c>
      <c r="C10725">
        <v>20</v>
      </c>
      <c r="D10725">
        <v>785.82</v>
      </c>
      <c r="E10725">
        <v>173.88</v>
      </c>
      <c r="F10725" t="s">
        <v>7</v>
      </c>
      <c r="G10725" t="s">
        <v>11</v>
      </c>
      <c r="H10725" s="5">
        <f>MONTH(Tabela1[[#This Row],[data]])</f>
        <v>3</v>
      </c>
      <c r="I10725">
        <f>YEAR(Tabela1[[#This Row],[data]])</f>
        <v>2026</v>
      </c>
    </row>
    <row r="10726" spans="1:9" x14ac:dyDescent="0.25">
      <c r="A10726" t="s">
        <v>6</v>
      </c>
      <c r="B10726" s="1">
        <v>46104</v>
      </c>
      <c r="C10726">
        <v>21</v>
      </c>
      <c r="D10726">
        <v>771.54</v>
      </c>
      <c r="E10726">
        <v>155.82</v>
      </c>
      <c r="F10726" t="s">
        <v>7</v>
      </c>
      <c r="G10726" t="s">
        <v>11</v>
      </c>
      <c r="H10726" s="5">
        <f>MONTH(Tabela1[[#This Row],[data]])</f>
        <v>3</v>
      </c>
      <c r="I10726">
        <f>YEAR(Tabela1[[#This Row],[data]])</f>
        <v>2026</v>
      </c>
    </row>
    <row r="10727" spans="1:9" x14ac:dyDescent="0.25">
      <c r="A10727" t="s">
        <v>6</v>
      </c>
      <c r="B10727" s="1">
        <v>46104</v>
      </c>
      <c r="C10727">
        <v>22</v>
      </c>
      <c r="D10727">
        <v>721.98</v>
      </c>
      <c r="E10727">
        <v>126</v>
      </c>
      <c r="F10727" t="s">
        <v>7</v>
      </c>
      <c r="G10727" t="s">
        <v>11</v>
      </c>
      <c r="H10727" s="5">
        <f>MONTH(Tabela1[[#This Row],[data]])</f>
        <v>3</v>
      </c>
      <c r="I10727">
        <f>YEAR(Tabela1[[#This Row],[data]])</f>
        <v>2026</v>
      </c>
    </row>
    <row r="10728" spans="1:9" x14ac:dyDescent="0.25">
      <c r="A10728" t="s">
        <v>6</v>
      </c>
      <c r="B10728" s="1">
        <v>46104</v>
      </c>
      <c r="C10728">
        <v>23</v>
      </c>
      <c r="D10728">
        <v>344.4</v>
      </c>
      <c r="E10728">
        <v>0.42</v>
      </c>
      <c r="F10728" t="s">
        <v>7</v>
      </c>
      <c r="G10728" t="s">
        <v>11</v>
      </c>
      <c r="H10728" s="5">
        <f>MONTH(Tabela1[[#This Row],[data]])</f>
        <v>3</v>
      </c>
      <c r="I10728">
        <f>YEAR(Tabela1[[#This Row],[data]])</f>
        <v>2026</v>
      </c>
    </row>
    <row r="10729" spans="1:9" x14ac:dyDescent="0.25">
      <c r="A10729" t="s">
        <v>6</v>
      </c>
      <c r="B10729" s="1">
        <v>46104</v>
      </c>
      <c r="C10729">
        <v>24</v>
      </c>
      <c r="D10729">
        <v>266.27999999999997</v>
      </c>
      <c r="E10729">
        <v>0</v>
      </c>
      <c r="F10729" t="s">
        <v>7</v>
      </c>
      <c r="G10729" t="s">
        <v>11</v>
      </c>
      <c r="H10729" s="5">
        <f>MONTH(Tabela1[[#This Row],[data]])</f>
        <v>3</v>
      </c>
      <c r="I10729">
        <f>YEAR(Tabela1[[#This Row],[data]])</f>
        <v>2026</v>
      </c>
    </row>
    <row r="10730" spans="1:9" x14ac:dyDescent="0.25">
      <c r="A10730" t="s">
        <v>6</v>
      </c>
      <c r="B10730" s="1">
        <v>46105</v>
      </c>
      <c r="C10730">
        <v>1</v>
      </c>
      <c r="D10730">
        <v>229.74</v>
      </c>
      <c r="E10730">
        <v>0</v>
      </c>
      <c r="F10730" t="s">
        <v>7</v>
      </c>
      <c r="G10730" t="s">
        <v>12</v>
      </c>
      <c r="H10730" s="5">
        <f>MONTH(Tabela1[[#This Row],[data]])</f>
        <v>3</v>
      </c>
      <c r="I10730">
        <f>YEAR(Tabela1[[#This Row],[data]])</f>
        <v>2026</v>
      </c>
    </row>
    <row r="10731" spans="1:9" x14ac:dyDescent="0.25">
      <c r="A10731" t="s">
        <v>6</v>
      </c>
      <c r="B10731" s="1">
        <v>46105</v>
      </c>
      <c r="C10731">
        <v>2</v>
      </c>
      <c r="D10731">
        <v>225.96</v>
      </c>
      <c r="E10731">
        <v>0</v>
      </c>
      <c r="F10731" t="s">
        <v>7</v>
      </c>
      <c r="G10731" t="s">
        <v>12</v>
      </c>
      <c r="H10731" s="5">
        <f>MONTH(Tabela1[[#This Row],[data]])</f>
        <v>3</v>
      </c>
      <c r="I10731">
        <f>YEAR(Tabela1[[#This Row],[data]])</f>
        <v>2026</v>
      </c>
    </row>
    <row r="10732" spans="1:9" x14ac:dyDescent="0.25">
      <c r="A10732" t="s">
        <v>6</v>
      </c>
      <c r="B10732" s="1">
        <v>46105</v>
      </c>
      <c r="C10732">
        <v>3</v>
      </c>
      <c r="D10732">
        <v>221.76</v>
      </c>
      <c r="E10732">
        <v>0</v>
      </c>
      <c r="F10732" t="s">
        <v>7</v>
      </c>
      <c r="G10732" t="s">
        <v>12</v>
      </c>
      <c r="H10732" s="5">
        <f>MONTH(Tabela1[[#This Row],[data]])</f>
        <v>3</v>
      </c>
      <c r="I10732">
        <f>YEAR(Tabela1[[#This Row],[data]])</f>
        <v>2026</v>
      </c>
    </row>
    <row r="10733" spans="1:9" x14ac:dyDescent="0.25">
      <c r="A10733" t="s">
        <v>6</v>
      </c>
      <c r="B10733" s="1">
        <v>46105</v>
      </c>
      <c r="C10733">
        <v>4</v>
      </c>
      <c r="D10733">
        <v>208.74</v>
      </c>
      <c r="E10733">
        <v>0</v>
      </c>
      <c r="F10733" t="s">
        <v>7</v>
      </c>
      <c r="G10733" t="s">
        <v>12</v>
      </c>
      <c r="H10733" s="5">
        <f>MONTH(Tabela1[[#This Row],[data]])</f>
        <v>3</v>
      </c>
      <c r="I10733">
        <f>YEAR(Tabela1[[#This Row],[data]])</f>
        <v>2026</v>
      </c>
    </row>
    <row r="10734" spans="1:9" x14ac:dyDescent="0.25">
      <c r="A10734" t="s">
        <v>6</v>
      </c>
      <c r="B10734" s="1">
        <v>46105</v>
      </c>
      <c r="C10734">
        <v>5</v>
      </c>
      <c r="D10734">
        <v>212.94</v>
      </c>
      <c r="E10734">
        <v>0</v>
      </c>
      <c r="F10734" t="s">
        <v>7</v>
      </c>
      <c r="G10734" t="s">
        <v>12</v>
      </c>
      <c r="H10734" s="5">
        <f>MONTH(Tabela1[[#This Row],[data]])</f>
        <v>3</v>
      </c>
      <c r="I10734">
        <f>YEAR(Tabela1[[#This Row],[data]])</f>
        <v>2026</v>
      </c>
    </row>
    <row r="10735" spans="1:9" x14ac:dyDescent="0.25">
      <c r="A10735" t="s">
        <v>6</v>
      </c>
      <c r="B10735" s="1">
        <v>46105</v>
      </c>
      <c r="C10735">
        <v>6</v>
      </c>
      <c r="D10735">
        <v>209.58</v>
      </c>
      <c r="E10735">
        <v>0</v>
      </c>
      <c r="F10735" t="s">
        <v>7</v>
      </c>
      <c r="G10735" t="s">
        <v>12</v>
      </c>
      <c r="H10735" s="5">
        <f>MONTH(Tabela1[[#This Row],[data]])</f>
        <v>3</v>
      </c>
      <c r="I10735">
        <f>YEAR(Tabela1[[#This Row],[data]])</f>
        <v>2026</v>
      </c>
    </row>
    <row r="10736" spans="1:9" x14ac:dyDescent="0.25">
      <c r="A10736" t="s">
        <v>6</v>
      </c>
      <c r="B10736" s="1">
        <v>46105</v>
      </c>
      <c r="C10736">
        <v>7</v>
      </c>
      <c r="D10736">
        <v>203.28</v>
      </c>
      <c r="E10736">
        <v>0</v>
      </c>
      <c r="F10736" t="s">
        <v>7</v>
      </c>
      <c r="G10736" t="s">
        <v>12</v>
      </c>
      <c r="H10736" s="5">
        <f>MONTH(Tabela1[[#This Row],[data]])</f>
        <v>3</v>
      </c>
      <c r="I10736">
        <f>YEAR(Tabela1[[#This Row],[data]])</f>
        <v>2026</v>
      </c>
    </row>
    <row r="10737" spans="1:9" x14ac:dyDescent="0.25">
      <c r="A10737" t="s">
        <v>6</v>
      </c>
      <c r="B10737" s="1">
        <v>46105</v>
      </c>
      <c r="C10737">
        <v>8</v>
      </c>
      <c r="D10737">
        <v>233.52</v>
      </c>
      <c r="E10737">
        <v>0</v>
      </c>
      <c r="F10737" t="s">
        <v>7</v>
      </c>
      <c r="G10737" t="s">
        <v>12</v>
      </c>
      <c r="H10737" s="5">
        <f>MONTH(Tabela1[[#This Row],[data]])</f>
        <v>3</v>
      </c>
      <c r="I10737">
        <f>YEAR(Tabela1[[#This Row],[data]])</f>
        <v>2026</v>
      </c>
    </row>
    <row r="10738" spans="1:9" x14ac:dyDescent="0.25">
      <c r="A10738" t="s">
        <v>6</v>
      </c>
      <c r="B10738" s="1">
        <v>46105</v>
      </c>
      <c r="C10738">
        <v>9</v>
      </c>
      <c r="D10738">
        <v>341.46</v>
      </c>
      <c r="E10738">
        <v>0</v>
      </c>
      <c r="F10738" t="s">
        <v>7</v>
      </c>
      <c r="G10738" t="s">
        <v>12</v>
      </c>
      <c r="H10738" s="5">
        <f>MONTH(Tabela1[[#This Row],[data]])</f>
        <v>3</v>
      </c>
      <c r="I10738">
        <f>YEAR(Tabela1[[#This Row],[data]])</f>
        <v>2026</v>
      </c>
    </row>
    <row r="10739" spans="1:9" x14ac:dyDescent="0.25">
      <c r="A10739" t="s">
        <v>6</v>
      </c>
      <c r="B10739" s="1">
        <v>46105</v>
      </c>
      <c r="C10739">
        <v>10</v>
      </c>
      <c r="D10739">
        <v>524.58000000000004</v>
      </c>
      <c r="E10739">
        <v>54.6</v>
      </c>
      <c r="F10739" t="s">
        <v>7</v>
      </c>
      <c r="G10739" t="s">
        <v>12</v>
      </c>
      <c r="H10739" s="5">
        <f>MONTH(Tabela1[[#This Row],[data]])</f>
        <v>3</v>
      </c>
      <c r="I10739">
        <f>YEAR(Tabela1[[#This Row],[data]])</f>
        <v>2026</v>
      </c>
    </row>
    <row r="10740" spans="1:9" x14ac:dyDescent="0.25">
      <c r="A10740" t="s">
        <v>6</v>
      </c>
      <c r="B10740" s="1">
        <v>46105</v>
      </c>
      <c r="C10740">
        <v>11</v>
      </c>
      <c r="D10740">
        <v>891.24</v>
      </c>
      <c r="E10740">
        <v>207.06</v>
      </c>
      <c r="F10740" t="s">
        <v>7</v>
      </c>
      <c r="G10740" t="s">
        <v>12</v>
      </c>
      <c r="H10740" s="5">
        <f>MONTH(Tabela1[[#This Row],[data]])</f>
        <v>3</v>
      </c>
      <c r="I10740">
        <f>YEAR(Tabela1[[#This Row],[data]])</f>
        <v>2026</v>
      </c>
    </row>
    <row r="10741" spans="1:9" x14ac:dyDescent="0.25">
      <c r="A10741" t="s">
        <v>6</v>
      </c>
      <c r="B10741" s="1">
        <v>46105</v>
      </c>
      <c r="C10741">
        <v>12</v>
      </c>
      <c r="D10741">
        <v>929.04</v>
      </c>
      <c r="E10741">
        <v>226.38</v>
      </c>
      <c r="F10741" t="s">
        <v>7</v>
      </c>
      <c r="G10741" t="s">
        <v>12</v>
      </c>
      <c r="H10741" s="5">
        <f>MONTH(Tabela1[[#This Row],[data]])</f>
        <v>3</v>
      </c>
      <c r="I10741">
        <f>YEAR(Tabela1[[#This Row],[data]])</f>
        <v>2026</v>
      </c>
    </row>
    <row r="10742" spans="1:9" x14ac:dyDescent="0.25">
      <c r="A10742" t="s">
        <v>6</v>
      </c>
      <c r="B10742" s="1">
        <v>46105</v>
      </c>
      <c r="C10742">
        <v>13</v>
      </c>
      <c r="D10742">
        <v>940.38</v>
      </c>
      <c r="E10742">
        <v>258.3</v>
      </c>
      <c r="F10742" t="s">
        <v>7</v>
      </c>
      <c r="G10742" t="s">
        <v>12</v>
      </c>
      <c r="H10742" s="5">
        <f>MONTH(Tabela1[[#This Row],[data]])</f>
        <v>3</v>
      </c>
      <c r="I10742">
        <f>YEAR(Tabela1[[#This Row],[data]])</f>
        <v>2026</v>
      </c>
    </row>
    <row r="10743" spans="1:9" x14ac:dyDescent="0.25">
      <c r="A10743" t="s">
        <v>6</v>
      </c>
      <c r="B10743" s="1">
        <v>46105</v>
      </c>
      <c r="C10743">
        <v>14</v>
      </c>
      <c r="D10743">
        <v>954.24</v>
      </c>
      <c r="E10743">
        <v>263.76</v>
      </c>
      <c r="F10743" t="s">
        <v>7</v>
      </c>
      <c r="G10743" t="s">
        <v>12</v>
      </c>
      <c r="H10743" s="5">
        <f>MONTH(Tabela1[[#This Row],[data]])</f>
        <v>3</v>
      </c>
      <c r="I10743">
        <f>YEAR(Tabela1[[#This Row],[data]])</f>
        <v>2026</v>
      </c>
    </row>
    <row r="10744" spans="1:9" x14ac:dyDescent="0.25">
      <c r="A10744" t="s">
        <v>6</v>
      </c>
      <c r="B10744" s="1">
        <v>46105</v>
      </c>
      <c r="C10744">
        <v>15</v>
      </c>
      <c r="D10744">
        <v>990.36</v>
      </c>
      <c r="E10744">
        <v>280.56</v>
      </c>
      <c r="F10744" t="s">
        <v>7</v>
      </c>
      <c r="G10744" t="s">
        <v>12</v>
      </c>
      <c r="H10744" s="5">
        <f>MONTH(Tabela1[[#This Row],[data]])</f>
        <v>3</v>
      </c>
      <c r="I10744">
        <f>YEAR(Tabela1[[#This Row],[data]])</f>
        <v>2026</v>
      </c>
    </row>
    <row r="10745" spans="1:9" x14ac:dyDescent="0.25">
      <c r="A10745" t="s">
        <v>6</v>
      </c>
      <c r="B10745" s="1">
        <v>46105</v>
      </c>
      <c r="C10745">
        <v>16</v>
      </c>
      <c r="D10745">
        <v>996.66</v>
      </c>
      <c r="E10745">
        <v>285.18</v>
      </c>
      <c r="F10745" t="s">
        <v>7</v>
      </c>
      <c r="G10745" t="s">
        <v>12</v>
      </c>
      <c r="H10745" s="5">
        <f>MONTH(Tabela1[[#This Row],[data]])</f>
        <v>3</v>
      </c>
      <c r="I10745">
        <f>YEAR(Tabela1[[#This Row],[data]])</f>
        <v>2026</v>
      </c>
    </row>
    <row r="10746" spans="1:9" x14ac:dyDescent="0.25">
      <c r="A10746" t="s">
        <v>6</v>
      </c>
      <c r="B10746" s="1">
        <v>46105</v>
      </c>
      <c r="C10746">
        <v>17</v>
      </c>
      <c r="D10746">
        <v>999.18</v>
      </c>
      <c r="E10746">
        <v>313.32</v>
      </c>
      <c r="F10746" t="s">
        <v>7</v>
      </c>
      <c r="G10746" t="s">
        <v>12</v>
      </c>
      <c r="H10746" s="5">
        <f>MONTH(Tabela1[[#This Row],[data]])</f>
        <v>3</v>
      </c>
      <c r="I10746">
        <f>YEAR(Tabela1[[#This Row],[data]])</f>
        <v>2026</v>
      </c>
    </row>
    <row r="10747" spans="1:9" x14ac:dyDescent="0.25">
      <c r="A10747" t="s">
        <v>6</v>
      </c>
      <c r="B10747" s="1">
        <v>46105</v>
      </c>
      <c r="C10747">
        <v>18</v>
      </c>
      <c r="D10747">
        <v>945.84</v>
      </c>
      <c r="E10747">
        <v>277.62</v>
      </c>
      <c r="F10747" t="s">
        <v>7</v>
      </c>
      <c r="G10747" t="s">
        <v>12</v>
      </c>
      <c r="H10747" s="5">
        <f>MONTH(Tabela1[[#This Row],[data]])</f>
        <v>3</v>
      </c>
      <c r="I10747">
        <f>YEAR(Tabela1[[#This Row],[data]])</f>
        <v>2026</v>
      </c>
    </row>
    <row r="10748" spans="1:9" x14ac:dyDescent="0.25">
      <c r="A10748" t="s">
        <v>6</v>
      </c>
      <c r="B10748" s="1">
        <v>46105</v>
      </c>
      <c r="C10748">
        <v>19</v>
      </c>
      <c r="D10748">
        <v>902.58</v>
      </c>
      <c r="E10748">
        <v>215.88</v>
      </c>
      <c r="F10748" t="s">
        <v>7</v>
      </c>
      <c r="G10748" t="s">
        <v>12</v>
      </c>
      <c r="H10748" s="5">
        <f>MONTH(Tabela1[[#This Row],[data]])</f>
        <v>3</v>
      </c>
      <c r="I10748">
        <f>YEAR(Tabela1[[#This Row],[data]])</f>
        <v>2026</v>
      </c>
    </row>
    <row r="10749" spans="1:9" x14ac:dyDescent="0.25">
      <c r="A10749" t="s">
        <v>6</v>
      </c>
      <c r="B10749" s="1">
        <v>46105</v>
      </c>
      <c r="C10749">
        <v>20</v>
      </c>
      <c r="D10749">
        <v>886.62</v>
      </c>
      <c r="E10749">
        <v>232.26</v>
      </c>
      <c r="F10749" t="s">
        <v>7</v>
      </c>
      <c r="G10749" t="s">
        <v>12</v>
      </c>
      <c r="H10749" s="5">
        <f>MONTH(Tabela1[[#This Row],[data]])</f>
        <v>3</v>
      </c>
      <c r="I10749">
        <f>YEAR(Tabela1[[#This Row],[data]])</f>
        <v>2026</v>
      </c>
    </row>
    <row r="10750" spans="1:9" x14ac:dyDescent="0.25">
      <c r="A10750" t="s">
        <v>6</v>
      </c>
      <c r="B10750" s="1">
        <v>46105</v>
      </c>
      <c r="C10750">
        <v>21</v>
      </c>
      <c r="D10750">
        <v>882.42</v>
      </c>
      <c r="E10750">
        <v>208.74</v>
      </c>
      <c r="F10750" t="s">
        <v>7</v>
      </c>
      <c r="G10750" t="s">
        <v>12</v>
      </c>
      <c r="H10750" s="5">
        <f>MONTH(Tabela1[[#This Row],[data]])</f>
        <v>3</v>
      </c>
      <c r="I10750">
        <f>YEAR(Tabela1[[#This Row],[data]])</f>
        <v>2026</v>
      </c>
    </row>
    <row r="10751" spans="1:9" x14ac:dyDescent="0.25">
      <c r="A10751" t="s">
        <v>6</v>
      </c>
      <c r="B10751" s="1">
        <v>46105</v>
      </c>
      <c r="C10751">
        <v>22</v>
      </c>
      <c r="D10751">
        <v>800.94</v>
      </c>
      <c r="E10751">
        <v>159.18</v>
      </c>
      <c r="F10751" t="s">
        <v>7</v>
      </c>
      <c r="G10751" t="s">
        <v>12</v>
      </c>
      <c r="H10751" s="5">
        <f>MONTH(Tabela1[[#This Row],[data]])</f>
        <v>3</v>
      </c>
      <c r="I10751">
        <f>YEAR(Tabela1[[#This Row],[data]])</f>
        <v>2026</v>
      </c>
    </row>
    <row r="10752" spans="1:9" x14ac:dyDescent="0.25">
      <c r="A10752" t="s">
        <v>6</v>
      </c>
      <c r="B10752" s="1">
        <v>46105</v>
      </c>
      <c r="C10752">
        <v>23</v>
      </c>
      <c r="D10752">
        <v>432.6</v>
      </c>
      <c r="E10752">
        <v>19.32</v>
      </c>
      <c r="F10752" t="s">
        <v>7</v>
      </c>
      <c r="G10752" t="s">
        <v>12</v>
      </c>
      <c r="H10752" s="5">
        <f>MONTH(Tabela1[[#This Row],[data]])</f>
        <v>3</v>
      </c>
      <c r="I10752">
        <f>YEAR(Tabela1[[#This Row],[data]])</f>
        <v>2026</v>
      </c>
    </row>
    <row r="10753" spans="1:9" x14ac:dyDescent="0.25">
      <c r="A10753" t="s">
        <v>6</v>
      </c>
      <c r="B10753" s="1">
        <v>46105</v>
      </c>
      <c r="C10753">
        <v>24</v>
      </c>
      <c r="D10753">
        <v>265.02</v>
      </c>
      <c r="E10753">
        <v>0</v>
      </c>
      <c r="F10753" t="s">
        <v>7</v>
      </c>
      <c r="G10753" t="s">
        <v>12</v>
      </c>
      <c r="H10753" s="5">
        <f>MONTH(Tabela1[[#This Row],[data]])</f>
        <v>3</v>
      </c>
      <c r="I10753">
        <f>YEAR(Tabela1[[#This Row],[data]])</f>
        <v>2026</v>
      </c>
    </row>
    <row r="10754" spans="1:9" x14ac:dyDescent="0.25">
      <c r="A10754" t="s">
        <v>6</v>
      </c>
      <c r="B10754" s="1">
        <v>46106</v>
      </c>
      <c r="C10754">
        <v>1</v>
      </c>
      <c r="D10754">
        <v>232.68</v>
      </c>
      <c r="E10754">
        <v>0</v>
      </c>
      <c r="F10754" t="s">
        <v>7</v>
      </c>
      <c r="G10754" t="s">
        <v>11</v>
      </c>
      <c r="H10754" s="5">
        <f>MONTH(Tabela1[[#This Row],[data]])</f>
        <v>3</v>
      </c>
      <c r="I10754">
        <f>YEAR(Tabela1[[#This Row],[data]])</f>
        <v>2026</v>
      </c>
    </row>
    <row r="10755" spans="1:9" x14ac:dyDescent="0.25">
      <c r="A10755" t="s">
        <v>6</v>
      </c>
      <c r="B10755" s="1">
        <v>46106</v>
      </c>
      <c r="C10755">
        <v>2</v>
      </c>
      <c r="D10755">
        <v>228.06</v>
      </c>
      <c r="E10755">
        <v>0</v>
      </c>
      <c r="F10755" t="s">
        <v>7</v>
      </c>
      <c r="G10755" t="s">
        <v>11</v>
      </c>
      <c r="H10755" s="5">
        <f>MONTH(Tabela1[[#This Row],[data]])</f>
        <v>3</v>
      </c>
      <c r="I10755">
        <f>YEAR(Tabela1[[#This Row],[data]])</f>
        <v>2026</v>
      </c>
    </row>
    <row r="10756" spans="1:9" x14ac:dyDescent="0.25">
      <c r="A10756" t="s">
        <v>6</v>
      </c>
      <c r="B10756" s="1">
        <v>46106</v>
      </c>
      <c r="C10756">
        <v>3</v>
      </c>
      <c r="D10756">
        <v>221.34</v>
      </c>
      <c r="E10756">
        <v>0</v>
      </c>
      <c r="F10756" t="s">
        <v>7</v>
      </c>
      <c r="G10756" t="s">
        <v>11</v>
      </c>
      <c r="H10756" s="5">
        <f>MONTH(Tabela1[[#This Row],[data]])</f>
        <v>3</v>
      </c>
      <c r="I10756">
        <f>YEAR(Tabela1[[#This Row],[data]])</f>
        <v>2026</v>
      </c>
    </row>
    <row r="10757" spans="1:9" x14ac:dyDescent="0.25">
      <c r="A10757" t="s">
        <v>6</v>
      </c>
      <c r="B10757" s="1">
        <v>46106</v>
      </c>
      <c r="C10757">
        <v>4</v>
      </c>
      <c r="D10757">
        <v>219.24</v>
      </c>
      <c r="E10757">
        <v>0</v>
      </c>
      <c r="F10757" t="s">
        <v>7</v>
      </c>
      <c r="G10757" t="s">
        <v>11</v>
      </c>
      <c r="H10757" s="5">
        <f>MONTH(Tabela1[[#This Row],[data]])</f>
        <v>3</v>
      </c>
      <c r="I10757">
        <f>YEAR(Tabela1[[#This Row],[data]])</f>
        <v>2026</v>
      </c>
    </row>
    <row r="10758" spans="1:9" x14ac:dyDescent="0.25">
      <c r="A10758" t="s">
        <v>6</v>
      </c>
      <c r="B10758" s="1">
        <v>46106</v>
      </c>
      <c r="C10758">
        <v>5</v>
      </c>
      <c r="D10758">
        <v>222.18</v>
      </c>
      <c r="E10758">
        <v>0</v>
      </c>
      <c r="F10758" t="s">
        <v>7</v>
      </c>
      <c r="G10758" t="s">
        <v>11</v>
      </c>
      <c r="H10758" s="5">
        <f>MONTH(Tabela1[[#This Row],[data]])</f>
        <v>3</v>
      </c>
      <c r="I10758">
        <f>YEAR(Tabela1[[#This Row],[data]])</f>
        <v>2026</v>
      </c>
    </row>
    <row r="10759" spans="1:9" x14ac:dyDescent="0.25">
      <c r="A10759" t="s">
        <v>6</v>
      </c>
      <c r="B10759" s="1">
        <v>46106</v>
      </c>
      <c r="C10759">
        <v>6</v>
      </c>
      <c r="D10759">
        <v>221.34</v>
      </c>
      <c r="E10759">
        <v>0</v>
      </c>
      <c r="F10759" t="s">
        <v>7</v>
      </c>
      <c r="G10759" t="s">
        <v>11</v>
      </c>
      <c r="H10759" s="5">
        <f>MONTH(Tabela1[[#This Row],[data]])</f>
        <v>3</v>
      </c>
      <c r="I10759">
        <f>YEAR(Tabela1[[#This Row],[data]])</f>
        <v>2026</v>
      </c>
    </row>
    <row r="10760" spans="1:9" x14ac:dyDescent="0.25">
      <c r="A10760" t="s">
        <v>6</v>
      </c>
      <c r="B10760" s="1">
        <v>46106</v>
      </c>
      <c r="C10760">
        <v>7</v>
      </c>
      <c r="D10760">
        <v>214.2</v>
      </c>
      <c r="E10760">
        <v>0</v>
      </c>
      <c r="F10760" t="s">
        <v>7</v>
      </c>
      <c r="G10760" t="s">
        <v>11</v>
      </c>
      <c r="H10760" s="5">
        <f>MONTH(Tabela1[[#This Row],[data]])</f>
        <v>3</v>
      </c>
      <c r="I10760">
        <f>YEAR(Tabela1[[#This Row],[data]])</f>
        <v>2026</v>
      </c>
    </row>
    <row r="10761" spans="1:9" x14ac:dyDescent="0.25">
      <c r="A10761" t="s">
        <v>6</v>
      </c>
      <c r="B10761" s="1">
        <v>46106</v>
      </c>
      <c r="C10761">
        <v>8</v>
      </c>
      <c r="D10761">
        <v>228.48</v>
      </c>
      <c r="E10761">
        <v>0</v>
      </c>
      <c r="F10761" t="s">
        <v>7</v>
      </c>
      <c r="G10761" t="s">
        <v>11</v>
      </c>
      <c r="H10761" s="5">
        <f>MONTH(Tabela1[[#This Row],[data]])</f>
        <v>3</v>
      </c>
      <c r="I10761">
        <f>YEAR(Tabela1[[#This Row],[data]])</f>
        <v>2026</v>
      </c>
    </row>
    <row r="10762" spans="1:9" x14ac:dyDescent="0.25">
      <c r="A10762" t="s">
        <v>6</v>
      </c>
      <c r="B10762" s="1">
        <v>46106</v>
      </c>
      <c r="C10762">
        <v>9</v>
      </c>
      <c r="D10762">
        <v>369.18</v>
      </c>
      <c r="E10762">
        <v>0.84</v>
      </c>
      <c r="F10762" t="s">
        <v>7</v>
      </c>
      <c r="G10762" t="s">
        <v>11</v>
      </c>
      <c r="H10762" s="5">
        <f>MONTH(Tabela1[[#This Row],[data]])</f>
        <v>3</v>
      </c>
      <c r="I10762">
        <f>YEAR(Tabela1[[#This Row],[data]])</f>
        <v>2026</v>
      </c>
    </row>
    <row r="10763" spans="1:9" x14ac:dyDescent="0.25">
      <c r="A10763" t="s">
        <v>6</v>
      </c>
      <c r="B10763" s="1">
        <v>46106</v>
      </c>
      <c r="C10763">
        <v>10</v>
      </c>
      <c r="D10763">
        <v>688.8</v>
      </c>
      <c r="E10763">
        <v>130.62</v>
      </c>
      <c r="F10763" t="s">
        <v>7</v>
      </c>
      <c r="G10763" t="s">
        <v>11</v>
      </c>
      <c r="H10763" s="5">
        <f>MONTH(Tabela1[[#This Row],[data]])</f>
        <v>3</v>
      </c>
      <c r="I10763">
        <f>YEAR(Tabela1[[#This Row],[data]])</f>
        <v>2026</v>
      </c>
    </row>
    <row r="10764" spans="1:9" x14ac:dyDescent="0.25">
      <c r="A10764" t="s">
        <v>6</v>
      </c>
      <c r="B10764" s="1">
        <v>46106</v>
      </c>
      <c r="C10764">
        <v>11</v>
      </c>
      <c r="D10764">
        <v>945</v>
      </c>
      <c r="E10764">
        <v>288.95999999999998</v>
      </c>
      <c r="F10764" t="s">
        <v>7</v>
      </c>
      <c r="G10764" t="s">
        <v>11</v>
      </c>
      <c r="H10764" s="5">
        <f>MONTH(Tabela1[[#This Row],[data]])</f>
        <v>3</v>
      </c>
      <c r="I10764">
        <f>YEAR(Tabela1[[#This Row],[data]])</f>
        <v>2026</v>
      </c>
    </row>
    <row r="10765" spans="1:9" x14ac:dyDescent="0.25">
      <c r="A10765" t="s">
        <v>6</v>
      </c>
      <c r="B10765" s="1">
        <v>46106</v>
      </c>
      <c r="C10765">
        <v>12</v>
      </c>
      <c r="D10765">
        <v>981.96</v>
      </c>
      <c r="E10765">
        <v>292.32</v>
      </c>
      <c r="F10765" t="s">
        <v>7</v>
      </c>
      <c r="G10765" t="s">
        <v>11</v>
      </c>
      <c r="H10765" s="5">
        <f>MONTH(Tabela1[[#This Row],[data]])</f>
        <v>3</v>
      </c>
      <c r="I10765">
        <f>YEAR(Tabela1[[#This Row],[data]])</f>
        <v>2026</v>
      </c>
    </row>
    <row r="10766" spans="1:9" x14ac:dyDescent="0.25">
      <c r="A10766" t="s">
        <v>6</v>
      </c>
      <c r="B10766" s="1">
        <v>46106</v>
      </c>
      <c r="C10766">
        <v>13</v>
      </c>
      <c r="D10766">
        <v>961.38</v>
      </c>
      <c r="E10766">
        <v>297.77999999999997</v>
      </c>
      <c r="F10766" t="s">
        <v>7</v>
      </c>
      <c r="G10766" t="s">
        <v>11</v>
      </c>
      <c r="H10766" s="5">
        <f>MONTH(Tabela1[[#This Row],[data]])</f>
        <v>3</v>
      </c>
      <c r="I10766">
        <f>YEAR(Tabela1[[#This Row],[data]])</f>
        <v>2026</v>
      </c>
    </row>
    <row r="10767" spans="1:9" x14ac:dyDescent="0.25">
      <c r="A10767" t="s">
        <v>6</v>
      </c>
      <c r="B10767" s="1">
        <v>46106</v>
      </c>
      <c r="C10767">
        <v>14</v>
      </c>
      <c r="D10767">
        <v>989.94</v>
      </c>
      <c r="E10767">
        <v>282.66000000000003</v>
      </c>
      <c r="F10767" t="s">
        <v>7</v>
      </c>
      <c r="G10767" t="s">
        <v>11</v>
      </c>
      <c r="H10767" s="5">
        <f>MONTH(Tabela1[[#This Row],[data]])</f>
        <v>3</v>
      </c>
      <c r="I10767">
        <f>YEAR(Tabela1[[#This Row],[data]])</f>
        <v>2026</v>
      </c>
    </row>
    <row r="10768" spans="1:9" x14ac:dyDescent="0.25">
      <c r="A10768" t="s">
        <v>6</v>
      </c>
      <c r="B10768" s="1">
        <v>46106</v>
      </c>
      <c r="C10768">
        <v>15</v>
      </c>
      <c r="D10768">
        <v>997.5</v>
      </c>
      <c r="E10768">
        <v>291.89999999999998</v>
      </c>
      <c r="F10768" t="s">
        <v>7</v>
      </c>
      <c r="G10768" t="s">
        <v>11</v>
      </c>
      <c r="H10768" s="5">
        <f>MONTH(Tabela1[[#This Row],[data]])</f>
        <v>3</v>
      </c>
      <c r="I10768">
        <f>YEAR(Tabela1[[#This Row],[data]])</f>
        <v>2026</v>
      </c>
    </row>
    <row r="10769" spans="1:9" x14ac:dyDescent="0.25">
      <c r="A10769" t="s">
        <v>6</v>
      </c>
      <c r="B10769" s="1">
        <v>46106</v>
      </c>
      <c r="C10769">
        <v>16</v>
      </c>
      <c r="D10769">
        <v>971.88</v>
      </c>
      <c r="E10769">
        <v>292.32</v>
      </c>
      <c r="F10769" t="s">
        <v>7</v>
      </c>
      <c r="G10769" t="s">
        <v>11</v>
      </c>
      <c r="H10769" s="5">
        <f>MONTH(Tabela1[[#This Row],[data]])</f>
        <v>3</v>
      </c>
      <c r="I10769">
        <f>YEAR(Tabela1[[#This Row],[data]])</f>
        <v>2026</v>
      </c>
    </row>
    <row r="10770" spans="1:9" x14ac:dyDescent="0.25">
      <c r="A10770" t="s">
        <v>6</v>
      </c>
      <c r="B10770" s="1">
        <v>46106</v>
      </c>
      <c r="C10770">
        <v>17</v>
      </c>
      <c r="D10770">
        <v>964.74</v>
      </c>
      <c r="E10770">
        <v>312.06</v>
      </c>
      <c r="F10770" t="s">
        <v>7</v>
      </c>
      <c r="G10770" t="s">
        <v>11</v>
      </c>
      <c r="H10770" s="5">
        <f>MONTH(Tabela1[[#This Row],[data]])</f>
        <v>3</v>
      </c>
      <c r="I10770">
        <f>YEAR(Tabela1[[#This Row],[data]])</f>
        <v>2026</v>
      </c>
    </row>
    <row r="10771" spans="1:9" x14ac:dyDescent="0.25">
      <c r="A10771" t="s">
        <v>6</v>
      </c>
      <c r="B10771" s="1">
        <v>46106</v>
      </c>
      <c r="C10771">
        <v>18</v>
      </c>
      <c r="D10771">
        <v>936.18</v>
      </c>
      <c r="E10771">
        <v>269.64</v>
      </c>
      <c r="F10771" t="s">
        <v>7</v>
      </c>
      <c r="G10771" t="s">
        <v>11</v>
      </c>
      <c r="H10771" s="5">
        <f>MONTH(Tabela1[[#This Row],[data]])</f>
        <v>3</v>
      </c>
      <c r="I10771">
        <f>YEAR(Tabela1[[#This Row],[data]])</f>
        <v>2026</v>
      </c>
    </row>
    <row r="10772" spans="1:9" x14ac:dyDescent="0.25">
      <c r="A10772" t="s">
        <v>6</v>
      </c>
      <c r="B10772" s="1">
        <v>46106</v>
      </c>
      <c r="C10772">
        <v>19</v>
      </c>
      <c r="D10772">
        <v>921.06</v>
      </c>
      <c r="E10772">
        <v>247.38</v>
      </c>
      <c r="F10772" t="s">
        <v>7</v>
      </c>
      <c r="G10772" t="s">
        <v>11</v>
      </c>
      <c r="H10772" s="5">
        <f>MONTH(Tabela1[[#This Row],[data]])</f>
        <v>3</v>
      </c>
      <c r="I10772">
        <f>YEAR(Tabela1[[#This Row],[data]])</f>
        <v>2026</v>
      </c>
    </row>
    <row r="10773" spans="1:9" x14ac:dyDescent="0.25">
      <c r="A10773" t="s">
        <v>6</v>
      </c>
      <c r="B10773" s="1">
        <v>46106</v>
      </c>
      <c r="C10773">
        <v>20</v>
      </c>
      <c r="D10773">
        <v>896.7</v>
      </c>
      <c r="E10773">
        <v>241.92</v>
      </c>
      <c r="F10773" t="s">
        <v>7</v>
      </c>
      <c r="G10773" t="s">
        <v>11</v>
      </c>
      <c r="H10773" s="5">
        <f>MONTH(Tabela1[[#This Row],[data]])</f>
        <v>3</v>
      </c>
      <c r="I10773">
        <f>YEAR(Tabela1[[#This Row],[data]])</f>
        <v>2026</v>
      </c>
    </row>
    <row r="10774" spans="1:9" x14ac:dyDescent="0.25">
      <c r="A10774" t="s">
        <v>6</v>
      </c>
      <c r="B10774" s="1">
        <v>46106</v>
      </c>
      <c r="C10774">
        <v>21</v>
      </c>
      <c r="D10774">
        <v>851.34</v>
      </c>
      <c r="E10774">
        <v>189.42</v>
      </c>
      <c r="F10774" t="s">
        <v>7</v>
      </c>
      <c r="G10774" t="s">
        <v>11</v>
      </c>
      <c r="H10774" s="5">
        <f>MONTH(Tabela1[[#This Row],[data]])</f>
        <v>3</v>
      </c>
      <c r="I10774">
        <f>YEAR(Tabela1[[#This Row],[data]])</f>
        <v>2026</v>
      </c>
    </row>
    <row r="10775" spans="1:9" x14ac:dyDescent="0.25">
      <c r="A10775" t="s">
        <v>6</v>
      </c>
      <c r="B10775" s="1">
        <v>46106</v>
      </c>
      <c r="C10775">
        <v>22</v>
      </c>
      <c r="D10775">
        <v>773.64</v>
      </c>
      <c r="E10775">
        <v>142.38</v>
      </c>
      <c r="F10775" t="s">
        <v>7</v>
      </c>
      <c r="G10775" t="s">
        <v>11</v>
      </c>
      <c r="H10775" s="5">
        <f>MONTH(Tabela1[[#This Row],[data]])</f>
        <v>3</v>
      </c>
      <c r="I10775">
        <f>YEAR(Tabela1[[#This Row],[data]])</f>
        <v>2026</v>
      </c>
    </row>
    <row r="10776" spans="1:9" x14ac:dyDescent="0.25">
      <c r="A10776" t="s">
        <v>6</v>
      </c>
      <c r="B10776" s="1">
        <v>46106</v>
      </c>
      <c r="C10776">
        <v>23</v>
      </c>
      <c r="D10776">
        <v>354.9</v>
      </c>
      <c r="E10776">
        <v>0.84</v>
      </c>
      <c r="F10776" t="s">
        <v>7</v>
      </c>
      <c r="G10776" t="s">
        <v>11</v>
      </c>
      <c r="H10776" s="5">
        <f>MONTH(Tabela1[[#This Row],[data]])</f>
        <v>3</v>
      </c>
      <c r="I10776">
        <f>YEAR(Tabela1[[#This Row],[data]])</f>
        <v>2026</v>
      </c>
    </row>
    <row r="10777" spans="1:9" x14ac:dyDescent="0.25">
      <c r="A10777" t="s">
        <v>6</v>
      </c>
      <c r="B10777" s="1">
        <v>46106</v>
      </c>
      <c r="C10777">
        <v>24</v>
      </c>
      <c r="D10777">
        <v>259.56</v>
      </c>
      <c r="E10777">
        <v>0</v>
      </c>
      <c r="F10777" t="s">
        <v>7</v>
      </c>
      <c r="G10777" t="s">
        <v>11</v>
      </c>
      <c r="H10777" s="5">
        <f>MONTH(Tabela1[[#This Row],[data]])</f>
        <v>3</v>
      </c>
      <c r="I10777">
        <f>YEAR(Tabela1[[#This Row],[data]])</f>
        <v>2026</v>
      </c>
    </row>
    <row r="10778" spans="1:9" x14ac:dyDescent="0.25">
      <c r="A10778" t="s">
        <v>6</v>
      </c>
      <c r="B10778" s="1">
        <v>46107</v>
      </c>
      <c r="C10778">
        <v>1</v>
      </c>
      <c r="D10778">
        <v>225.96</v>
      </c>
      <c r="E10778">
        <v>0</v>
      </c>
      <c r="F10778" t="s">
        <v>7</v>
      </c>
      <c r="G10778" t="s">
        <v>11</v>
      </c>
      <c r="H10778" s="5">
        <f>MONTH(Tabela1[[#This Row],[data]])</f>
        <v>3</v>
      </c>
      <c r="I10778">
        <f>YEAR(Tabela1[[#This Row],[data]])</f>
        <v>2026</v>
      </c>
    </row>
    <row r="10779" spans="1:9" x14ac:dyDescent="0.25">
      <c r="A10779" t="s">
        <v>6</v>
      </c>
      <c r="B10779" s="1">
        <v>46107</v>
      </c>
      <c r="C10779">
        <v>2</v>
      </c>
      <c r="D10779">
        <v>222.6</v>
      </c>
      <c r="E10779">
        <v>0</v>
      </c>
      <c r="F10779" t="s">
        <v>7</v>
      </c>
      <c r="G10779" t="s">
        <v>11</v>
      </c>
      <c r="H10779" s="5">
        <f>MONTH(Tabela1[[#This Row],[data]])</f>
        <v>3</v>
      </c>
      <c r="I10779">
        <f>YEAR(Tabela1[[#This Row],[data]])</f>
        <v>2026</v>
      </c>
    </row>
    <row r="10780" spans="1:9" x14ac:dyDescent="0.25">
      <c r="A10780" t="s">
        <v>6</v>
      </c>
      <c r="B10780" s="1">
        <v>46107</v>
      </c>
      <c r="C10780">
        <v>3</v>
      </c>
      <c r="D10780">
        <v>217.56</v>
      </c>
      <c r="E10780">
        <v>0</v>
      </c>
      <c r="F10780" t="s">
        <v>7</v>
      </c>
      <c r="G10780" t="s">
        <v>11</v>
      </c>
      <c r="H10780" s="5">
        <f>MONTH(Tabela1[[#This Row],[data]])</f>
        <v>3</v>
      </c>
      <c r="I10780">
        <f>YEAR(Tabela1[[#This Row],[data]])</f>
        <v>2026</v>
      </c>
    </row>
    <row r="10781" spans="1:9" x14ac:dyDescent="0.25">
      <c r="A10781" t="s">
        <v>6</v>
      </c>
      <c r="B10781" s="1">
        <v>46107</v>
      </c>
      <c r="C10781">
        <v>4</v>
      </c>
      <c r="D10781">
        <v>215.88</v>
      </c>
      <c r="E10781">
        <v>0</v>
      </c>
      <c r="F10781" t="s">
        <v>7</v>
      </c>
      <c r="G10781" t="s">
        <v>11</v>
      </c>
      <c r="H10781" s="5">
        <f>MONTH(Tabela1[[#This Row],[data]])</f>
        <v>3</v>
      </c>
      <c r="I10781">
        <f>YEAR(Tabela1[[#This Row],[data]])</f>
        <v>2026</v>
      </c>
    </row>
    <row r="10782" spans="1:9" x14ac:dyDescent="0.25">
      <c r="A10782" t="s">
        <v>6</v>
      </c>
      <c r="B10782" s="1">
        <v>46107</v>
      </c>
      <c r="C10782">
        <v>5</v>
      </c>
      <c r="D10782">
        <v>224.7</v>
      </c>
      <c r="E10782">
        <v>0</v>
      </c>
      <c r="F10782" t="s">
        <v>7</v>
      </c>
      <c r="G10782" t="s">
        <v>11</v>
      </c>
      <c r="H10782" s="5">
        <f>MONTH(Tabela1[[#This Row],[data]])</f>
        <v>3</v>
      </c>
      <c r="I10782">
        <f>YEAR(Tabela1[[#This Row],[data]])</f>
        <v>2026</v>
      </c>
    </row>
    <row r="10783" spans="1:9" x14ac:dyDescent="0.25">
      <c r="A10783" t="s">
        <v>6</v>
      </c>
      <c r="B10783" s="1">
        <v>46107</v>
      </c>
      <c r="C10783">
        <v>6</v>
      </c>
      <c r="D10783">
        <v>217.56</v>
      </c>
      <c r="E10783">
        <v>0</v>
      </c>
      <c r="F10783" t="s">
        <v>7</v>
      </c>
      <c r="G10783" t="s">
        <v>11</v>
      </c>
      <c r="H10783" s="5">
        <f>MONTH(Tabela1[[#This Row],[data]])</f>
        <v>3</v>
      </c>
      <c r="I10783">
        <f>YEAR(Tabela1[[#This Row],[data]])</f>
        <v>2026</v>
      </c>
    </row>
    <row r="10784" spans="1:9" x14ac:dyDescent="0.25">
      <c r="A10784" t="s">
        <v>6</v>
      </c>
      <c r="B10784" s="1">
        <v>46107</v>
      </c>
      <c r="C10784">
        <v>7</v>
      </c>
      <c r="D10784">
        <v>210.42</v>
      </c>
      <c r="E10784">
        <v>0</v>
      </c>
      <c r="F10784" t="s">
        <v>7</v>
      </c>
      <c r="G10784" t="s">
        <v>11</v>
      </c>
      <c r="H10784" s="5">
        <f>MONTH(Tabela1[[#This Row],[data]])</f>
        <v>3</v>
      </c>
      <c r="I10784">
        <f>YEAR(Tabela1[[#This Row],[data]])</f>
        <v>2026</v>
      </c>
    </row>
    <row r="10785" spans="1:9" x14ac:dyDescent="0.25">
      <c r="A10785" t="s">
        <v>6</v>
      </c>
      <c r="B10785" s="1">
        <v>46107</v>
      </c>
      <c r="C10785">
        <v>8</v>
      </c>
      <c r="D10785">
        <v>243.6</v>
      </c>
      <c r="E10785">
        <v>0</v>
      </c>
      <c r="F10785" t="s">
        <v>7</v>
      </c>
      <c r="G10785" t="s">
        <v>11</v>
      </c>
      <c r="H10785" s="5">
        <f>MONTH(Tabela1[[#This Row],[data]])</f>
        <v>3</v>
      </c>
      <c r="I10785">
        <f>YEAR(Tabela1[[#This Row],[data]])</f>
        <v>2026</v>
      </c>
    </row>
    <row r="10786" spans="1:9" x14ac:dyDescent="0.25">
      <c r="A10786" t="s">
        <v>6</v>
      </c>
      <c r="B10786" s="1">
        <v>46107</v>
      </c>
      <c r="C10786">
        <v>9</v>
      </c>
      <c r="D10786">
        <v>342.3</v>
      </c>
      <c r="E10786">
        <v>0</v>
      </c>
      <c r="F10786" t="s">
        <v>7</v>
      </c>
      <c r="G10786" t="s">
        <v>11</v>
      </c>
      <c r="H10786" s="5">
        <f>MONTH(Tabela1[[#This Row],[data]])</f>
        <v>3</v>
      </c>
      <c r="I10786">
        <f>YEAR(Tabela1[[#This Row],[data]])</f>
        <v>2026</v>
      </c>
    </row>
    <row r="10787" spans="1:9" x14ac:dyDescent="0.25">
      <c r="A10787" t="s">
        <v>6</v>
      </c>
      <c r="B10787" s="1">
        <v>46107</v>
      </c>
      <c r="C10787">
        <v>10</v>
      </c>
      <c r="D10787">
        <v>543.48</v>
      </c>
      <c r="E10787">
        <v>61.32</v>
      </c>
      <c r="F10787" t="s">
        <v>7</v>
      </c>
      <c r="G10787" t="s">
        <v>11</v>
      </c>
      <c r="H10787" s="5">
        <f>MONTH(Tabela1[[#This Row],[data]])</f>
        <v>3</v>
      </c>
      <c r="I10787">
        <f>YEAR(Tabela1[[#This Row],[data]])</f>
        <v>2026</v>
      </c>
    </row>
    <row r="10788" spans="1:9" x14ac:dyDescent="0.25">
      <c r="A10788" t="s">
        <v>6</v>
      </c>
      <c r="B10788" s="1">
        <v>46107</v>
      </c>
      <c r="C10788">
        <v>11</v>
      </c>
      <c r="D10788">
        <v>881.58</v>
      </c>
      <c r="E10788">
        <v>200.76</v>
      </c>
      <c r="F10788" t="s">
        <v>7</v>
      </c>
      <c r="G10788" t="s">
        <v>11</v>
      </c>
      <c r="H10788" s="5">
        <f>MONTH(Tabela1[[#This Row],[data]])</f>
        <v>3</v>
      </c>
      <c r="I10788">
        <f>YEAR(Tabela1[[#This Row],[data]])</f>
        <v>2026</v>
      </c>
    </row>
    <row r="10789" spans="1:9" x14ac:dyDescent="0.25">
      <c r="A10789" t="s">
        <v>6</v>
      </c>
      <c r="B10789" s="1">
        <v>46107</v>
      </c>
      <c r="C10789">
        <v>12</v>
      </c>
      <c r="D10789">
        <v>916.86</v>
      </c>
      <c r="E10789">
        <v>234.78</v>
      </c>
      <c r="F10789" t="s">
        <v>7</v>
      </c>
      <c r="G10789" t="s">
        <v>11</v>
      </c>
      <c r="H10789" s="5">
        <f>MONTH(Tabela1[[#This Row],[data]])</f>
        <v>3</v>
      </c>
      <c r="I10789">
        <f>YEAR(Tabela1[[#This Row],[data]])</f>
        <v>2026</v>
      </c>
    </row>
    <row r="10790" spans="1:9" x14ac:dyDescent="0.25">
      <c r="A10790" t="s">
        <v>6</v>
      </c>
      <c r="B10790" s="1">
        <v>46107</v>
      </c>
      <c r="C10790">
        <v>13</v>
      </c>
      <c r="D10790">
        <v>881.58</v>
      </c>
      <c r="E10790">
        <v>215.04</v>
      </c>
      <c r="F10790" t="s">
        <v>7</v>
      </c>
      <c r="G10790" t="s">
        <v>11</v>
      </c>
      <c r="H10790" s="5">
        <f>MONTH(Tabela1[[#This Row],[data]])</f>
        <v>3</v>
      </c>
      <c r="I10790">
        <f>YEAR(Tabela1[[#This Row],[data]])</f>
        <v>2026</v>
      </c>
    </row>
    <row r="10791" spans="1:9" x14ac:dyDescent="0.25">
      <c r="A10791" t="s">
        <v>6</v>
      </c>
      <c r="B10791" s="1">
        <v>46107</v>
      </c>
      <c r="C10791">
        <v>14</v>
      </c>
      <c r="D10791">
        <v>930.72</v>
      </c>
      <c r="E10791">
        <v>205.8</v>
      </c>
      <c r="F10791" t="s">
        <v>7</v>
      </c>
      <c r="G10791" t="s">
        <v>11</v>
      </c>
      <c r="H10791" s="5">
        <f>MONTH(Tabela1[[#This Row],[data]])</f>
        <v>3</v>
      </c>
      <c r="I10791">
        <f>YEAR(Tabela1[[#This Row],[data]])</f>
        <v>2026</v>
      </c>
    </row>
    <row r="10792" spans="1:9" x14ac:dyDescent="0.25">
      <c r="A10792" t="s">
        <v>6</v>
      </c>
      <c r="B10792" s="1">
        <v>46107</v>
      </c>
      <c r="C10792">
        <v>15</v>
      </c>
      <c r="D10792">
        <v>932.82</v>
      </c>
      <c r="E10792">
        <v>206.22</v>
      </c>
      <c r="F10792" t="s">
        <v>7</v>
      </c>
      <c r="G10792" t="s">
        <v>11</v>
      </c>
      <c r="H10792" s="5">
        <f>MONTH(Tabela1[[#This Row],[data]])</f>
        <v>3</v>
      </c>
      <c r="I10792">
        <f>YEAR(Tabela1[[#This Row],[data]])</f>
        <v>2026</v>
      </c>
    </row>
    <row r="10793" spans="1:9" x14ac:dyDescent="0.25">
      <c r="A10793" t="s">
        <v>6</v>
      </c>
      <c r="B10793" s="1">
        <v>46107</v>
      </c>
      <c r="C10793">
        <v>16</v>
      </c>
      <c r="D10793">
        <v>911.4</v>
      </c>
      <c r="E10793">
        <v>221.34</v>
      </c>
      <c r="F10793" t="s">
        <v>7</v>
      </c>
      <c r="G10793" t="s">
        <v>11</v>
      </c>
      <c r="H10793" s="5">
        <f>MONTH(Tabela1[[#This Row],[data]])</f>
        <v>3</v>
      </c>
      <c r="I10793">
        <f>YEAR(Tabela1[[#This Row],[data]])</f>
        <v>2026</v>
      </c>
    </row>
    <row r="10794" spans="1:9" x14ac:dyDescent="0.25">
      <c r="A10794" t="s">
        <v>6</v>
      </c>
      <c r="B10794" s="1">
        <v>46107</v>
      </c>
      <c r="C10794">
        <v>17</v>
      </c>
      <c r="D10794">
        <v>892.92</v>
      </c>
      <c r="E10794">
        <v>240.66</v>
      </c>
      <c r="F10794" t="s">
        <v>7</v>
      </c>
      <c r="G10794" t="s">
        <v>11</v>
      </c>
      <c r="H10794" s="5">
        <f>MONTH(Tabela1[[#This Row],[data]])</f>
        <v>3</v>
      </c>
      <c r="I10794">
        <f>YEAR(Tabela1[[#This Row],[data]])</f>
        <v>2026</v>
      </c>
    </row>
    <row r="10795" spans="1:9" x14ac:dyDescent="0.25">
      <c r="A10795" t="s">
        <v>6</v>
      </c>
      <c r="B10795" s="1">
        <v>46107</v>
      </c>
      <c r="C10795">
        <v>18</v>
      </c>
      <c r="D10795">
        <v>849.66</v>
      </c>
      <c r="E10795">
        <v>202.44</v>
      </c>
      <c r="F10795" t="s">
        <v>7</v>
      </c>
      <c r="G10795" t="s">
        <v>11</v>
      </c>
      <c r="H10795" s="5">
        <f>MONTH(Tabela1[[#This Row],[data]])</f>
        <v>3</v>
      </c>
      <c r="I10795">
        <f>YEAR(Tabela1[[#This Row],[data]])</f>
        <v>2026</v>
      </c>
    </row>
    <row r="10796" spans="1:9" x14ac:dyDescent="0.25">
      <c r="A10796" t="s">
        <v>6</v>
      </c>
      <c r="B10796" s="1">
        <v>46107</v>
      </c>
      <c r="C10796">
        <v>19</v>
      </c>
      <c r="D10796">
        <v>826.98</v>
      </c>
      <c r="E10796">
        <v>161.28</v>
      </c>
      <c r="F10796" t="s">
        <v>7</v>
      </c>
      <c r="G10796" t="s">
        <v>11</v>
      </c>
      <c r="H10796" s="5">
        <f>MONTH(Tabela1[[#This Row],[data]])</f>
        <v>3</v>
      </c>
      <c r="I10796">
        <f>YEAR(Tabela1[[#This Row],[data]])</f>
        <v>2026</v>
      </c>
    </row>
    <row r="10797" spans="1:9" x14ac:dyDescent="0.25">
      <c r="A10797" t="s">
        <v>6</v>
      </c>
      <c r="B10797" s="1">
        <v>46107</v>
      </c>
      <c r="C10797">
        <v>20</v>
      </c>
      <c r="D10797">
        <v>835.38</v>
      </c>
      <c r="E10797">
        <v>170.94</v>
      </c>
      <c r="F10797" t="s">
        <v>7</v>
      </c>
      <c r="G10797" t="s">
        <v>11</v>
      </c>
      <c r="H10797" s="5">
        <f>MONTH(Tabela1[[#This Row],[data]])</f>
        <v>3</v>
      </c>
      <c r="I10797">
        <f>YEAR(Tabela1[[#This Row],[data]])</f>
        <v>2026</v>
      </c>
    </row>
    <row r="10798" spans="1:9" x14ac:dyDescent="0.25">
      <c r="A10798" t="s">
        <v>6</v>
      </c>
      <c r="B10798" s="1">
        <v>46107</v>
      </c>
      <c r="C10798">
        <v>21</v>
      </c>
      <c r="D10798">
        <v>811.86</v>
      </c>
      <c r="E10798">
        <v>170.94</v>
      </c>
      <c r="F10798" t="s">
        <v>7</v>
      </c>
      <c r="G10798" t="s">
        <v>11</v>
      </c>
      <c r="H10798" s="5">
        <f>MONTH(Tabela1[[#This Row],[data]])</f>
        <v>3</v>
      </c>
      <c r="I10798">
        <f>YEAR(Tabela1[[#This Row],[data]])</f>
        <v>2026</v>
      </c>
    </row>
    <row r="10799" spans="1:9" x14ac:dyDescent="0.25">
      <c r="A10799" t="s">
        <v>6</v>
      </c>
      <c r="B10799" s="1">
        <v>46107</v>
      </c>
      <c r="C10799">
        <v>22</v>
      </c>
      <c r="D10799">
        <v>564.48</v>
      </c>
      <c r="E10799">
        <v>46.62</v>
      </c>
      <c r="F10799" t="s">
        <v>7</v>
      </c>
      <c r="G10799" t="s">
        <v>11</v>
      </c>
      <c r="H10799" s="5">
        <f>MONTH(Tabela1[[#This Row],[data]])</f>
        <v>3</v>
      </c>
      <c r="I10799">
        <f>YEAR(Tabela1[[#This Row],[data]])</f>
        <v>2026</v>
      </c>
    </row>
    <row r="10800" spans="1:9" x14ac:dyDescent="0.25">
      <c r="A10800" t="s">
        <v>6</v>
      </c>
      <c r="B10800" s="1">
        <v>46107</v>
      </c>
      <c r="C10800">
        <v>23</v>
      </c>
      <c r="D10800">
        <v>367.92</v>
      </c>
      <c r="E10800">
        <v>2.94</v>
      </c>
      <c r="F10800" t="s">
        <v>7</v>
      </c>
      <c r="G10800" t="s">
        <v>11</v>
      </c>
      <c r="H10800" s="5">
        <f>MONTH(Tabela1[[#This Row],[data]])</f>
        <v>3</v>
      </c>
      <c r="I10800">
        <f>YEAR(Tabela1[[#This Row],[data]])</f>
        <v>2026</v>
      </c>
    </row>
    <row r="10801" spans="1:9" x14ac:dyDescent="0.25">
      <c r="A10801" t="s">
        <v>6</v>
      </c>
      <c r="B10801" s="1">
        <v>46107</v>
      </c>
      <c r="C10801">
        <v>24</v>
      </c>
      <c r="D10801">
        <v>272.16000000000003</v>
      </c>
      <c r="E10801">
        <v>0</v>
      </c>
      <c r="F10801" t="s">
        <v>7</v>
      </c>
      <c r="G10801" t="s">
        <v>11</v>
      </c>
      <c r="H10801" s="5">
        <f>MONTH(Tabela1[[#This Row],[data]])</f>
        <v>3</v>
      </c>
      <c r="I10801">
        <f>YEAR(Tabela1[[#This Row],[data]])</f>
        <v>2026</v>
      </c>
    </row>
    <row r="10802" spans="1:9" x14ac:dyDescent="0.25">
      <c r="A10802" t="s">
        <v>6</v>
      </c>
      <c r="B10802" s="1">
        <v>46108</v>
      </c>
      <c r="C10802">
        <v>1</v>
      </c>
      <c r="D10802">
        <v>254.1</v>
      </c>
      <c r="E10802">
        <v>0</v>
      </c>
      <c r="F10802" t="s">
        <v>7</v>
      </c>
      <c r="G10802" t="s">
        <v>11</v>
      </c>
      <c r="H10802" s="5">
        <f>MONTH(Tabela1[[#This Row],[data]])</f>
        <v>3</v>
      </c>
      <c r="I10802">
        <f>YEAR(Tabela1[[#This Row],[data]])</f>
        <v>2026</v>
      </c>
    </row>
    <row r="10803" spans="1:9" x14ac:dyDescent="0.25">
      <c r="A10803" t="s">
        <v>6</v>
      </c>
      <c r="B10803" s="1">
        <v>46108</v>
      </c>
      <c r="C10803">
        <v>2</v>
      </c>
      <c r="D10803">
        <v>233.1</v>
      </c>
      <c r="E10803">
        <v>0</v>
      </c>
      <c r="F10803" t="s">
        <v>7</v>
      </c>
      <c r="G10803" t="s">
        <v>11</v>
      </c>
      <c r="H10803" s="5">
        <f>MONTH(Tabela1[[#This Row],[data]])</f>
        <v>3</v>
      </c>
      <c r="I10803">
        <f>YEAR(Tabela1[[#This Row],[data]])</f>
        <v>2026</v>
      </c>
    </row>
    <row r="10804" spans="1:9" x14ac:dyDescent="0.25">
      <c r="A10804" t="s">
        <v>6</v>
      </c>
      <c r="B10804" s="1">
        <v>46108</v>
      </c>
      <c r="C10804">
        <v>3</v>
      </c>
      <c r="D10804">
        <v>227.22</v>
      </c>
      <c r="E10804">
        <v>0</v>
      </c>
      <c r="F10804" t="s">
        <v>7</v>
      </c>
      <c r="G10804" t="s">
        <v>11</v>
      </c>
      <c r="H10804" s="5">
        <f>MONTH(Tabela1[[#This Row],[data]])</f>
        <v>3</v>
      </c>
      <c r="I10804">
        <f>YEAR(Tabela1[[#This Row],[data]])</f>
        <v>2026</v>
      </c>
    </row>
    <row r="10805" spans="1:9" x14ac:dyDescent="0.25">
      <c r="A10805" t="s">
        <v>6</v>
      </c>
      <c r="B10805" s="1">
        <v>46108</v>
      </c>
      <c r="C10805">
        <v>4</v>
      </c>
      <c r="D10805">
        <v>226.38</v>
      </c>
      <c r="E10805">
        <v>0</v>
      </c>
      <c r="F10805" t="s">
        <v>7</v>
      </c>
      <c r="G10805" t="s">
        <v>11</v>
      </c>
      <c r="H10805" s="5">
        <f>MONTH(Tabela1[[#This Row],[data]])</f>
        <v>3</v>
      </c>
      <c r="I10805">
        <f>YEAR(Tabela1[[#This Row],[data]])</f>
        <v>2026</v>
      </c>
    </row>
    <row r="10806" spans="1:9" x14ac:dyDescent="0.25">
      <c r="A10806" t="s">
        <v>6</v>
      </c>
      <c r="B10806" s="1">
        <v>46108</v>
      </c>
      <c r="C10806">
        <v>5</v>
      </c>
      <c r="D10806">
        <v>229.74</v>
      </c>
      <c r="E10806">
        <v>0</v>
      </c>
      <c r="F10806" t="s">
        <v>7</v>
      </c>
      <c r="G10806" t="s">
        <v>11</v>
      </c>
      <c r="H10806" s="5">
        <f>MONTH(Tabela1[[#This Row],[data]])</f>
        <v>3</v>
      </c>
      <c r="I10806">
        <f>YEAR(Tabela1[[#This Row],[data]])</f>
        <v>2026</v>
      </c>
    </row>
    <row r="10807" spans="1:9" x14ac:dyDescent="0.25">
      <c r="A10807" t="s">
        <v>6</v>
      </c>
      <c r="B10807" s="1">
        <v>46108</v>
      </c>
      <c r="C10807">
        <v>6</v>
      </c>
      <c r="D10807">
        <v>222.18</v>
      </c>
      <c r="E10807">
        <v>0</v>
      </c>
      <c r="F10807" t="s">
        <v>7</v>
      </c>
      <c r="G10807" t="s">
        <v>11</v>
      </c>
      <c r="H10807" s="5">
        <f>MONTH(Tabela1[[#This Row],[data]])</f>
        <v>3</v>
      </c>
      <c r="I10807">
        <f>YEAR(Tabela1[[#This Row],[data]])</f>
        <v>2026</v>
      </c>
    </row>
    <row r="10808" spans="1:9" x14ac:dyDescent="0.25">
      <c r="A10808" t="s">
        <v>6</v>
      </c>
      <c r="B10808" s="1">
        <v>46108</v>
      </c>
      <c r="C10808">
        <v>7</v>
      </c>
      <c r="D10808">
        <v>218.4</v>
      </c>
      <c r="E10808">
        <v>0</v>
      </c>
      <c r="F10808" t="s">
        <v>7</v>
      </c>
      <c r="G10808" t="s">
        <v>11</v>
      </c>
      <c r="H10808" s="5">
        <f>MONTH(Tabela1[[#This Row],[data]])</f>
        <v>3</v>
      </c>
      <c r="I10808">
        <f>YEAR(Tabela1[[#This Row],[data]])</f>
        <v>2026</v>
      </c>
    </row>
    <row r="10809" spans="1:9" x14ac:dyDescent="0.25">
      <c r="A10809" t="s">
        <v>6</v>
      </c>
      <c r="B10809" s="1">
        <v>46108</v>
      </c>
      <c r="C10809">
        <v>8</v>
      </c>
      <c r="D10809">
        <v>246.54</v>
      </c>
      <c r="E10809">
        <v>0</v>
      </c>
      <c r="F10809" t="s">
        <v>7</v>
      </c>
      <c r="G10809" t="s">
        <v>11</v>
      </c>
      <c r="H10809" s="5">
        <f>MONTH(Tabela1[[#This Row],[data]])</f>
        <v>3</v>
      </c>
      <c r="I10809">
        <f>YEAR(Tabela1[[#This Row],[data]])</f>
        <v>2026</v>
      </c>
    </row>
    <row r="10810" spans="1:9" x14ac:dyDescent="0.25">
      <c r="A10810" t="s">
        <v>6</v>
      </c>
      <c r="B10810" s="1">
        <v>46108</v>
      </c>
      <c r="C10810">
        <v>9</v>
      </c>
      <c r="D10810">
        <v>375.48</v>
      </c>
      <c r="E10810">
        <v>1.68</v>
      </c>
      <c r="F10810" t="s">
        <v>7</v>
      </c>
      <c r="G10810" t="s">
        <v>11</v>
      </c>
      <c r="H10810" s="5">
        <f>MONTH(Tabela1[[#This Row],[data]])</f>
        <v>3</v>
      </c>
      <c r="I10810">
        <f>YEAR(Tabela1[[#This Row],[data]])</f>
        <v>2026</v>
      </c>
    </row>
    <row r="10811" spans="1:9" x14ac:dyDescent="0.25">
      <c r="A10811" t="s">
        <v>6</v>
      </c>
      <c r="B10811" s="1">
        <v>46108</v>
      </c>
      <c r="C10811">
        <v>10</v>
      </c>
      <c r="D10811">
        <v>726.6</v>
      </c>
      <c r="E10811">
        <v>149.52000000000001</v>
      </c>
      <c r="F10811" t="s">
        <v>7</v>
      </c>
      <c r="G10811" t="s">
        <v>11</v>
      </c>
      <c r="H10811" s="5">
        <f>MONTH(Tabela1[[#This Row],[data]])</f>
        <v>3</v>
      </c>
      <c r="I10811">
        <f>YEAR(Tabela1[[#This Row],[data]])</f>
        <v>2026</v>
      </c>
    </row>
    <row r="10812" spans="1:9" x14ac:dyDescent="0.25">
      <c r="A10812" t="s">
        <v>6</v>
      </c>
      <c r="B10812" s="1">
        <v>46108</v>
      </c>
      <c r="C10812">
        <v>11</v>
      </c>
      <c r="D10812">
        <v>956.34</v>
      </c>
      <c r="E10812">
        <v>305.33999999999997</v>
      </c>
      <c r="F10812" t="s">
        <v>7</v>
      </c>
      <c r="G10812" t="s">
        <v>11</v>
      </c>
      <c r="H10812" s="5">
        <f>MONTH(Tabela1[[#This Row],[data]])</f>
        <v>3</v>
      </c>
      <c r="I10812">
        <f>YEAR(Tabela1[[#This Row],[data]])</f>
        <v>2026</v>
      </c>
    </row>
    <row r="10813" spans="1:9" x14ac:dyDescent="0.25">
      <c r="A10813" t="s">
        <v>6</v>
      </c>
      <c r="B10813" s="1">
        <v>46108</v>
      </c>
      <c r="C10813">
        <v>12</v>
      </c>
      <c r="D10813">
        <v>976.08</v>
      </c>
      <c r="E10813">
        <v>320.04000000000002</v>
      </c>
      <c r="F10813" t="s">
        <v>7</v>
      </c>
      <c r="G10813" t="s">
        <v>11</v>
      </c>
      <c r="H10813" s="5">
        <f>MONTH(Tabela1[[#This Row],[data]])</f>
        <v>3</v>
      </c>
      <c r="I10813">
        <f>YEAR(Tabela1[[#This Row],[data]])</f>
        <v>2026</v>
      </c>
    </row>
    <row r="10814" spans="1:9" x14ac:dyDescent="0.25">
      <c r="A10814" t="s">
        <v>6</v>
      </c>
      <c r="B10814" s="1">
        <v>46108</v>
      </c>
      <c r="C10814">
        <v>13</v>
      </c>
      <c r="D10814" s="2">
        <v>1013.88</v>
      </c>
      <c r="E10814">
        <v>320.88</v>
      </c>
      <c r="F10814" t="s">
        <v>7</v>
      </c>
      <c r="G10814" t="s">
        <v>11</v>
      </c>
      <c r="H10814" s="5">
        <f>MONTH(Tabela1[[#This Row],[data]])</f>
        <v>3</v>
      </c>
      <c r="I10814">
        <f>YEAR(Tabela1[[#This Row],[data]])</f>
        <v>2026</v>
      </c>
    </row>
    <row r="10815" spans="1:9" x14ac:dyDescent="0.25">
      <c r="A10815" t="s">
        <v>6</v>
      </c>
      <c r="B10815" s="1">
        <v>46108</v>
      </c>
      <c r="C10815">
        <v>14</v>
      </c>
      <c r="D10815">
        <v>996.66</v>
      </c>
      <c r="E10815">
        <v>288.54000000000002</v>
      </c>
      <c r="F10815" t="s">
        <v>7</v>
      </c>
      <c r="G10815" t="s">
        <v>11</v>
      </c>
      <c r="H10815" s="5">
        <f>MONTH(Tabela1[[#This Row],[data]])</f>
        <v>3</v>
      </c>
      <c r="I10815">
        <f>YEAR(Tabela1[[#This Row],[data]])</f>
        <v>2026</v>
      </c>
    </row>
    <row r="10816" spans="1:9" x14ac:dyDescent="0.25">
      <c r="A10816" t="s">
        <v>6</v>
      </c>
      <c r="B10816" s="1">
        <v>46108</v>
      </c>
      <c r="C10816">
        <v>15</v>
      </c>
      <c r="D10816" s="2">
        <v>1026.06</v>
      </c>
      <c r="E10816">
        <v>301.14</v>
      </c>
      <c r="F10816" t="s">
        <v>7</v>
      </c>
      <c r="G10816" t="s">
        <v>11</v>
      </c>
      <c r="H10816" s="5">
        <f>MONTH(Tabela1[[#This Row],[data]])</f>
        <v>3</v>
      </c>
      <c r="I10816">
        <f>YEAR(Tabela1[[#This Row],[data]])</f>
        <v>2026</v>
      </c>
    </row>
    <row r="10817" spans="1:9" x14ac:dyDescent="0.25">
      <c r="A10817" t="s">
        <v>6</v>
      </c>
      <c r="B10817" s="1">
        <v>46108</v>
      </c>
      <c r="C10817">
        <v>16</v>
      </c>
      <c r="D10817" s="2">
        <v>1024.3800000000001</v>
      </c>
      <c r="E10817">
        <v>337.68</v>
      </c>
      <c r="F10817" t="s">
        <v>7</v>
      </c>
      <c r="G10817" t="s">
        <v>11</v>
      </c>
      <c r="H10817" s="5">
        <f>MONTH(Tabela1[[#This Row],[data]])</f>
        <v>3</v>
      </c>
      <c r="I10817">
        <f>YEAR(Tabela1[[#This Row],[data]])</f>
        <v>2026</v>
      </c>
    </row>
    <row r="10818" spans="1:9" x14ac:dyDescent="0.25">
      <c r="A10818" t="s">
        <v>6</v>
      </c>
      <c r="B10818" s="1">
        <v>46108</v>
      </c>
      <c r="C10818">
        <v>17</v>
      </c>
      <c r="D10818">
        <v>999.6</v>
      </c>
      <c r="E10818">
        <v>304.92</v>
      </c>
      <c r="F10818" t="s">
        <v>7</v>
      </c>
      <c r="G10818" t="s">
        <v>11</v>
      </c>
      <c r="H10818" s="5">
        <f>MONTH(Tabela1[[#This Row],[data]])</f>
        <v>3</v>
      </c>
      <c r="I10818">
        <f>YEAR(Tabela1[[#This Row],[data]])</f>
        <v>2026</v>
      </c>
    </row>
    <row r="10819" spans="1:9" x14ac:dyDescent="0.25">
      <c r="A10819" t="s">
        <v>6</v>
      </c>
      <c r="B10819" s="1">
        <v>46108</v>
      </c>
      <c r="C10819">
        <v>18</v>
      </c>
      <c r="D10819">
        <v>984.48</v>
      </c>
      <c r="E10819">
        <v>255.78</v>
      </c>
      <c r="F10819" t="s">
        <v>7</v>
      </c>
      <c r="G10819" t="s">
        <v>11</v>
      </c>
      <c r="H10819" s="5">
        <f>MONTH(Tabela1[[#This Row],[data]])</f>
        <v>3</v>
      </c>
      <c r="I10819">
        <f>YEAR(Tabela1[[#This Row],[data]])</f>
        <v>2026</v>
      </c>
    </row>
    <row r="10820" spans="1:9" x14ac:dyDescent="0.25">
      <c r="A10820" t="s">
        <v>6</v>
      </c>
      <c r="B10820" s="1">
        <v>46108</v>
      </c>
      <c r="C10820">
        <v>19</v>
      </c>
      <c r="D10820">
        <v>933.66</v>
      </c>
      <c r="E10820">
        <v>226.38</v>
      </c>
      <c r="F10820" t="s">
        <v>7</v>
      </c>
      <c r="G10820" t="s">
        <v>11</v>
      </c>
      <c r="H10820" s="5">
        <f>MONTH(Tabela1[[#This Row],[data]])</f>
        <v>3</v>
      </c>
      <c r="I10820">
        <f>YEAR(Tabela1[[#This Row],[data]])</f>
        <v>2026</v>
      </c>
    </row>
    <row r="10821" spans="1:9" x14ac:dyDescent="0.25">
      <c r="A10821" t="s">
        <v>6</v>
      </c>
      <c r="B10821" s="1">
        <v>46108</v>
      </c>
      <c r="C10821">
        <v>20</v>
      </c>
      <c r="D10821">
        <v>900.9</v>
      </c>
      <c r="E10821">
        <v>225.96</v>
      </c>
      <c r="F10821" t="s">
        <v>7</v>
      </c>
      <c r="G10821" t="s">
        <v>11</v>
      </c>
      <c r="H10821" s="5">
        <f>MONTH(Tabela1[[#This Row],[data]])</f>
        <v>3</v>
      </c>
      <c r="I10821">
        <f>YEAR(Tabela1[[#This Row],[data]])</f>
        <v>2026</v>
      </c>
    </row>
    <row r="10822" spans="1:9" x14ac:dyDescent="0.25">
      <c r="A10822" t="s">
        <v>6</v>
      </c>
      <c r="B10822" s="1">
        <v>46108</v>
      </c>
      <c r="C10822">
        <v>21</v>
      </c>
      <c r="D10822">
        <v>889.14</v>
      </c>
      <c r="E10822">
        <v>213.78</v>
      </c>
      <c r="F10822" t="s">
        <v>7</v>
      </c>
      <c r="G10822" t="s">
        <v>11</v>
      </c>
      <c r="H10822" s="5">
        <f>MONTH(Tabela1[[#This Row],[data]])</f>
        <v>3</v>
      </c>
      <c r="I10822">
        <f>YEAR(Tabela1[[#This Row],[data]])</f>
        <v>2026</v>
      </c>
    </row>
    <row r="10823" spans="1:9" x14ac:dyDescent="0.25">
      <c r="A10823" t="s">
        <v>6</v>
      </c>
      <c r="B10823" s="1">
        <v>46108</v>
      </c>
      <c r="C10823">
        <v>22</v>
      </c>
      <c r="D10823">
        <v>785.4</v>
      </c>
      <c r="E10823">
        <v>170.52</v>
      </c>
      <c r="F10823" t="s">
        <v>7</v>
      </c>
      <c r="G10823" t="s">
        <v>11</v>
      </c>
      <c r="H10823" s="5">
        <f>MONTH(Tabela1[[#This Row],[data]])</f>
        <v>3</v>
      </c>
      <c r="I10823">
        <f>YEAR(Tabela1[[#This Row],[data]])</f>
        <v>2026</v>
      </c>
    </row>
    <row r="10824" spans="1:9" x14ac:dyDescent="0.25">
      <c r="A10824" t="s">
        <v>6</v>
      </c>
      <c r="B10824" s="1">
        <v>46108</v>
      </c>
      <c r="C10824">
        <v>23</v>
      </c>
      <c r="D10824">
        <v>379.68</v>
      </c>
      <c r="E10824">
        <v>0.84</v>
      </c>
      <c r="F10824" t="s">
        <v>7</v>
      </c>
      <c r="G10824" t="s">
        <v>11</v>
      </c>
      <c r="H10824" s="5">
        <f>MONTH(Tabela1[[#This Row],[data]])</f>
        <v>3</v>
      </c>
      <c r="I10824">
        <f>YEAR(Tabela1[[#This Row],[data]])</f>
        <v>2026</v>
      </c>
    </row>
    <row r="10825" spans="1:9" x14ac:dyDescent="0.25">
      <c r="A10825" t="s">
        <v>6</v>
      </c>
      <c r="B10825" s="1">
        <v>46108</v>
      </c>
      <c r="C10825">
        <v>24</v>
      </c>
      <c r="D10825">
        <v>282.24</v>
      </c>
      <c r="E10825">
        <v>0</v>
      </c>
      <c r="F10825" t="s">
        <v>7</v>
      </c>
      <c r="G10825" t="s">
        <v>11</v>
      </c>
      <c r="H10825" s="5">
        <f>MONTH(Tabela1[[#This Row],[data]])</f>
        <v>3</v>
      </c>
      <c r="I10825">
        <f>YEAR(Tabela1[[#This Row],[data]])</f>
        <v>2026</v>
      </c>
    </row>
    <row r="10826" spans="1:9" x14ac:dyDescent="0.25">
      <c r="A10826" t="s">
        <v>6</v>
      </c>
      <c r="B10826" s="1">
        <v>46109</v>
      </c>
      <c r="C10826">
        <v>1</v>
      </c>
      <c r="D10826">
        <v>244.86</v>
      </c>
      <c r="E10826">
        <v>0</v>
      </c>
      <c r="F10826" t="s">
        <v>7</v>
      </c>
      <c r="G10826" t="s">
        <v>11</v>
      </c>
      <c r="H10826" s="5">
        <f>MONTH(Tabela1[[#This Row],[data]])</f>
        <v>3</v>
      </c>
      <c r="I10826">
        <f>YEAR(Tabela1[[#This Row],[data]])</f>
        <v>2026</v>
      </c>
    </row>
    <row r="10827" spans="1:9" x14ac:dyDescent="0.25">
      <c r="A10827" t="s">
        <v>6</v>
      </c>
      <c r="B10827" s="1">
        <v>46109</v>
      </c>
      <c r="C10827">
        <v>2</v>
      </c>
      <c r="D10827">
        <v>228.9</v>
      </c>
      <c r="E10827">
        <v>0</v>
      </c>
      <c r="F10827" t="s">
        <v>7</v>
      </c>
      <c r="G10827" t="s">
        <v>11</v>
      </c>
      <c r="H10827" s="5">
        <f>MONTH(Tabela1[[#This Row],[data]])</f>
        <v>3</v>
      </c>
      <c r="I10827">
        <f>YEAR(Tabela1[[#This Row],[data]])</f>
        <v>2026</v>
      </c>
    </row>
    <row r="10828" spans="1:9" x14ac:dyDescent="0.25">
      <c r="A10828" t="s">
        <v>6</v>
      </c>
      <c r="B10828" s="1">
        <v>46109</v>
      </c>
      <c r="C10828">
        <v>3</v>
      </c>
      <c r="D10828">
        <v>227.64</v>
      </c>
      <c r="E10828">
        <v>0</v>
      </c>
      <c r="F10828" t="s">
        <v>7</v>
      </c>
      <c r="G10828" t="s">
        <v>11</v>
      </c>
      <c r="H10828" s="5">
        <f>MONTH(Tabela1[[#This Row],[data]])</f>
        <v>3</v>
      </c>
      <c r="I10828">
        <f>YEAR(Tabela1[[#This Row],[data]])</f>
        <v>2026</v>
      </c>
    </row>
    <row r="10829" spans="1:9" x14ac:dyDescent="0.25">
      <c r="A10829" t="s">
        <v>6</v>
      </c>
      <c r="B10829" s="1">
        <v>46109</v>
      </c>
      <c r="C10829">
        <v>4</v>
      </c>
      <c r="D10829">
        <v>227.22</v>
      </c>
      <c r="E10829">
        <v>0</v>
      </c>
      <c r="F10829" t="s">
        <v>7</v>
      </c>
      <c r="G10829" t="s">
        <v>11</v>
      </c>
      <c r="H10829" s="5">
        <f>MONTH(Tabela1[[#This Row],[data]])</f>
        <v>3</v>
      </c>
      <c r="I10829">
        <f>YEAR(Tabela1[[#This Row],[data]])</f>
        <v>2026</v>
      </c>
    </row>
    <row r="10830" spans="1:9" x14ac:dyDescent="0.25">
      <c r="A10830" t="s">
        <v>6</v>
      </c>
      <c r="B10830" s="1">
        <v>46109</v>
      </c>
      <c r="C10830">
        <v>5</v>
      </c>
      <c r="D10830">
        <v>233.52</v>
      </c>
      <c r="E10830">
        <v>0</v>
      </c>
      <c r="F10830" t="s">
        <v>7</v>
      </c>
      <c r="G10830" t="s">
        <v>11</v>
      </c>
      <c r="H10830" s="5">
        <f>MONTH(Tabela1[[#This Row],[data]])</f>
        <v>3</v>
      </c>
      <c r="I10830">
        <f>YEAR(Tabela1[[#This Row],[data]])</f>
        <v>2026</v>
      </c>
    </row>
    <row r="10831" spans="1:9" x14ac:dyDescent="0.25">
      <c r="A10831" t="s">
        <v>6</v>
      </c>
      <c r="B10831" s="1">
        <v>46109</v>
      </c>
      <c r="C10831">
        <v>6</v>
      </c>
      <c r="D10831">
        <v>226.8</v>
      </c>
      <c r="E10831">
        <v>0</v>
      </c>
      <c r="F10831" t="s">
        <v>7</v>
      </c>
      <c r="G10831" t="s">
        <v>11</v>
      </c>
      <c r="H10831" s="5">
        <f>MONTH(Tabela1[[#This Row],[data]])</f>
        <v>3</v>
      </c>
      <c r="I10831">
        <f>YEAR(Tabela1[[#This Row],[data]])</f>
        <v>2026</v>
      </c>
    </row>
    <row r="10832" spans="1:9" x14ac:dyDescent="0.25">
      <c r="A10832" t="s">
        <v>6</v>
      </c>
      <c r="B10832" s="1">
        <v>46109</v>
      </c>
      <c r="C10832">
        <v>7</v>
      </c>
      <c r="D10832">
        <v>204.54</v>
      </c>
      <c r="E10832">
        <v>0</v>
      </c>
      <c r="F10832" t="s">
        <v>7</v>
      </c>
      <c r="G10832" t="s">
        <v>11</v>
      </c>
      <c r="H10832" s="5">
        <f>MONTH(Tabela1[[#This Row],[data]])</f>
        <v>3</v>
      </c>
      <c r="I10832">
        <f>YEAR(Tabela1[[#This Row],[data]])</f>
        <v>2026</v>
      </c>
    </row>
    <row r="10833" spans="1:9" x14ac:dyDescent="0.25">
      <c r="A10833" t="s">
        <v>6</v>
      </c>
      <c r="B10833" s="1">
        <v>46109</v>
      </c>
      <c r="C10833">
        <v>8</v>
      </c>
      <c r="D10833">
        <v>228.9</v>
      </c>
      <c r="E10833">
        <v>0</v>
      </c>
      <c r="F10833" t="s">
        <v>7</v>
      </c>
      <c r="G10833" t="s">
        <v>11</v>
      </c>
      <c r="H10833" s="5">
        <f>MONTH(Tabela1[[#This Row],[data]])</f>
        <v>3</v>
      </c>
      <c r="I10833">
        <f>YEAR(Tabela1[[#This Row],[data]])</f>
        <v>2026</v>
      </c>
    </row>
    <row r="10834" spans="1:9" x14ac:dyDescent="0.25">
      <c r="A10834" t="s">
        <v>6</v>
      </c>
      <c r="B10834" s="1">
        <v>46109</v>
      </c>
      <c r="C10834">
        <v>9</v>
      </c>
      <c r="D10834">
        <v>343.56</v>
      </c>
      <c r="E10834">
        <v>0</v>
      </c>
      <c r="F10834" t="s">
        <v>7</v>
      </c>
      <c r="G10834" t="s">
        <v>11</v>
      </c>
      <c r="H10834" s="5">
        <f>MONTH(Tabela1[[#This Row],[data]])</f>
        <v>3</v>
      </c>
      <c r="I10834">
        <f>YEAR(Tabela1[[#This Row],[data]])</f>
        <v>2026</v>
      </c>
    </row>
    <row r="10835" spans="1:9" x14ac:dyDescent="0.25">
      <c r="A10835" t="s">
        <v>6</v>
      </c>
      <c r="B10835" s="1">
        <v>46109</v>
      </c>
      <c r="C10835">
        <v>10</v>
      </c>
      <c r="D10835">
        <v>514.91999999999996</v>
      </c>
      <c r="E10835">
        <v>48.72</v>
      </c>
      <c r="F10835" t="s">
        <v>7</v>
      </c>
      <c r="G10835" t="s">
        <v>11</v>
      </c>
      <c r="H10835" s="5">
        <f>MONTH(Tabela1[[#This Row],[data]])</f>
        <v>3</v>
      </c>
      <c r="I10835">
        <f>YEAR(Tabela1[[#This Row],[data]])</f>
        <v>2026</v>
      </c>
    </row>
    <row r="10836" spans="1:9" x14ac:dyDescent="0.25">
      <c r="A10836" t="s">
        <v>6</v>
      </c>
      <c r="B10836" s="1">
        <v>46109</v>
      </c>
      <c r="C10836">
        <v>11</v>
      </c>
      <c r="D10836">
        <v>866.04</v>
      </c>
      <c r="E10836">
        <v>183.96</v>
      </c>
      <c r="F10836" t="s">
        <v>7</v>
      </c>
      <c r="G10836" t="s">
        <v>11</v>
      </c>
      <c r="H10836" s="5">
        <f>MONTH(Tabela1[[#This Row],[data]])</f>
        <v>3</v>
      </c>
      <c r="I10836">
        <f>YEAR(Tabela1[[#This Row],[data]])</f>
        <v>2026</v>
      </c>
    </row>
    <row r="10837" spans="1:9" x14ac:dyDescent="0.25">
      <c r="A10837" t="s">
        <v>6</v>
      </c>
      <c r="B10837" s="1">
        <v>46109</v>
      </c>
      <c r="C10837">
        <v>12</v>
      </c>
      <c r="D10837">
        <v>877.38</v>
      </c>
      <c r="E10837">
        <v>219.24</v>
      </c>
      <c r="F10837" t="s">
        <v>7</v>
      </c>
      <c r="G10837" t="s">
        <v>11</v>
      </c>
      <c r="H10837" s="5">
        <f>MONTH(Tabela1[[#This Row],[data]])</f>
        <v>3</v>
      </c>
      <c r="I10837">
        <f>YEAR(Tabela1[[#This Row],[data]])</f>
        <v>2026</v>
      </c>
    </row>
    <row r="10838" spans="1:9" x14ac:dyDescent="0.25">
      <c r="A10838" t="s">
        <v>6</v>
      </c>
      <c r="B10838" s="1">
        <v>46109</v>
      </c>
      <c r="C10838">
        <v>13</v>
      </c>
      <c r="D10838">
        <v>929.88</v>
      </c>
      <c r="E10838">
        <v>231.42</v>
      </c>
      <c r="F10838" t="s">
        <v>7</v>
      </c>
      <c r="G10838" t="s">
        <v>11</v>
      </c>
      <c r="H10838" s="5">
        <f>MONTH(Tabela1[[#This Row],[data]])</f>
        <v>3</v>
      </c>
      <c r="I10838">
        <f>YEAR(Tabela1[[#This Row],[data]])</f>
        <v>2026</v>
      </c>
    </row>
    <row r="10839" spans="1:9" x14ac:dyDescent="0.25">
      <c r="A10839" t="s">
        <v>6</v>
      </c>
      <c r="B10839" s="1">
        <v>46109</v>
      </c>
      <c r="C10839">
        <v>14</v>
      </c>
      <c r="D10839">
        <v>913.08</v>
      </c>
      <c r="E10839">
        <v>205.38</v>
      </c>
      <c r="F10839" t="s">
        <v>7</v>
      </c>
      <c r="G10839" t="s">
        <v>11</v>
      </c>
      <c r="H10839" s="5">
        <f>MONTH(Tabela1[[#This Row],[data]])</f>
        <v>3</v>
      </c>
      <c r="I10839">
        <f>YEAR(Tabela1[[#This Row],[data]])</f>
        <v>2026</v>
      </c>
    </row>
    <row r="10840" spans="1:9" x14ac:dyDescent="0.25">
      <c r="A10840" t="s">
        <v>6</v>
      </c>
      <c r="B10840" s="1">
        <v>46109</v>
      </c>
      <c r="C10840">
        <v>15</v>
      </c>
      <c r="D10840">
        <v>920.64</v>
      </c>
      <c r="E10840">
        <v>210</v>
      </c>
      <c r="F10840" t="s">
        <v>7</v>
      </c>
      <c r="G10840" t="s">
        <v>11</v>
      </c>
      <c r="H10840" s="5">
        <f>MONTH(Tabela1[[#This Row],[data]])</f>
        <v>3</v>
      </c>
      <c r="I10840">
        <f>YEAR(Tabela1[[#This Row],[data]])</f>
        <v>2026</v>
      </c>
    </row>
    <row r="10841" spans="1:9" x14ac:dyDescent="0.25">
      <c r="A10841" t="s">
        <v>6</v>
      </c>
      <c r="B10841" s="1">
        <v>46109</v>
      </c>
      <c r="C10841">
        <v>16</v>
      </c>
      <c r="D10841">
        <v>902.16</v>
      </c>
      <c r="E10841">
        <v>209.58</v>
      </c>
      <c r="F10841" t="s">
        <v>7</v>
      </c>
      <c r="G10841" t="s">
        <v>11</v>
      </c>
      <c r="H10841" s="5">
        <f>MONTH(Tabela1[[#This Row],[data]])</f>
        <v>3</v>
      </c>
      <c r="I10841">
        <f>YEAR(Tabela1[[#This Row],[data]])</f>
        <v>2026</v>
      </c>
    </row>
    <row r="10842" spans="1:9" x14ac:dyDescent="0.25">
      <c r="A10842" t="s">
        <v>6</v>
      </c>
      <c r="B10842" s="1">
        <v>46109</v>
      </c>
      <c r="C10842">
        <v>17</v>
      </c>
      <c r="D10842">
        <v>890.4</v>
      </c>
      <c r="E10842">
        <v>211.26</v>
      </c>
      <c r="F10842" t="s">
        <v>7</v>
      </c>
      <c r="G10842" t="s">
        <v>11</v>
      </c>
      <c r="H10842" s="5">
        <f>MONTH(Tabela1[[#This Row],[data]])</f>
        <v>3</v>
      </c>
      <c r="I10842">
        <f>YEAR(Tabela1[[#This Row],[data]])</f>
        <v>2026</v>
      </c>
    </row>
    <row r="10843" spans="1:9" x14ac:dyDescent="0.25">
      <c r="A10843" t="s">
        <v>6</v>
      </c>
      <c r="B10843" s="1">
        <v>46109</v>
      </c>
      <c r="C10843">
        <v>18</v>
      </c>
      <c r="D10843">
        <v>870.24</v>
      </c>
      <c r="E10843">
        <v>207.9</v>
      </c>
      <c r="F10843" t="s">
        <v>7</v>
      </c>
      <c r="G10843" t="s">
        <v>11</v>
      </c>
      <c r="H10843" s="5">
        <f>MONTH(Tabela1[[#This Row],[data]])</f>
        <v>3</v>
      </c>
      <c r="I10843">
        <f>YEAR(Tabela1[[#This Row],[data]])</f>
        <v>2026</v>
      </c>
    </row>
    <row r="10844" spans="1:9" x14ac:dyDescent="0.25">
      <c r="A10844" t="s">
        <v>6</v>
      </c>
      <c r="B10844" s="1">
        <v>46109</v>
      </c>
      <c r="C10844">
        <v>19</v>
      </c>
      <c r="D10844">
        <v>855.54</v>
      </c>
      <c r="E10844">
        <v>181.86</v>
      </c>
      <c r="F10844" t="s">
        <v>7</v>
      </c>
      <c r="G10844" t="s">
        <v>11</v>
      </c>
      <c r="H10844" s="5">
        <f>MONTH(Tabela1[[#This Row],[data]])</f>
        <v>3</v>
      </c>
      <c r="I10844">
        <f>YEAR(Tabela1[[#This Row],[data]])</f>
        <v>2026</v>
      </c>
    </row>
    <row r="10845" spans="1:9" x14ac:dyDescent="0.25">
      <c r="A10845" t="s">
        <v>6</v>
      </c>
      <c r="B10845" s="1">
        <v>46109</v>
      </c>
      <c r="C10845">
        <v>20</v>
      </c>
      <c r="D10845">
        <v>752.64</v>
      </c>
      <c r="E10845">
        <v>131.88</v>
      </c>
      <c r="F10845" t="s">
        <v>7</v>
      </c>
      <c r="G10845" t="s">
        <v>11</v>
      </c>
      <c r="H10845" s="5">
        <f>MONTH(Tabela1[[#This Row],[data]])</f>
        <v>3</v>
      </c>
      <c r="I10845">
        <f>YEAR(Tabela1[[#This Row],[data]])</f>
        <v>2026</v>
      </c>
    </row>
    <row r="10846" spans="1:9" x14ac:dyDescent="0.25">
      <c r="A10846" t="s">
        <v>6</v>
      </c>
      <c r="B10846" s="1">
        <v>46109</v>
      </c>
      <c r="C10846">
        <v>21</v>
      </c>
      <c r="D10846">
        <v>630.41999999999996</v>
      </c>
      <c r="E10846">
        <v>59.22</v>
      </c>
      <c r="F10846" t="s">
        <v>7</v>
      </c>
      <c r="G10846" t="s">
        <v>11</v>
      </c>
      <c r="H10846" s="5">
        <f>MONTH(Tabela1[[#This Row],[data]])</f>
        <v>3</v>
      </c>
      <c r="I10846">
        <f>YEAR(Tabela1[[#This Row],[data]])</f>
        <v>2026</v>
      </c>
    </row>
    <row r="10847" spans="1:9" x14ac:dyDescent="0.25">
      <c r="A10847" t="s">
        <v>6</v>
      </c>
      <c r="B10847" s="1">
        <v>46109</v>
      </c>
      <c r="C10847">
        <v>22</v>
      </c>
      <c r="D10847">
        <v>621.6</v>
      </c>
      <c r="E10847">
        <v>59.22</v>
      </c>
      <c r="F10847" t="s">
        <v>7</v>
      </c>
      <c r="G10847" t="s">
        <v>11</v>
      </c>
      <c r="H10847" s="5">
        <f>MONTH(Tabela1[[#This Row],[data]])</f>
        <v>3</v>
      </c>
      <c r="I10847">
        <f>YEAR(Tabela1[[#This Row],[data]])</f>
        <v>2026</v>
      </c>
    </row>
    <row r="10848" spans="1:9" x14ac:dyDescent="0.25">
      <c r="A10848" t="s">
        <v>6</v>
      </c>
      <c r="B10848" s="1">
        <v>46109</v>
      </c>
      <c r="C10848">
        <v>23</v>
      </c>
      <c r="D10848">
        <v>396.9</v>
      </c>
      <c r="E10848">
        <v>4.2</v>
      </c>
      <c r="F10848" t="s">
        <v>7</v>
      </c>
      <c r="G10848" t="s">
        <v>11</v>
      </c>
      <c r="H10848" s="5">
        <f>MONTH(Tabela1[[#This Row],[data]])</f>
        <v>3</v>
      </c>
      <c r="I10848">
        <f>YEAR(Tabela1[[#This Row],[data]])</f>
        <v>2026</v>
      </c>
    </row>
    <row r="10849" spans="1:9" x14ac:dyDescent="0.25">
      <c r="A10849" t="s">
        <v>6</v>
      </c>
      <c r="B10849" s="1">
        <v>46109</v>
      </c>
      <c r="C10849">
        <v>24</v>
      </c>
      <c r="D10849">
        <v>283.08</v>
      </c>
      <c r="E10849">
        <v>0</v>
      </c>
      <c r="F10849" t="s">
        <v>7</v>
      </c>
      <c r="G10849" t="s">
        <v>11</v>
      </c>
      <c r="H10849" s="5">
        <f>MONTH(Tabela1[[#This Row],[data]])</f>
        <v>3</v>
      </c>
      <c r="I10849">
        <f>YEAR(Tabela1[[#This Row],[data]])</f>
        <v>2026</v>
      </c>
    </row>
    <row r="10850" spans="1:9" x14ac:dyDescent="0.25">
      <c r="A10850" t="s">
        <v>6</v>
      </c>
      <c r="B10850" s="1">
        <v>46110</v>
      </c>
      <c r="C10850">
        <v>1</v>
      </c>
      <c r="D10850">
        <v>241.5</v>
      </c>
      <c r="E10850">
        <v>0</v>
      </c>
      <c r="F10850" t="s">
        <v>7</v>
      </c>
      <c r="G10850" t="s">
        <v>11</v>
      </c>
      <c r="H10850" s="5">
        <f>MONTH(Tabela1[[#This Row],[data]])</f>
        <v>3</v>
      </c>
      <c r="I10850">
        <f>YEAR(Tabela1[[#This Row],[data]])</f>
        <v>2026</v>
      </c>
    </row>
    <row r="10851" spans="1:9" x14ac:dyDescent="0.25">
      <c r="A10851" t="s">
        <v>6</v>
      </c>
      <c r="B10851" s="1">
        <v>46110</v>
      </c>
      <c r="C10851">
        <v>2</v>
      </c>
      <c r="D10851">
        <v>234.36</v>
      </c>
      <c r="E10851">
        <v>0</v>
      </c>
      <c r="F10851" t="s">
        <v>7</v>
      </c>
      <c r="G10851" t="s">
        <v>11</v>
      </c>
      <c r="H10851" s="5">
        <f>MONTH(Tabela1[[#This Row],[data]])</f>
        <v>3</v>
      </c>
      <c r="I10851">
        <f>YEAR(Tabela1[[#This Row],[data]])</f>
        <v>2026</v>
      </c>
    </row>
    <row r="10852" spans="1:9" x14ac:dyDescent="0.25">
      <c r="A10852" t="s">
        <v>6</v>
      </c>
      <c r="B10852" s="1">
        <v>46110</v>
      </c>
      <c r="C10852">
        <v>3</v>
      </c>
      <c r="D10852">
        <v>232.26</v>
      </c>
      <c r="E10852">
        <v>0</v>
      </c>
      <c r="F10852" t="s">
        <v>7</v>
      </c>
      <c r="G10852" t="s">
        <v>11</v>
      </c>
      <c r="H10852" s="5">
        <f>MONTH(Tabela1[[#This Row],[data]])</f>
        <v>3</v>
      </c>
      <c r="I10852">
        <f>YEAR(Tabela1[[#This Row],[data]])</f>
        <v>2026</v>
      </c>
    </row>
    <row r="10853" spans="1:9" x14ac:dyDescent="0.25">
      <c r="A10853" t="s">
        <v>6</v>
      </c>
      <c r="B10853" s="1">
        <v>46110</v>
      </c>
      <c r="C10853">
        <v>4</v>
      </c>
      <c r="D10853">
        <v>229.32</v>
      </c>
      <c r="E10853">
        <v>0</v>
      </c>
      <c r="F10853" t="s">
        <v>7</v>
      </c>
      <c r="G10853" t="s">
        <v>11</v>
      </c>
      <c r="H10853" s="5">
        <f>MONTH(Tabela1[[#This Row],[data]])</f>
        <v>3</v>
      </c>
      <c r="I10853">
        <f>YEAR(Tabela1[[#This Row],[data]])</f>
        <v>2026</v>
      </c>
    </row>
    <row r="10854" spans="1:9" x14ac:dyDescent="0.25">
      <c r="A10854" t="s">
        <v>6</v>
      </c>
      <c r="B10854" s="1">
        <v>46110</v>
      </c>
      <c r="C10854">
        <v>5</v>
      </c>
      <c r="D10854">
        <v>240.24</v>
      </c>
      <c r="E10854">
        <v>0</v>
      </c>
      <c r="F10854" t="s">
        <v>7</v>
      </c>
      <c r="G10854" t="s">
        <v>11</v>
      </c>
      <c r="H10854" s="5">
        <f>MONTH(Tabela1[[#This Row],[data]])</f>
        <v>3</v>
      </c>
      <c r="I10854">
        <f>YEAR(Tabela1[[#This Row],[data]])</f>
        <v>2026</v>
      </c>
    </row>
    <row r="10855" spans="1:9" x14ac:dyDescent="0.25">
      <c r="A10855" t="s">
        <v>6</v>
      </c>
      <c r="B10855" s="1">
        <v>46110</v>
      </c>
      <c r="C10855">
        <v>6</v>
      </c>
      <c r="D10855">
        <v>230.16</v>
      </c>
      <c r="E10855">
        <v>0</v>
      </c>
      <c r="F10855" t="s">
        <v>7</v>
      </c>
      <c r="G10855" t="s">
        <v>11</v>
      </c>
      <c r="H10855" s="5">
        <f>MONTH(Tabela1[[#This Row],[data]])</f>
        <v>3</v>
      </c>
      <c r="I10855">
        <f>YEAR(Tabela1[[#This Row],[data]])</f>
        <v>2026</v>
      </c>
    </row>
    <row r="10856" spans="1:9" x14ac:dyDescent="0.25">
      <c r="A10856" t="s">
        <v>6</v>
      </c>
      <c r="B10856" s="1">
        <v>46110</v>
      </c>
      <c r="C10856">
        <v>7</v>
      </c>
      <c r="D10856">
        <v>224.28</v>
      </c>
      <c r="E10856">
        <v>0</v>
      </c>
      <c r="F10856" t="s">
        <v>7</v>
      </c>
      <c r="G10856" t="s">
        <v>11</v>
      </c>
      <c r="H10856" s="5">
        <f>MONTH(Tabela1[[#This Row],[data]])</f>
        <v>3</v>
      </c>
      <c r="I10856">
        <f>YEAR(Tabela1[[#This Row],[data]])</f>
        <v>2026</v>
      </c>
    </row>
    <row r="10857" spans="1:9" x14ac:dyDescent="0.25">
      <c r="A10857" t="s">
        <v>6</v>
      </c>
      <c r="B10857" s="1">
        <v>46110</v>
      </c>
      <c r="C10857">
        <v>8</v>
      </c>
      <c r="D10857">
        <v>209.16</v>
      </c>
      <c r="E10857">
        <v>0</v>
      </c>
      <c r="F10857" t="s">
        <v>7</v>
      </c>
      <c r="G10857" t="s">
        <v>11</v>
      </c>
      <c r="H10857" s="5">
        <f>MONTH(Tabela1[[#This Row],[data]])</f>
        <v>3</v>
      </c>
      <c r="I10857">
        <f>YEAR(Tabela1[[#This Row],[data]])</f>
        <v>2026</v>
      </c>
    </row>
    <row r="10858" spans="1:9" x14ac:dyDescent="0.25">
      <c r="A10858" t="s">
        <v>6</v>
      </c>
      <c r="B10858" s="1">
        <v>46110</v>
      </c>
      <c r="C10858">
        <v>9</v>
      </c>
      <c r="D10858">
        <v>255.78</v>
      </c>
      <c r="E10858">
        <v>0</v>
      </c>
      <c r="F10858" t="s">
        <v>7</v>
      </c>
      <c r="G10858" t="s">
        <v>11</v>
      </c>
      <c r="H10858" s="5">
        <f>MONTH(Tabela1[[#This Row],[data]])</f>
        <v>3</v>
      </c>
      <c r="I10858">
        <f>YEAR(Tabela1[[#This Row],[data]])</f>
        <v>2026</v>
      </c>
    </row>
    <row r="10859" spans="1:9" x14ac:dyDescent="0.25">
      <c r="A10859" t="s">
        <v>6</v>
      </c>
      <c r="B10859" s="1">
        <v>46110</v>
      </c>
      <c r="C10859">
        <v>10</v>
      </c>
      <c r="D10859">
        <v>302.82</v>
      </c>
      <c r="E10859">
        <v>0.84</v>
      </c>
      <c r="F10859" t="s">
        <v>7</v>
      </c>
      <c r="G10859" t="s">
        <v>11</v>
      </c>
      <c r="H10859" s="5">
        <f>MONTH(Tabela1[[#This Row],[data]])</f>
        <v>3</v>
      </c>
      <c r="I10859">
        <f>YEAR(Tabela1[[#This Row],[data]])</f>
        <v>2026</v>
      </c>
    </row>
    <row r="10860" spans="1:9" x14ac:dyDescent="0.25">
      <c r="A10860" t="s">
        <v>6</v>
      </c>
      <c r="B10860" s="1">
        <v>46110</v>
      </c>
      <c r="C10860">
        <v>11</v>
      </c>
      <c r="D10860">
        <v>828.66</v>
      </c>
      <c r="E10860">
        <v>214.2</v>
      </c>
      <c r="F10860" t="s">
        <v>7</v>
      </c>
      <c r="G10860" t="s">
        <v>11</v>
      </c>
      <c r="H10860" s="5">
        <f>MONTH(Tabela1[[#This Row],[data]])</f>
        <v>3</v>
      </c>
      <c r="I10860">
        <f>YEAR(Tabela1[[#This Row],[data]])</f>
        <v>2026</v>
      </c>
    </row>
    <row r="10861" spans="1:9" x14ac:dyDescent="0.25">
      <c r="A10861" t="s">
        <v>6</v>
      </c>
      <c r="B10861" s="1">
        <v>46110</v>
      </c>
      <c r="C10861">
        <v>12</v>
      </c>
      <c r="D10861">
        <v>722.4</v>
      </c>
      <c r="E10861">
        <v>141.54</v>
      </c>
      <c r="F10861" t="s">
        <v>7</v>
      </c>
      <c r="G10861" t="s">
        <v>11</v>
      </c>
      <c r="H10861" s="5">
        <f>MONTH(Tabela1[[#This Row],[data]])</f>
        <v>3</v>
      </c>
      <c r="I10861">
        <f>YEAR(Tabela1[[#This Row],[data]])</f>
        <v>2026</v>
      </c>
    </row>
    <row r="10862" spans="1:9" x14ac:dyDescent="0.25">
      <c r="A10862" t="s">
        <v>6</v>
      </c>
      <c r="B10862" s="1">
        <v>46110</v>
      </c>
      <c r="C10862">
        <v>13</v>
      </c>
      <c r="D10862">
        <v>840.42</v>
      </c>
      <c r="E10862">
        <v>184.8</v>
      </c>
      <c r="F10862" t="s">
        <v>7</v>
      </c>
      <c r="G10862" t="s">
        <v>11</v>
      </c>
      <c r="H10862" s="5">
        <f>MONTH(Tabela1[[#This Row],[data]])</f>
        <v>3</v>
      </c>
      <c r="I10862">
        <f>YEAR(Tabela1[[#This Row],[data]])</f>
        <v>2026</v>
      </c>
    </row>
    <row r="10863" spans="1:9" x14ac:dyDescent="0.25">
      <c r="A10863" t="s">
        <v>6</v>
      </c>
      <c r="B10863" s="1">
        <v>46110</v>
      </c>
      <c r="C10863">
        <v>14</v>
      </c>
      <c r="D10863">
        <v>911.82</v>
      </c>
      <c r="E10863">
        <v>223.44</v>
      </c>
      <c r="F10863" t="s">
        <v>7</v>
      </c>
      <c r="G10863" t="s">
        <v>11</v>
      </c>
      <c r="H10863" s="5">
        <f>MONTH(Tabela1[[#This Row],[data]])</f>
        <v>3</v>
      </c>
      <c r="I10863">
        <f>YEAR(Tabela1[[#This Row],[data]])</f>
        <v>2026</v>
      </c>
    </row>
    <row r="10864" spans="1:9" x14ac:dyDescent="0.25">
      <c r="A10864" t="s">
        <v>6</v>
      </c>
      <c r="B10864" s="1">
        <v>46110</v>
      </c>
      <c r="C10864">
        <v>15</v>
      </c>
      <c r="D10864">
        <v>939.12</v>
      </c>
      <c r="E10864">
        <v>234.78</v>
      </c>
      <c r="F10864" t="s">
        <v>7</v>
      </c>
      <c r="G10864" t="s">
        <v>11</v>
      </c>
      <c r="H10864" s="5">
        <f>MONTH(Tabela1[[#This Row],[data]])</f>
        <v>3</v>
      </c>
      <c r="I10864">
        <f>YEAR(Tabela1[[#This Row],[data]])</f>
        <v>2026</v>
      </c>
    </row>
    <row r="10865" spans="1:9" x14ac:dyDescent="0.25">
      <c r="A10865" t="s">
        <v>6</v>
      </c>
      <c r="B10865" s="1">
        <v>46110</v>
      </c>
      <c r="C10865">
        <v>16</v>
      </c>
      <c r="D10865">
        <v>924.84</v>
      </c>
      <c r="E10865">
        <v>225.96</v>
      </c>
      <c r="F10865" t="s">
        <v>7</v>
      </c>
      <c r="G10865" t="s">
        <v>11</v>
      </c>
      <c r="H10865" s="5">
        <f>MONTH(Tabela1[[#This Row],[data]])</f>
        <v>3</v>
      </c>
      <c r="I10865">
        <f>YEAR(Tabela1[[#This Row],[data]])</f>
        <v>2026</v>
      </c>
    </row>
    <row r="10866" spans="1:9" x14ac:dyDescent="0.25">
      <c r="A10866" t="s">
        <v>6</v>
      </c>
      <c r="B10866" s="1">
        <v>46110</v>
      </c>
      <c r="C10866">
        <v>17</v>
      </c>
      <c r="D10866">
        <v>944.58</v>
      </c>
      <c r="E10866">
        <v>249.48</v>
      </c>
      <c r="F10866" t="s">
        <v>7</v>
      </c>
      <c r="G10866" t="s">
        <v>11</v>
      </c>
      <c r="H10866" s="5">
        <f>MONTH(Tabela1[[#This Row],[data]])</f>
        <v>3</v>
      </c>
      <c r="I10866">
        <f>YEAR(Tabela1[[#This Row],[data]])</f>
        <v>2026</v>
      </c>
    </row>
    <row r="10867" spans="1:9" x14ac:dyDescent="0.25">
      <c r="A10867" t="s">
        <v>6</v>
      </c>
      <c r="B10867" s="1">
        <v>46110</v>
      </c>
      <c r="C10867">
        <v>18</v>
      </c>
      <c r="D10867">
        <v>934.08</v>
      </c>
      <c r="E10867">
        <v>233.94</v>
      </c>
      <c r="F10867" t="s">
        <v>7</v>
      </c>
      <c r="G10867" t="s">
        <v>11</v>
      </c>
      <c r="H10867" s="5">
        <f>MONTH(Tabela1[[#This Row],[data]])</f>
        <v>3</v>
      </c>
      <c r="I10867">
        <f>YEAR(Tabela1[[#This Row],[data]])</f>
        <v>2026</v>
      </c>
    </row>
    <row r="10868" spans="1:9" x14ac:dyDescent="0.25">
      <c r="A10868" t="s">
        <v>6</v>
      </c>
      <c r="B10868" s="1">
        <v>46110</v>
      </c>
      <c r="C10868">
        <v>19</v>
      </c>
      <c r="D10868">
        <v>939.12</v>
      </c>
      <c r="E10868">
        <v>234.36</v>
      </c>
      <c r="F10868" t="s">
        <v>7</v>
      </c>
      <c r="G10868" t="s">
        <v>11</v>
      </c>
      <c r="H10868" s="5">
        <f>MONTH(Tabela1[[#This Row],[data]])</f>
        <v>3</v>
      </c>
      <c r="I10868">
        <f>YEAR(Tabela1[[#This Row],[data]])</f>
        <v>2026</v>
      </c>
    </row>
    <row r="10869" spans="1:9" x14ac:dyDescent="0.25">
      <c r="A10869" t="s">
        <v>6</v>
      </c>
      <c r="B10869" s="1">
        <v>46110</v>
      </c>
      <c r="C10869">
        <v>20</v>
      </c>
      <c r="D10869">
        <v>863.1</v>
      </c>
      <c r="E10869">
        <v>189.42</v>
      </c>
      <c r="F10869" t="s">
        <v>7</v>
      </c>
      <c r="G10869" t="s">
        <v>11</v>
      </c>
      <c r="H10869" s="5">
        <f>MONTH(Tabela1[[#This Row],[data]])</f>
        <v>3</v>
      </c>
      <c r="I10869">
        <f>YEAR(Tabela1[[#This Row],[data]])</f>
        <v>2026</v>
      </c>
    </row>
    <row r="10870" spans="1:9" x14ac:dyDescent="0.25">
      <c r="A10870" t="s">
        <v>6</v>
      </c>
      <c r="B10870" s="1">
        <v>46110</v>
      </c>
      <c r="C10870">
        <v>21</v>
      </c>
      <c r="D10870">
        <v>773.64</v>
      </c>
      <c r="E10870">
        <v>175.56</v>
      </c>
      <c r="F10870" t="s">
        <v>7</v>
      </c>
      <c r="G10870" t="s">
        <v>11</v>
      </c>
      <c r="H10870" s="5">
        <f>MONTH(Tabela1[[#This Row],[data]])</f>
        <v>3</v>
      </c>
      <c r="I10870">
        <f>YEAR(Tabela1[[#This Row],[data]])</f>
        <v>2026</v>
      </c>
    </row>
    <row r="10871" spans="1:9" x14ac:dyDescent="0.25">
      <c r="A10871" t="s">
        <v>6</v>
      </c>
      <c r="B10871" s="1">
        <v>46110</v>
      </c>
      <c r="C10871">
        <v>22</v>
      </c>
      <c r="D10871">
        <v>638.4</v>
      </c>
      <c r="E10871">
        <v>145.74</v>
      </c>
      <c r="F10871" t="s">
        <v>7</v>
      </c>
      <c r="G10871" t="s">
        <v>11</v>
      </c>
      <c r="H10871" s="5">
        <f>MONTH(Tabela1[[#This Row],[data]])</f>
        <v>3</v>
      </c>
      <c r="I10871">
        <f>YEAR(Tabela1[[#This Row],[data]])</f>
        <v>2026</v>
      </c>
    </row>
    <row r="10872" spans="1:9" x14ac:dyDescent="0.25">
      <c r="A10872" t="s">
        <v>6</v>
      </c>
      <c r="B10872" s="1">
        <v>46110</v>
      </c>
      <c r="C10872">
        <v>23</v>
      </c>
      <c r="D10872">
        <v>322.14</v>
      </c>
      <c r="E10872">
        <v>0.42</v>
      </c>
      <c r="F10872" t="s">
        <v>7</v>
      </c>
      <c r="G10872" t="s">
        <v>11</v>
      </c>
      <c r="H10872" s="5">
        <f>MONTH(Tabela1[[#This Row],[data]])</f>
        <v>3</v>
      </c>
      <c r="I10872">
        <f>YEAR(Tabela1[[#This Row],[data]])</f>
        <v>2026</v>
      </c>
    </row>
    <row r="10873" spans="1:9" x14ac:dyDescent="0.25">
      <c r="A10873" t="s">
        <v>6</v>
      </c>
      <c r="B10873" s="1">
        <v>46110</v>
      </c>
      <c r="C10873">
        <v>24</v>
      </c>
      <c r="D10873">
        <v>270.89999999999998</v>
      </c>
      <c r="E10873">
        <v>0</v>
      </c>
      <c r="F10873" t="s">
        <v>7</v>
      </c>
      <c r="G10873" t="s">
        <v>11</v>
      </c>
      <c r="H10873" s="5">
        <f>MONTH(Tabela1[[#This Row],[data]])</f>
        <v>3</v>
      </c>
      <c r="I10873">
        <f>YEAR(Tabela1[[#This Row],[data]])</f>
        <v>2026</v>
      </c>
    </row>
    <row r="10874" spans="1:9" x14ac:dyDescent="0.25">
      <c r="A10874" t="s">
        <v>6</v>
      </c>
      <c r="B10874" s="1">
        <v>46111</v>
      </c>
      <c r="C10874">
        <v>1</v>
      </c>
      <c r="D10874">
        <v>239.4</v>
      </c>
      <c r="E10874">
        <v>0</v>
      </c>
      <c r="F10874" t="s">
        <v>7</v>
      </c>
      <c r="G10874" t="s">
        <v>11</v>
      </c>
      <c r="H10874" s="5">
        <f>MONTH(Tabela1[[#This Row],[data]])</f>
        <v>3</v>
      </c>
      <c r="I10874">
        <f>YEAR(Tabela1[[#This Row],[data]])</f>
        <v>2026</v>
      </c>
    </row>
    <row r="10875" spans="1:9" x14ac:dyDescent="0.25">
      <c r="A10875" t="s">
        <v>6</v>
      </c>
      <c r="B10875" s="1">
        <v>46111</v>
      </c>
      <c r="C10875">
        <v>2</v>
      </c>
      <c r="D10875">
        <v>222.18</v>
      </c>
      <c r="E10875">
        <v>0</v>
      </c>
      <c r="F10875" t="s">
        <v>7</v>
      </c>
      <c r="G10875" t="s">
        <v>11</v>
      </c>
      <c r="H10875" s="5">
        <f>MONTH(Tabela1[[#This Row],[data]])</f>
        <v>3</v>
      </c>
      <c r="I10875">
        <f>YEAR(Tabela1[[#This Row],[data]])</f>
        <v>2026</v>
      </c>
    </row>
    <row r="10876" spans="1:9" x14ac:dyDescent="0.25">
      <c r="A10876" t="s">
        <v>6</v>
      </c>
      <c r="B10876" s="1">
        <v>46111</v>
      </c>
      <c r="C10876">
        <v>3</v>
      </c>
      <c r="D10876">
        <v>217.14</v>
      </c>
      <c r="E10876">
        <v>0</v>
      </c>
      <c r="F10876" t="s">
        <v>7</v>
      </c>
      <c r="G10876" t="s">
        <v>11</v>
      </c>
      <c r="H10876" s="5">
        <f>MONTH(Tabela1[[#This Row],[data]])</f>
        <v>3</v>
      </c>
      <c r="I10876">
        <f>YEAR(Tabela1[[#This Row],[data]])</f>
        <v>2026</v>
      </c>
    </row>
    <row r="10877" spans="1:9" x14ac:dyDescent="0.25">
      <c r="A10877" t="s">
        <v>6</v>
      </c>
      <c r="B10877" s="1">
        <v>46111</v>
      </c>
      <c r="C10877">
        <v>4</v>
      </c>
      <c r="D10877">
        <v>215.46</v>
      </c>
      <c r="E10877">
        <v>0</v>
      </c>
      <c r="F10877" t="s">
        <v>7</v>
      </c>
      <c r="G10877" t="s">
        <v>11</v>
      </c>
      <c r="H10877" s="5">
        <f>MONTH(Tabela1[[#This Row],[data]])</f>
        <v>3</v>
      </c>
      <c r="I10877">
        <f>YEAR(Tabela1[[#This Row],[data]])</f>
        <v>2026</v>
      </c>
    </row>
    <row r="10878" spans="1:9" x14ac:dyDescent="0.25">
      <c r="A10878" t="s">
        <v>6</v>
      </c>
      <c r="B10878" s="1">
        <v>46111</v>
      </c>
      <c r="C10878">
        <v>5</v>
      </c>
      <c r="D10878">
        <v>222.6</v>
      </c>
      <c r="E10878">
        <v>0</v>
      </c>
      <c r="F10878" t="s">
        <v>7</v>
      </c>
      <c r="G10878" t="s">
        <v>11</v>
      </c>
      <c r="H10878" s="5">
        <f>MONTH(Tabela1[[#This Row],[data]])</f>
        <v>3</v>
      </c>
      <c r="I10878">
        <f>YEAR(Tabela1[[#This Row],[data]])</f>
        <v>2026</v>
      </c>
    </row>
    <row r="10879" spans="1:9" x14ac:dyDescent="0.25">
      <c r="A10879" t="s">
        <v>6</v>
      </c>
      <c r="B10879" s="1">
        <v>46111</v>
      </c>
      <c r="C10879">
        <v>6</v>
      </c>
      <c r="D10879">
        <v>220.92</v>
      </c>
      <c r="E10879">
        <v>0</v>
      </c>
      <c r="F10879" t="s">
        <v>7</v>
      </c>
      <c r="G10879" t="s">
        <v>11</v>
      </c>
      <c r="H10879" s="5">
        <f>MONTH(Tabela1[[#This Row],[data]])</f>
        <v>3</v>
      </c>
      <c r="I10879">
        <f>YEAR(Tabela1[[#This Row],[data]])</f>
        <v>2026</v>
      </c>
    </row>
    <row r="10880" spans="1:9" x14ac:dyDescent="0.25">
      <c r="A10880" t="s">
        <v>6</v>
      </c>
      <c r="B10880" s="1">
        <v>46111</v>
      </c>
      <c r="C10880">
        <v>7</v>
      </c>
      <c r="D10880">
        <v>236.46</v>
      </c>
      <c r="E10880">
        <v>0</v>
      </c>
      <c r="F10880" t="s">
        <v>7</v>
      </c>
      <c r="G10880" t="s">
        <v>11</v>
      </c>
      <c r="H10880" s="5">
        <f>MONTH(Tabela1[[#This Row],[data]])</f>
        <v>3</v>
      </c>
      <c r="I10880">
        <f>YEAR(Tabela1[[#This Row],[data]])</f>
        <v>2026</v>
      </c>
    </row>
    <row r="10881" spans="1:9" x14ac:dyDescent="0.25">
      <c r="A10881" t="s">
        <v>6</v>
      </c>
      <c r="B10881" s="1">
        <v>46111</v>
      </c>
      <c r="C10881">
        <v>8</v>
      </c>
      <c r="D10881">
        <v>251.58</v>
      </c>
      <c r="E10881">
        <v>0</v>
      </c>
      <c r="F10881" t="s">
        <v>7</v>
      </c>
      <c r="G10881" t="s">
        <v>11</v>
      </c>
      <c r="H10881" s="5">
        <f>MONTH(Tabela1[[#This Row],[data]])</f>
        <v>3</v>
      </c>
      <c r="I10881">
        <f>YEAR(Tabela1[[#This Row],[data]])</f>
        <v>2026</v>
      </c>
    </row>
    <row r="10882" spans="1:9" x14ac:dyDescent="0.25">
      <c r="A10882" t="s">
        <v>6</v>
      </c>
      <c r="B10882" s="1">
        <v>46111</v>
      </c>
      <c r="C10882">
        <v>9</v>
      </c>
      <c r="D10882">
        <v>341.88</v>
      </c>
      <c r="E10882">
        <v>0</v>
      </c>
      <c r="F10882" t="s">
        <v>7</v>
      </c>
      <c r="G10882" t="s">
        <v>11</v>
      </c>
      <c r="H10882" s="5">
        <f>MONTH(Tabela1[[#This Row],[data]])</f>
        <v>3</v>
      </c>
      <c r="I10882">
        <f>YEAR(Tabela1[[#This Row],[data]])</f>
        <v>2026</v>
      </c>
    </row>
    <row r="10883" spans="1:9" x14ac:dyDescent="0.25">
      <c r="A10883" t="s">
        <v>6</v>
      </c>
      <c r="B10883" s="1">
        <v>46111</v>
      </c>
      <c r="C10883">
        <v>10</v>
      </c>
      <c r="D10883">
        <v>438.06</v>
      </c>
      <c r="E10883">
        <v>16.8</v>
      </c>
      <c r="F10883" t="s">
        <v>7</v>
      </c>
      <c r="G10883" t="s">
        <v>11</v>
      </c>
      <c r="H10883" s="5">
        <f>MONTH(Tabela1[[#This Row],[data]])</f>
        <v>3</v>
      </c>
      <c r="I10883">
        <f>YEAR(Tabela1[[#This Row],[data]])</f>
        <v>2026</v>
      </c>
    </row>
    <row r="10884" spans="1:9" x14ac:dyDescent="0.25">
      <c r="A10884" t="s">
        <v>6</v>
      </c>
      <c r="B10884" s="1">
        <v>46111</v>
      </c>
      <c r="C10884">
        <v>11</v>
      </c>
      <c r="D10884">
        <v>813.96</v>
      </c>
      <c r="E10884">
        <v>197.82</v>
      </c>
      <c r="F10884" t="s">
        <v>7</v>
      </c>
      <c r="G10884" t="s">
        <v>11</v>
      </c>
      <c r="H10884" s="5">
        <f>MONTH(Tabela1[[#This Row],[data]])</f>
        <v>3</v>
      </c>
      <c r="I10884">
        <f>YEAR(Tabela1[[#This Row],[data]])</f>
        <v>2026</v>
      </c>
    </row>
    <row r="10885" spans="1:9" x14ac:dyDescent="0.25">
      <c r="A10885" t="s">
        <v>6</v>
      </c>
      <c r="B10885" s="1">
        <v>46111</v>
      </c>
      <c r="C10885">
        <v>12</v>
      </c>
      <c r="D10885">
        <v>831.6</v>
      </c>
      <c r="E10885">
        <v>194.46</v>
      </c>
      <c r="F10885" t="s">
        <v>7</v>
      </c>
      <c r="G10885" t="s">
        <v>11</v>
      </c>
      <c r="H10885" s="5">
        <f>MONTH(Tabela1[[#This Row],[data]])</f>
        <v>3</v>
      </c>
      <c r="I10885">
        <f>YEAR(Tabela1[[#This Row],[data]])</f>
        <v>2026</v>
      </c>
    </row>
    <row r="10886" spans="1:9" x14ac:dyDescent="0.25">
      <c r="A10886" t="s">
        <v>6</v>
      </c>
      <c r="B10886" s="1">
        <v>46111</v>
      </c>
      <c r="C10886">
        <v>13</v>
      </c>
      <c r="D10886">
        <v>867.3</v>
      </c>
      <c r="E10886">
        <v>220.92</v>
      </c>
      <c r="F10886" t="s">
        <v>7</v>
      </c>
      <c r="G10886" t="s">
        <v>11</v>
      </c>
      <c r="H10886" s="5">
        <f>MONTH(Tabela1[[#This Row],[data]])</f>
        <v>3</v>
      </c>
      <c r="I10886">
        <f>YEAR(Tabela1[[#This Row],[data]])</f>
        <v>2026</v>
      </c>
    </row>
    <row r="10887" spans="1:9" x14ac:dyDescent="0.25">
      <c r="A10887" t="s">
        <v>6</v>
      </c>
      <c r="B10887" s="1">
        <v>46111</v>
      </c>
      <c r="C10887">
        <v>14</v>
      </c>
      <c r="D10887">
        <v>831.18</v>
      </c>
      <c r="E10887">
        <v>180.18</v>
      </c>
      <c r="F10887" t="s">
        <v>7</v>
      </c>
      <c r="G10887" t="s">
        <v>11</v>
      </c>
      <c r="H10887" s="5">
        <f>MONTH(Tabela1[[#This Row],[data]])</f>
        <v>3</v>
      </c>
      <c r="I10887">
        <f>YEAR(Tabela1[[#This Row],[data]])</f>
        <v>2026</v>
      </c>
    </row>
    <row r="10888" spans="1:9" x14ac:dyDescent="0.25">
      <c r="A10888" t="s">
        <v>6</v>
      </c>
      <c r="B10888" s="1">
        <v>46111</v>
      </c>
      <c r="C10888">
        <v>15</v>
      </c>
      <c r="D10888">
        <v>870.24</v>
      </c>
      <c r="E10888">
        <v>212.1</v>
      </c>
      <c r="F10888" t="s">
        <v>7</v>
      </c>
      <c r="G10888" t="s">
        <v>11</v>
      </c>
      <c r="H10888" s="5">
        <f>MONTH(Tabela1[[#This Row],[data]])</f>
        <v>3</v>
      </c>
      <c r="I10888">
        <f>YEAR(Tabela1[[#This Row],[data]])</f>
        <v>2026</v>
      </c>
    </row>
    <row r="10889" spans="1:9" x14ac:dyDescent="0.25">
      <c r="A10889" t="s">
        <v>6</v>
      </c>
      <c r="B10889" s="1">
        <v>46111</v>
      </c>
      <c r="C10889">
        <v>16</v>
      </c>
      <c r="D10889">
        <v>861.84</v>
      </c>
      <c r="E10889">
        <v>202.44</v>
      </c>
      <c r="F10889" t="s">
        <v>7</v>
      </c>
      <c r="G10889" t="s">
        <v>11</v>
      </c>
      <c r="H10889" s="5">
        <f>MONTH(Tabela1[[#This Row],[data]])</f>
        <v>3</v>
      </c>
      <c r="I10889">
        <f>YEAR(Tabela1[[#This Row],[data]])</f>
        <v>2026</v>
      </c>
    </row>
    <row r="10890" spans="1:9" x14ac:dyDescent="0.25">
      <c r="A10890" t="s">
        <v>6</v>
      </c>
      <c r="B10890" s="1">
        <v>46111</v>
      </c>
      <c r="C10890">
        <v>17</v>
      </c>
      <c r="D10890">
        <v>842.94</v>
      </c>
      <c r="E10890">
        <v>216.72</v>
      </c>
      <c r="F10890" t="s">
        <v>7</v>
      </c>
      <c r="G10890" t="s">
        <v>11</v>
      </c>
      <c r="H10890" s="5">
        <f>MONTH(Tabela1[[#This Row],[data]])</f>
        <v>3</v>
      </c>
      <c r="I10890">
        <f>YEAR(Tabela1[[#This Row],[data]])</f>
        <v>2026</v>
      </c>
    </row>
    <row r="10891" spans="1:9" x14ac:dyDescent="0.25">
      <c r="A10891" t="s">
        <v>6</v>
      </c>
      <c r="B10891" s="1">
        <v>46111</v>
      </c>
      <c r="C10891">
        <v>18</v>
      </c>
      <c r="D10891">
        <v>810.18</v>
      </c>
      <c r="E10891">
        <v>200.34</v>
      </c>
      <c r="F10891" t="s">
        <v>7</v>
      </c>
      <c r="G10891" t="s">
        <v>11</v>
      </c>
      <c r="H10891" s="5">
        <f>MONTH(Tabela1[[#This Row],[data]])</f>
        <v>3</v>
      </c>
      <c r="I10891">
        <f>YEAR(Tabela1[[#This Row],[data]])</f>
        <v>2026</v>
      </c>
    </row>
    <row r="10892" spans="1:9" x14ac:dyDescent="0.25">
      <c r="A10892" t="s">
        <v>6</v>
      </c>
      <c r="B10892" s="1">
        <v>46111</v>
      </c>
      <c r="C10892">
        <v>19</v>
      </c>
      <c r="D10892">
        <v>758.52</v>
      </c>
      <c r="E10892">
        <v>151.62</v>
      </c>
      <c r="F10892" t="s">
        <v>7</v>
      </c>
      <c r="G10892" t="s">
        <v>11</v>
      </c>
      <c r="H10892" s="5">
        <f>MONTH(Tabela1[[#This Row],[data]])</f>
        <v>3</v>
      </c>
      <c r="I10892">
        <f>YEAR(Tabela1[[#This Row],[data]])</f>
        <v>2026</v>
      </c>
    </row>
    <row r="10893" spans="1:9" x14ac:dyDescent="0.25">
      <c r="A10893" t="s">
        <v>6</v>
      </c>
      <c r="B10893" s="1">
        <v>46111</v>
      </c>
      <c r="C10893">
        <v>20</v>
      </c>
      <c r="D10893">
        <v>751.38</v>
      </c>
      <c r="E10893">
        <v>171.36</v>
      </c>
      <c r="F10893" t="s">
        <v>7</v>
      </c>
      <c r="G10893" t="s">
        <v>11</v>
      </c>
      <c r="H10893" s="5">
        <f>MONTH(Tabela1[[#This Row],[data]])</f>
        <v>3</v>
      </c>
      <c r="I10893">
        <f>YEAR(Tabela1[[#This Row],[data]])</f>
        <v>2026</v>
      </c>
    </row>
    <row r="10894" spans="1:9" x14ac:dyDescent="0.25">
      <c r="A10894" t="s">
        <v>6</v>
      </c>
      <c r="B10894" s="1">
        <v>46111</v>
      </c>
      <c r="C10894">
        <v>21</v>
      </c>
      <c r="D10894">
        <v>741.72</v>
      </c>
      <c r="E10894">
        <v>159.6</v>
      </c>
      <c r="F10894" t="s">
        <v>7</v>
      </c>
      <c r="G10894" t="s">
        <v>11</v>
      </c>
      <c r="H10894" s="5">
        <f>MONTH(Tabela1[[#This Row],[data]])</f>
        <v>3</v>
      </c>
      <c r="I10894">
        <f>YEAR(Tabela1[[#This Row],[data]])</f>
        <v>2026</v>
      </c>
    </row>
    <row r="10895" spans="1:9" x14ac:dyDescent="0.25">
      <c r="A10895" t="s">
        <v>6</v>
      </c>
      <c r="B10895" s="1">
        <v>46111</v>
      </c>
      <c r="C10895">
        <v>22</v>
      </c>
      <c r="D10895">
        <v>703.08</v>
      </c>
      <c r="E10895">
        <v>139.86000000000001</v>
      </c>
      <c r="F10895" t="s">
        <v>7</v>
      </c>
      <c r="G10895" t="s">
        <v>11</v>
      </c>
      <c r="H10895" s="5">
        <f>MONTH(Tabela1[[#This Row],[data]])</f>
        <v>3</v>
      </c>
      <c r="I10895">
        <f>YEAR(Tabela1[[#This Row],[data]])</f>
        <v>2026</v>
      </c>
    </row>
    <row r="10896" spans="1:9" x14ac:dyDescent="0.25">
      <c r="A10896" t="s">
        <v>6</v>
      </c>
      <c r="B10896" s="1">
        <v>46111</v>
      </c>
      <c r="C10896">
        <v>23</v>
      </c>
      <c r="D10896">
        <v>444.78</v>
      </c>
      <c r="E10896">
        <v>17.22</v>
      </c>
      <c r="F10896" t="s">
        <v>7</v>
      </c>
      <c r="G10896" t="s">
        <v>11</v>
      </c>
      <c r="H10896" s="5">
        <f>MONTH(Tabela1[[#This Row],[data]])</f>
        <v>3</v>
      </c>
      <c r="I10896">
        <f>YEAR(Tabela1[[#This Row],[data]])</f>
        <v>2026</v>
      </c>
    </row>
    <row r="10897" spans="1:9" x14ac:dyDescent="0.25">
      <c r="A10897" t="s">
        <v>6</v>
      </c>
      <c r="B10897" s="1">
        <v>46111</v>
      </c>
      <c r="C10897">
        <v>24</v>
      </c>
      <c r="D10897">
        <v>275.52</v>
      </c>
      <c r="E10897">
        <v>0</v>
      </c>
      <c r="F10897" t="s">
        <v>7</v>
      </c>
      <c r="G10897" t="s">
        <v>11</v>
      </c>
      <c r="H10897" s="5">
        <f>MONTH(Tabela1[[#This Row],[data]])</f>
        <v>3</v>
      </c>
      <c r="I10897">
        <f>YEAR(Tabela1[[#This Row],[data]])</f>
        <v>2026</v>
      </c>
    </row>
    <row r="10898" spans="1:9" x14ac:dyDescent="0.25">
      <c r="A10898" t="s">
        <v>6</v>
      </c>
      <c r="B10898" s="1">
        <v>46112</v>
      </c>
      <c r="C10898">
        <v>1</v>
      </c>
      <c r="D10898">
        <v>247.38</v>
      </c>
      <c r="E10898">
        <v>0</v>
      </c>
      <c r="F10898" t="s">
        <v>7</v>
      </c>
      <c r="G10898" t="s">
        <v>12</v>
      </c>
      <c r="H10898" s="5">
        <f>MONTH(Tabela1[[#This Row],[data]])</f>
        <v>3</v>
      </c>
      <c r="I10898">
        <f>YEAR(Tabela1[[#This Row],[data]])</f>
        <v>2026</v>
      </c>
    </row>
    <row r="10899" spans="1:9" x14ac:dyDescent="0.25">
      <c r="A10899" t="s">
        <v>6</v>
      </c>
      <c r="B10899" s="1">
        <v>46112</v>
      </c>
      <c r="C10899">
        <v>2</v>
      </c>
      <c r="D10899">
        <v>232.68</v>
      </c>
      <c r="E10899">
        <v>0</v>
      </c>
      <c r="F10899" t="s">
        <v>7</v>
      </c>
      <c r="G10899" t="s">
        <v>12</v>
      </c>
      <c r="H10899" s="5">
        <f>MONTH(Tabela1[[#This Row],[data]])</f>
        <v>3</v>
      </c>
      <c r="I10899">
        <f>YEAR(Tabela1[[#This Row],[data]])</f>
        <v>2026</v>
      </c>
    </row>
    <row r="10900" spans="1:9" x14ac:dyDescent="0.25">
      <c r="A10900" t="s">
        <v>6</v>
      </c>
      <c r="B10900" s="1">
        <v>46112</v>
      </c>
      <c r="C10900">
        <v>3</v>
      </c>
      <c r="D10900">
        <v>229.74</v>
      </c>
      <c r="E10900">
        <v>0</v>
      </c>
      <c r="F10900" t="s">
        <v>7</v>
      </c>
      <c r="G10900" t="s">
        <v>12</v>
      </c>
      <c r="H10900" s="5">
        <f>MONTH(Tabela1[[#This Row],[data]])</f>
        <v>3</v>
      </c>
      <c r="I10900">
        <f>YEAR(Tabela1[[#This Row],[data]])</f>
        <v>2026</v>
      </c>
    </row>
    <row r="10901" spans="1:9" x14ac:dyDescent="0.25">
      <c r="A10901" t="s">
        <v>6</v>
      </c>
      <c r="B10901" s="1">
        <v>46112</v>
      </c>
      <c r="C10901">
        <v>4</v>
      </c>
      <c r="D10901">
        <v>228.06</v>
      </c>
      <c r="E10901">
        <v>0</v>
      </c>
      <c r="F10901" t="s">
        <v>7</v>
      </c>
      <c r="G10901" t="s">
        <v>12</v>
      </c>
      <c r="H10901" s="5">
        <f>MONTH(Tabela1[[#This Row],[data]])</f>
        <v>3</v>
      </c>
      <c r="I10901">
        <f>YEAR(Tabela1[[#This Row],[data]])</f>
        <v>2026</v>
      </c>
    </row>
    <row r="10902" spans="1:9" x14ac:dyDescent="0.25">
      <c r="A10902" t="s">
        <v>6</v>
      </c>
      <c r="B10902" s="1">
        <v>46112</v>
      </c>
      <c r="C10902">
        <v>5</v>
      </c>
      <c r="D10902">
        <v>234.36</v>
      </c>
      <c r="E10902">
        <v>0</v>
      </c>
      <c r="F10902" t="s">
        <v>7</v>
      </c>
      <c r="G10902" t="s">
        <v>12</v>
      </c>
      <c r="H10902" s="5">
        <f>MONTH(Tabela1[[#This Row],[data]])</f>
        <v>3</v>
      </c>
      <c r="I10902">
        <f>YEAR(Tabela1[[#This Row],[data]])</f>
        <v>2026</v>
      </c>
    </row>
    <row r="10903" spans="1:9" x14ac:dyDescent="0.25">
      <c r="A10903" t="s">
        <v>6</v>
      </c>
      <c r="B10903" s="1">
        <v>46112</v>
      </c>
      <c r="C10903">
        <v>6</v>
      </c>
      <c r="D10903">
        <v>226.38</v>
      </c>
      <c r="E10903">
        <v>0</v>
      </c>
      <c r="F10903" t="s">
        <v>7</v>
      </c>
      <c r="G10903" t="s">
        <v>12</v>
      </c>
      <c r="H10903" s="5">
        <f>MONTH(Tabela1[[#This Row],[data]])</f>
        <v>3</v>
      </c>
      <c r="I10903">
        <f>YEAR(Tabela1[[#This Row],[data]])</f>
        <v>2026</v>
      </c>
    </row>
    <row r="10904" spans="1:9" x14ac:dyDescent="0.25">
      <c r="A10904" t="s">
        <v>6</v>
      </c>
      <c r="B10904" s="1">
        <v>46112</v>
      </c>
      <c r="C10904">
        <v>7</v>
      </c>
      <c r="D10904">
        <v>225.54</v>
      </c>
      <c r="E10904">
        <v>0</v>
      </c>
      <c r="F10904" t="s">
        <v>7</v>
      </c>
      <c r="G10904" t="s">
        <v>12</v>
      </c>
      <c r="H10904" s="5">
        <f>MONTH(Tabela1[[#This Row],[data]])</f>
        <v>3</v>
      </c>
      <c r="I10904">
        <f>YEAR(Tabela1[[#This Row],[data]])</f>
        <v>2026</v>
      </c>
    </row>
    <row r="10905" spans="1:9" x14ac:dyDescent="0.25">
      <c r="A10905" t="s">
        <v>6</v>
      </c>
      <c r="B10905" s="1">
        <v>46112</v>
      </c>
      <c r="C10905">
        <v>8</v>
      </c>
      <c r="D10905">
        <v>235.62</v>
      </c>
      <c r="E10905">
        <v>0</v>
      </c>
      <c r="F10905" t="s">
        <v>7</v>
      </c>
      <c r="G10905" t="s">
        <v>12</v>
      </c>
      <c r="H10905" s="5">
        <f>MONTH(Tabela1[[#This Row],[data]])</f>
        <v>3</v>
      </c>
      <c r="I10905">
        <f>YEAR(Tabela1[[#This Row],[data]])</f>
        <v>2026</v>
      </c>
    </row>
    <row r="10906" spans="1:9" x14ac:dyDescent="0.25">
      <c r="A10906" t="s">
        <v>6</v>
      </c>
      <c r="B10906" s="1">
        <v>46112</v>
      </c>
      <c r="C10906">
        <v>9</v>
      </c>
      <c r="D10906">
        <v>353.22</v>
      </c>
      <c r="E10906">
        <v>1.26</v>
      </c>
      <c r="F10906" t="s">
        <v>7</v>
      </c>
      <c r="G10906" t="s">
        <v>12</v>
      </c>
      <c r="H10906" s="5">
        <f>MONTH(Tabela1[[#This Row],[data]])</f>
        <v>3</v>
      </c>
      <c r="I10906">
        <f>YEAR(Tabela1[[#This Row],[data]])</f>
        <v>2026</v>
      </c>
    </row>
    <row r="10907" spans="1:9" x14ac:dyDescent="0.25">
      <c r="A10907" t="s">
        <v>6</v>
      </c>
      <c r="B10907" s="1">
        <v>46112</v>
      </c>
      <c r="C10907">
        <v>10</v>
      </c>
      <c r="D10907">
        <v>434.28</v>
      </c>
      <c r="E10907">
        <v>19.32</v>
      </c>
      <c r="F10907" t="s">
        <v>7</v>
      </c>
      <c r="G10907" t="s">
        <v>12</v>
      </c>
      <c r="H10907" s="5">
        <f>MONTH(Tabela1[[#This Row],[data]])</f>
        <v>3</v>
      </c>
      <c r="I10907">
        <f>YEAR(Tabela1[[#This Row],[data]])</f>
        <v>2026</v>
      </c>
    </row>
    <row r="10908" spans="1:9" x14ac:dyDescent="0.25">
      <c r="A10908" t="s">
        <v>6</v>
      </c>
      <c r="B10908" s="1">
        <v>46112</v>
      </c>
      <c r="C10908">
        <v>11</v>
      </c>
      <c r="D10908">
        <v>721.56</v>
      </c>
      <c r="E10908">
        <v>128.52000000000001</v>
      </c>
      <c r="F10908" t="s">
        <v>7</v>
      </c>
      <c r="G10908" t="s">
        <v>12</v>
      </c>
      <c r="H10908" s="5">
        <f>MONTH(Tabela1[[#This Row],[data]])</f>
        <v>3</v>
      </c>
      <c r="I10908">
        <f>YEAR(Tabela1[[#This Row],[data]])</f>
        <v>2026</v>
      </c>
    </row>
    <row r="10909" spans="1:9" x14ac:dyDescent="0.25">
      <c r="A10909" t="s">
        <v>6</v>
      </c>
      <c r="B10909" s="1">
        <v>46112</v>
      </c>
      <c r="C10909">
        <v>12</v>
      </c>
      <c r="D10909">
        <v>840.42</v>
      </c>
      <c r="E10909">
        <v>212.94</v>
      </c>
      <c r="F10909" t="s">
        <v>7</v>
      </c>
      <c r="G10909" t="s">
        <v>12</v>
      </c>
      <c r="H10909" s="5">
        <f>MONTH(Tabela1[[#This Row],[data]])</f>
        <v>3</v>
      </c>
      <c r="I10909">
        <f>YEAR(Tabela1[[#This Row],[data]])</f>
        <v>2026</v>
      </c>
    </row>
    <row r="10910" spans="1:9" x14ac:dyDescent="0.25">
      <c r="A10910" t="s">
        <v>6</v>
      </c>
      <c r="B10910" s="1">
        <v>46112</v>
      </c>
      <c r="C10910">
        <v>13</v>
      </c>
      <c r="D10910">
        <v>850.08</v>
      </c>
      <c r="E10910">
        <v>218.4</v>
      </c>
      <c r="F10910" t="s">
        <v>7</v>
      </c>
      <c r="G10910" t="s">
        <v>12</v>
      </c>
      <c r="H10910" s="5">
        <f>MONTH(Tabela1[[#This Row],[data]])</f>
        <v>3</v>
      </c>
      <c r="I10910">
        <f>YEAR(Tabela1[[#This Row],[data]])</f>
        <v>2026</v>
      </c>
    </row>
    <row r="10911" spans="1:9" x14ac:dyDescent="0.25">
      <c r="A10911" t="s">
        <v>6</v>
      </c>
      <c r="B10911" s="1">
        <v>46112</v>
      </c>
      <c r="C10911">
        <v>14</v>
      </c>
      <c r="D10911">
        <v>836.22</v>
      </c>
      <c r="E10911">
        <v>191.1</v>
      </c>
      <c r="F10911" t="s">
        <v>7</v>
      </c>
      <c r="G10911" t="s">
        <v>12</v>
      </c>
      <c r="H10911" s="5">
        <f>MONTH(Tabela1[[#This Row],[data]])</f>
        <v>3</v>
      </c>
      <c r="I10911">
        <f>YEAR(Tabela1[[#This Row],[data]])</f>
        <v>2026</v>
      </c>
    </row>
    <row r="10912" spans="1:9" x14ac:dyDescent="0.25">
      <c r="A10912" t="s">
        <v>6</v>
      </c>
      <c r="B10912" s="1">
        <v>46112</v>
      </c>
      <c r="C10912">
        <v>15</v>
      </c>
      <c r="D10912">
        <v>865.62</v>
      </c>
      <c r="E10912">
        <v>208.74</v>
      </c>
      <c r="F10912" t="s">
        <v>7</v>
      </c>
      <c r="G10912" t="s">
        <v>12</v>
      </c>
      <c r="H10912" s="5">
        <f>MONTH(Tabela1[[#This Row],[data]])</f>
        <v>3</v>
      </c>
      <c r="I10912">
        <f>YEAR(Tabela1[[#This Row],[data]])</f>
        <v>2026</v>
      </c>
    </row>
    <row r="10913" spans="1:9" x14ac:dyDescent="0.25">
      <c r="A10913" t="s">
        <v>6</v>
      </c>
      <c r="B10913" s="1">
        <v>46112</v>
      </c>
      <c r="C10913">
        <v>16</v>
      </c>
      <c r="D10913">
        <v>852.18</v>
      </c>
      <c r="E10913">
        <v>211.68</v>
      </c>
      <c r="F10913" t="s">
        <v>7</v>
      </c>
      <c r="G10913" t="s">
        <v>12</v>
      </c>
      <c r="H10913" s="5">
        <f>MONTH(Tabela1[[#This Row],[data]])</f>
        <v>3</v>
      </c>
      <c r="I10913">
        <f>YEAR(Tabela1[[#This Row],[data]])</f>
        <v>2026</v>
      </c>
    </row>
    <row r="10914" spans="1:9" x14ac:dyDescent="0.25">
      <c r="A10914" t="s">
        <v>6</v>
      </c>
      <c r="B10914" s="1">
        <v>46112</v>
      </c>
      <c r="C10914">
        <v>17</v>
      </c>
      <c r="D10914">
        <v>823.62</v>
      </c>
      <c r="E10914">
        <v>220.92</v>
      </c>
      <c r="F10914" t="s">
        <v>7</v>
      </c>
      <c r="G10914" t="s">
        <v>12</v>
      </c>
      <c r="H10914" s="5">
        <f>MONTH(Tabela1[[#This Row],[data]])</f>
        <v>3</v>
      </c>
      <c r="I10914">
        <f>YEAR(Tabela1[[#This Row],[data]])</f>
        <v>2026</v>
      </c>
    </row>
    <row r="10915" spans="1:9" x14ac:dyDescent="0.25">
      <c r="A10915" t="s">
        <v>6</v>
      </c>
      <c r="B10915" s="1">
        <v>46112</v>
      </c>
      <c r="C10915">
        <v>18</v>
      </c>
      <c r="D10915">
        <v>803.88</v>
      </c>
      <c r="E10915">
        <v>199.5</v>
      </c>
      <c r="F10915" t="s">
        <v>7</v>
      </c>
      <c r="G10915" t="s">
        <v>12</v>
      </c>
      <c r="H10915" s="5">
        <f>MONTH(Tabela1[[#This Row],[data]])</f>
        <v>3</v>
      </c>
      <c r="I10915">
        <f>YEAR(Tabela1[[#This Row],[data]])</f>
        <v>2026</v>
      </c>
    </row>
    <row r="10916" spans="1:9" x14ac:dyDescent="0.25">
      <c r="A10916" t="s">
        <v>6</v>
      </c>
      <c r="B10916" s="1">
        <v>46112</v>
      </c>
      <c r="C10916">
        <v>19</v>
      </c>
      <c r="D10916">
        <v>752.22</v>
      </c>
      <c r="E10916">
        <v>144.9</v>
      </c>
      <c r="F10916" t="s">
        <v>7</v>
      </c>
      <c r="G10916" t="s">
        <v>12</v>
      </c>
      <c r="H10916" s="5">
        <f>MONTH(Tabela1[[#This Row],[data]])</f>
        <v>3</v>
      </c>
      <c r="I10916">
        <f>YEAR(Tabela1[[#This Row],[data]])</f>
        <v>2026</v>
      </c>
    </row>
    <row r="10917" spans="1:9" x14ac:dyDescent="0.25">
      <c r="A10917" t="s">
        <v>6</v>
      </c>
      <c r="B10917" s="1">
        <v>46112</v>
      </c>
      <c r="C10917">
        <v>20</v>
      </c>
      <c r="D10917">
        <v>829.08</v>
      </c>
      <c r="E10917">
        <v>181.44</v>
      </c>
      <c r="F10917" t="s">
        <v>7</v>
      </c>
      <c r="G10917" t="s">
        <v>12</v>
      </c>
      <c r="H10917" s="5">
        <f>MONTH(Tabela1[[#This Row],[data]])</f>
        <v>3</v>
      </c>
      <c r="I10917">
        <f>YEAR(Tabela1[[#This Row],[data]])</f>
        <v>2026</v>
      </c>
    </row>
    <row r="10918" spans="1:9" x14ac:dyDescent="0.25">
      <c r="A10918" t="s">
        <v>6</v>
      </c>
      <c r="B10918" s="1">
        <v>46112</v>
      </c>
      <c r="C10918">
        <v>21</v>
      </c>
      <c r="D10918">
        <v>841.68</v>
      </c>
      <c r="E10918">
        <v>178.08</v>
      </c>
      <c r="F10918" t="s">
        <v>7</v>
      </c>
      <c r="G10918" t="s">
        <v>12</v>
      </c>
      <c r="H10918" s="5">
        <f>MONTH(Tabela1[[#This Row],[data]])</f>
        <v>3</v>
      </c>
      <c r="I10918">
        <f>YEAR(Tabela1[[#This Row],[data]])</f>
        <v>2026</v>
      </c>
    </row>
    <row r="10919" spans="1:9" x14ac:dyDescent="0.25">
      <c r="A10919" t="s">
        <v>6</v>
      </c>
      <c r="B10919" s="1">
        <v>46112</v>
      </c>
      <c r="C10919">
        <v>22</v>
      </c>
      <c r="D10919">
        <v>776.58</v>
      </c>
      <c r="E10919">
        <v>167.58</v>
      </c>
      <c r="F10919" t="s">
        <v>7</v>
      </c>
      <c r="G10919" t="s">
        <v>12</v>
      </c>
      <c r="H10919" s="5">
        <f>MONTH(Tabela1[[#This Row],[data]])</f>
        <v>3</v>
      </c>
      <c r="I10919">
        <f>YEAR(Tabela1[[#This Row],[data]])</f>
        <v>2026</v>
      </c>
    </row>
    <row r="10920" spans="1:9" x14ac:dyDescent="0.25">
      <c r="A10920" t="s">
        <v>6</v>
      </c>
      <c r="B10920" s="1">
        <v>46112</v>
      </c>
      <c r="C10920">
        <v>23</v>
      </c>
      <c r="D10920">
        <v>393.54</v>
      </c>
      <c r="E10920">
        <v>2.1</v>
      </c>
      <c r="F10920" t="s">
        <v>7</v>
      </c>
      <c r="G10920" t="s">
        <v>12</v>
      </c>
      <c r="H10920" s="5">
        <f>MONTH(Tabela1[[#This Row],[data]])</f>
        <v>3</v>
      </c>
      <c r="I10920">
        <f>YEAR(Tabela1[[#This Row],[data]])</f>
        <v>2026</v>
      </c>
    </row>
    <row r="10921" spans="1:9" x14ac:dyDescent="0.25">
      <c r="A10921" t="s">
        <v>6</v>
      </c>
      <c r="B10921" s="1">
        <v>46112</v>
      </c>
      <c r="C10921">
        <v>24</v>
      </c>
      <c r="D10921">
        <v>273</v>
      </c>
      <c r="E10921">
        <v>0</v>
      </c>
      <c r="F10921" t="s">
        <v>7</v>
      </c>
      <c r="G10921" t="s">
        <v>12</v>
      </c>
      <c r="H10921" s="5">
        <f>MONTH(Tabela1[[#This Row],[data]])</f>
        <v>3</v>
      </c>
      <c r="I10921">
        <f>YEAR(Tabela1[[#This Row],[data]])</f>
        <v>2026</v>
      </c>
    </row>
    <row r="10922" spans="1:9" x14ac:dyDescent="0.25">
      <c r="A10922" t="s">
        <v>6</v>
      </c>
      <c r="B10922" s="1">
        <v>46113</v>
      </c>
      <c r="C10922">
        <v>1</v>
      </c>
      <c r="D10922">
        <v>250.32</v>
      </c>
      <c r="E10922">
        <v>0</v>
      </c>
      <c r="F10922" t="s">
        <v>7</v>
      </c>
      <c r="G10922" t="s">
        <v>11</v>
      </c>
      <c r="H10922" s="5">
        <f>MONTH(Tabela1[[#This Row],[data]])</f>
        <v>4</v>
      </c>
      <c r="I10922">
        <f>YEAR(Tabela1[[#This Row],[data]])</f>
        <v>2026</v>
      </c>
    </row>
    <row r="10923" spans="1:9" x14ac:dyDescent="0.25">
      <c r="A10923" t="s">
        <v>6</v>
      </c>
      <c r="B10923" s="1">
        <v>46113</v>
      </c>
      <c r="C10923">
        <v>2</v>
      </c>
      <c r="D10923">
        <v>224.7</v>
      </c>
      <c r="E10923">
        <v>0</v>
      </c>
      <c r="F10923" t="s">
        <v>7</v>
      </c>
      <c r="G10923" t="s">
        <v>11</v>
      </c>
      <c r="H10923" s="5">
        <f>MONTH(Tabela1[[#This Row],[data]])</f>
        <v>4</v>
      </c>
      <c r="I10923">
        <f>YEAR(Tabela1[[#This Row],[data]])</f>
        <v>2026</v>
      </c>
    </row>
    <row r="10924" spans="1:9" x14ac:dyDescent="0.25">
      <c r="A10924" t="s">
        <v>6</v>
      </c>
      <c r="B10924" s="1">
        <v>46113</v>
      </c>
      <c r="C10924">
        <v>3</v>
      </c>
      <c r="D10924">
        <v>221.76</v>
      </c>
      <c r="E10924">
        <v>0</v>
      </c>
      <c r="F10924" t="s">
        <v>7</v>
      </c>
      <c r="G10924" t="s">
        <v>11</v>
      </c>
      <c r="H10924" s="5">
        <f>MONTH(Tabela1[[#This Row],[data]])</f>
        <v>4</v>
      </c>
      <c r="I10924">
        <f>YEAR(Tabela1[[#This Row],[data]])</f>
        <v>2026</v>
      </c>
    </row>
    <row r="10925" spans="1:9" x14ac:dyDescent="0.25">
      <c r="A10925" t="s">
        <v>6</v>
      </c>
      <c r="B10925" s="1">
        <v>46113</v>
      </c>
      <c r="C10925">
        <v>4</v>
      </c>
      <c r="D10925">
        <v>214.2</v>
      </c>
      <c r="E10925">
        <v>0</v>
      </c>
      <c r="F10925" t="s">
        <v>7</v>
      </c>
      <c r="G10925" t="s">
        <v>11</v>
      </c>
      <c r="H10925" s="5">
        <f>MONTH(Tabela1[[#This Row],[data]])</f>
        <v>4</v>
      </c>
      <c r="I10925">
        <f>YEAR(Tabela1[[#This Row],[data]])</f>
        <v>2026</v>
      </c>
    </row>
    <row r="10926" spans="1:9" x14ac:dyDescent="0.25">
      <c r="A10926" t="s">
        <v>6</v>
      </c>
      <c r="B10926" s="1">
        <v>46113</v>
      </c>
      <c r="C10926">
        <v>5</v>
      </c>
      <c r="D10926">
        <v>218.4</v>
      </c>
      <c r="E10926">
        <v>0</v>
      </c>
      <c r="F10926" t="s">
        <v>7</v>
      </c>
      <c r="G10926" t="s">
        <v>11</v>
      </c>
      <c r="H10926" s="5">
        <f>MONTH(Tabela1[[#This Row],[data]])</f>
        <v>4</v>
      </c>
      <c r="I10926">
        <f>YEAR(Tabela1[[#This Row],[data]])</f>
        <v>2026</v>
      </c>
    </row>
    <row r="10927" spans="1:9" x14ac:dyDescent="0.25">
      <c r="A10927" t="s">
        <v>6</v>
      </c>
      <c r="B10927" s="1">
        <v>46113</v>
      </c>
      <c r="C10927">
        <v>6</v>
      </c>
      <c r="D10927">
        <v>214.2</v>
      </c>
      <c r="E10927">
        <v>0</v>
      </c>
      <c r="F10927" t="s">
        <v>7</v>
      </c>
      <c r="G10927" t="s">
        <v>11</v>
      </c>
      <c r="H10927" s="5">
        <f>MONTH(Tabela1[[#This Row],[data]])</f>
        <v>4</v>
      </c>
      <c r="I10927">
        <f>YEAR(Tabela1[[#This Row],[data]])</f>
        <v>2026</v>
      </c>
    </row>
    <row r="10928" spans="1:9" x14ac:dyDescent="0.25">
      <c r="A10928" t="s">
        <v>6</v>
      </c>
      <c r="B10928" s="1">
        <v>46113</v>
      </c>
      <c r="C10928">
        <v>7</v>
      </c>
      <c r="D10928">
        <v>209.58</v>
      </c>
      <c r="E10928">
        <v>0</v>
      </c>
      <c r="F10928" t="s">
        <v>7</v>
      </c>
      <c r="G10928" t="s">
        <v>11</v>
      </c>
      <c r="H10928" s="5">
        <f>MONTH(Tabela1[[#This Row],[data]])</f>
        <v>4</v>
      </c>
      <c r="I10928">
        <f>YEAR(Tabela1[[#This Row],[data]])</f>
        <v>2026</v>
      </c>
    </row>
    <row r="10929" spans="1:9" x14ac:dyDescent="0.25">
      <c r="A10929" t="s">
        <v>6</v>
      </c>
      <c r="B10929" s="1">
        <v>46113</v>
      </c>
      <c r="C10929">
        <v>8</v>
      </c>
      <c r="D10929">
        <v>227.22</v>
      </c>
      <c r="E10929">
        <v>0</v>
      </c>
      <c r="F10929" t="s">
        <v>7</v>
      </c>
      <c r="G10929" t="s">
        <v>11</v>
      </c>
      <c r="H10929" s="5">
        <f>MONTH(Tabela1[[#This Row],[data]])</f>
        <v>4</v>
      </c>
      <c r="I10929">
        <f>YEAR(Tabela1[[#This Row],[data]])</f>
        <v>2026</v>
      </c>
    </row>
    <row r="10930" spans="1:9" x14ac:dyDescent="0.25">
      <c r="A10930" t="s">
        <v>6</v>
      </c>
      <c r="B10930" s="1">
        <v>46113</v>
      </c>
      <c r="C10930">
        <v>9</v>
      </c>
      <c r="D10930">
        <v>318.36</v>
      </c>
      <c r="E10930">
        <v>0</v>
      </c>
      <c r="F10930" t="s">
        <v>7</v>
      </c>
      <c r="G10930" t="s">
        <v>11</v>
      </c>
      <c r="H10930" s="5">
        <f>MONTH(Tabela1[[#This Row],[data]])</f>
        <v>4</v>
      </c>
      <c r="I10930">
        <f>YEAR(Tabela1[[#This Row],[data]])</f>
        <v>2026</v>
      </c>
    </row>
    <row r="10931" spans="1:9" x14ac:dyDescent="0.25">
      <c r="A10931" t="s">
        <v>6</v>
      </c>
      <c r="B10931" s="1">
        <v>46113</v>
      </c>
      <c r="C10931">
        <v>10</v>
      </c>
      <c r="D10931">
        <v>462.84</v>
      </c>
      <c r="E10931">
        <v>28.14</v>
      </c>
      <c r="F10931" t="s">
        <v>7</v>
      </c>
      <c r="G10931" t="s">
        <v>11</v>
      </c>
      <c r="H10931" s="5">
        <f>MONTH(Tabela1[[#This Row],[data]])</f>
        <v>4</v>
      </c>
      <c r="I10931">
        <f>YEAR(Tabela1[[#This Row],[data]])</f>
        <v>2026</v>
      </c>
    </row>
    <row r="10932" spans="1:9" x14ac:dyDescent="0.25">
      <c r="A10932" t="s">
        <v>6</v>
      </c>
      <c r="B10932" s="1">
        <v>46113</v>
      </c>
      <c r="C10932">
        <v>11</v>
      </c>
      <c r="D10932">
        <v>807.24</v>
      </c>
      <c r="E10932">
        <v>173.04</v>
      </c>
      <c r="F10932" t="s">
        <v>7</v>
      </c>
      <c r="G10932" t="s">
        <v>11</v>
      </c>
      <c r="H10932" s="5">
        <f>MONTH(Tabela1[[#This Row],[data]])</f>
        <v>4</v>
      </c>
      <c r="I10932">
        <f>YEAR(Tabela1[[#This Row],[data]])</f>
        <v>2026</v>
      </c>
    </row>
    <row r="10933" spans="1:9" x14ac:dyDescent="0.25">
      <c r="A10933" t="s">
        <v>6</v>
      </c>
      <c r="B10933" s="1">
        <v>46113</v>
      </c>
      <c r="C10933">
        <v>12</v>
      </c>
      <c r="D10933">
        <v>817.74</v>
      </c>
      <c r="E10933">
        <v>196.98</v>
      </c>
      <c r="F10933" t="s">
        <v>7</v>
      </c>
      <c r="G10933" t="s">
        <v>11</v>
      </c>
      <c r="H10933" s="5">
        <f>MONTH(Tabela1[[#This Row],[data]])</f>
        <v>4</v>
      </c>
      <c r="I10933">
        <f>YEAR(Tabela1[[#This Row],[data]])</f>
        <v>2026</v>
      </c>
    </row>
    <row r="10934" spans="1:9" x14ac:dyDescent="0.25">
      <c r="A10934" t="s">
        <v>6</v>
      </c>
      <c r="B10934" s="1">
        <v>46113</v>
      </c>
      <c r="C10934">
        <v>13</v>
      </c>
      <c r="D10934">
        <v>816.06</v>
      </c>
      <c r="E10934">
        <v>183.54</v>
      </c>
      <c r="F10934" t="s">
        <v>7</v>
      </c>
      <c r="G10934" t="s">
        <v>11</v>
      </c>
      <c r="H10934" s="5">
        <f>MONTH(Tabela1[[#This Row],[data]])</f>
        <v>4</v>
      </c>
      <c r="I10934">
        <f>YEAR(Tabela1[[#This Row],[data]])</f>
        <v>2026</v>
      </c>
    </row>
    <row r="10935" spans="1:9" x14ac:dyDescent="0.25">
      <c r="A10935" t="s">
        <v>6</v>
      </c>
      <c r="B10935" s="1">
        <v>46113</v>
      </c>
      <c r="C10935">
        <v>14</v>
      </c>
      <c r="D10935">
        <v>820.68</v>
      </c>
      <c r="E10935">
        <v>181.44</v>
      </c>
      <c r="F10935" t="s">
        <v>7</v>
      </c>
      <c r="G10935" t="s">
        <v>11</v>
      </c>
      <c r="H10935" s="5">
        <f>MONTH(Tabela1[[#This Row],[data]])</f>
        <v>4</v>
      </c>
      <c r="I10935">
        <f>YEAR(Tabela1[[#This Row],[data]])</f>
        <v>2026</v>
      </c>
    </row>
    <row r="10936" spans="1:9" x14ac:dyDescent="0.25">
      <c r="A10936" t="s">
        <v>6</v>
      </c>
      <c r="B10936" s="1">
        <v>46113</v>
      </c>
      <c r="C10936">
        <v>15</v>
      </c>
      <c r="D10936">
        <v>834.96</v>
      </c>
      <c r="E10936">
        <v>183.96</v>
      </c>
      <c r="F10936" t="s">
        <v>7</v>
      </c>
      <c r="G10936" t="s">
        <v>11</v>
      </c>
      <c r="H10936" s="5">
        <f>MONTH(Tabela1[[#This Row],[data]])</f>
        <v>4</v>
      </c>
      <c r="I10936">
        <f>YEAR(Tabela1[[#This Row],[data]])</f>
        <v>2026</v>
      </c>
    </row>
    <row r="10937" spans="1:9" x14ac:dyDescent="0.25">
      <c r="A10937" t="s">
        <v>6</v>
      </c>
      <c r="B10937" s="1">
        <v>46113</v>
      </c>
      <c r="C10937">
        <v>16</v>
      </c>
      <c r="D10937">
        <v>804.72</v>
      </c>
      <c r="E10937">
        <v>172.62</v>
      </c>
      <c r="F10937" t="s">
        <v>7</v>
      </c>
      <c r="G10937" t="s">
        <v>11</v>
      </c>
      <c r="H10937" s="5">
        <f>MONTH(Tabela1[[#This Row],[data]])</f>
        <v>4</v>
      </c>
      <c r="I10937">
        <f>YEAR(Tabela1[[#This Row],[data]])</f>
        <v>2026</v>
      </c>
    </row>
    <row r="10938" spans="1:9" x14ac:dyDescent="0.25">
      <c r="A10938" t="s">
        <v>6</v>
      </c>
      <c r="B10938" s="1">
        <v>46113</v>
      </c>
      <c r="C10938">
        <v>17</v>
      </c>
      <c r="D10938">
        <v>799.68</v>
      </c>
      <c r="E10938">
        <v>197.4</v>
      </c>
      <c r="F10938" t="s">
        <v>7</v>
      </c>
      <c r="G10938" t="s">
        <v>11</v>
      </c>
      <c r="H10938" s="5">
        <f>MONTH(Tabela1[[#This Row],[data]])</f>
        <v>4</v>
      </c>
      <c r="I10938">
        <f>YEAR(Tabela1[[#This Row],[data]])</f>
        <v>2026</v>
      </c>
    </row>
    <row r="10939" spans="1:9" x14ac:dyDescent="0.25">
      <c r="A10939" t="s">
        <v>6</v>
      </c>
      <c r="B10939" s="1">
        <v>46113</v>
      </c>
      <c r="C10939">
        <v>18</v>
      </c>
      <c r="D10939">
        <v>796.32</v>
      </c>
      <c r="E10939">
        <v>195.3</v>
      </c>
      <c r="F10939" t="s">
        <v>7</v>
      </c>
      <c r="G10939" t="s">
        <v>11</v>
      </c>
      <c r="H10939" s="5">
        <f>MONTH(Tabela1[[#This Row],[data]])</f>
        <v>4</v>
      </c>
      <c r="I10939">
        <f>YEAR(Tabela1[[#This Row],[data]])</f>
        <v>2026</v>
      </c>
    </row>
    <row r="10940" spans="1:9" x14ac:dyDescent="0.25">
      <c r="A10940" t="s">
        <v>6</v>
      </c>
      <c r="B10940" s="1">
        <v>46113</v>
      </c>
      <c r="C10940">
        <v>19</v>
      </c>
      <c r="D10940">
        <v>756.84</v>
      </c>
      <c r="E10940">
        <v>147.84</v>
      </c>
      <c r="F10940" t="s">
        <v>7</v>
      </c>
      <c r="G10940" t="s">
        <v>11</v>
      </c>
      <c r="H10940" s="5">
        <f>MONTH(Tabela1[[#This Row],[data]])</f>
        <v>4</v>
      </c>
      <c r="I10940">
        <f>YEAR(Tabela1[[#This Row],[data]])</f>
        <v>2026</v>
      </c>
    </row>
    <row r="10941" spans="1:9" x14ac:dyDescent="0.25">
      <c r="A10941" t="s">
        <v>6</v>
      </c>
      <c r="B10941" s="1">
        <v>46113</v>
      </c>
      <c r="C10941">
        <v>20</v>
      </c>
      <c r="D10941">
        <v>740.88</v>
      </c>
      <c r="E10941">
        <v>151.19999999999999</v>
      </c>
      <c r="F10941" t="s">
        <v>7</v>
      </c>
      <c r="G10941" t="s">
        <v>11</v>
      </c>
      <c r="H10941" s="5">
        <f>MONTH(Tabela1[[#This Row],[data]])</f>
        <v>4</v>
      </c>
      <c r="I10941">
        <f>YEAR(Tabela1[[#This Row],[data]])</f>
        <v>2026</v>
      </c>
    </row>
    <row r="10942" spans="1:9" x14ac:dyDescent="0.25">
      <c r="A10942" t="s">
        <v>6</v>
      </c>
      <c r="B10942" s="1">
        <v>46113</v>
      </c>
      <c r="C10942">
        <v>21</v>
      </c>
      <c r="D10942">
        <v>750.96</v>
      </c>
      <c r="E10942">
        <v>163.38</v>
      </c>
      <c r="F10942" t="s">
        <v>7</v>
      </c>
      <c r="G10942" t="s">
        <v>11</v>
      </c>
      <c r="H10942" s="5">
        <f>MONTH(Tabela1[[#This Row],[data]])</f>
        <v>4</v>
      </c>
      <c r="I10942">
        <f>YEAR(Tabela1[[#This Row],[data]])</f>
        <v>2026</v>
      </c>
    </row>
    <row r="10943" spans="1:9" x14ac:dyDescent="0.25">
      <c r="A10943" t="s">
        <v>6</v>
      </c>
      <c r="B10943" s="1">
        <v>46113</v>
      </c>
      <c r="C10943">
        <v>22</v>
      </c>
      <c r="D10943">
        <v>735.84</v>
      </c>
      <c r="E10943">
        <v>151.19999999999999</v>
      </c>
      <c r="F10943" t="s">
        <v>7</v>
      </c>
      <c r="G10943" t="s">
        <v>11</v>
      </c>
      <c r="H10943" s="5">
        <f>MONTH(Tabela1[[#This Row],[data]])</f>
        <v>4</v>
      </c>
      <c r="I10943">
        <f>YEAR(Tabela1[[#This Row],[data]])</f>
        <v>2026</v>
      </c>
    </row>
    <row r="10944" spans="1:9" x14ac:dyDescent="0.25">
      <c r="A10944" t="s">
        <v>6</v>
      </c>
      <c r="B10944" s="1">
        <v>46113</v>
      </c>
      <c r="C10944">
        <v>23</v>
      </c>
      <c r="D10944">
        <v>391.44</v>
      </c>
      <c r="E10944">
        <v>25.2</v>
      </c>
      <c r="F10944" t="s">
        <v>7</v>
      </c>
      <c r="G10944" t="s">
        <v>11</v>
      </c>
      <c r="H10944" s="5">
        <f>MONTH(Tabela1[[#This Row],[data]])</f>
        <v>4</v>
      </c>
      <c r="I10944">
        <f>YEAR(Tabela1[[#This Row],[data]])</f>
        <v>2026</v>
      </c>
    </row>
    <row r="10945" spans="1:9" x14ac:dyDescent="0.25">
      <c r="A10945" t="s">
        <v>6</v>
      </c>
      <c r="B10945" s="1">
        <v>46113</v>
      </c>
      <c r="C10945">
        <v>24</v>
      </c>
      <c r="D10945">
        <v>262.08</v>
      </c>
      <c r="E10945">
        <v>0</v>
      </c>
      <c r="F10945" t="s">
        <v>7</v>
      </c>
      <c r="G10945" t="s">
        <v>11</v>
      </c>
      <c r="H10945" s="5">
        <f>MONTH(Tabela1[[#This Row],[data]])</f>
        <v>4</v>
      </c>
      <c r="I10945">
        <f>YEAR(Tabela1[[#This Row],[data]])</f>
        <v>2026</v>
      </c>
    </row>
    <row r="10946" spans="1:9" x14ac:dyDescent="0.25">
      <c r="A10946" t="s">
        <v>6</v>
      </c>
      <c r="B10946" s="1">
        <v>46114</v>
      </c>
      <c r="C10946">
        <v>1</v>
      </c>
      <c r="D10946">
        <v>242.34</v>
      </c>
      <c r="E10946">
        <v>0</v>
      </c>
      <c r="F10946" t="s">
        <v>7</v>
      </c>
      <c r="G10946" t="s">
        <v>11</v>
      </c>
      <c r="H10946" s="5">
        <f>MONTH(Tabela1[[#This Row],[data]])</f>
        <v>4</v>
      </c>
      <c r="I10946">
        <f>YEAR(Tabela1[[#This Row],[data]])</f>
        <v>2026</v>
      </c>
    </row>
    <row r="10947" spans="1:9" x14ac:dyDescent="0.25">
      <c r="A10947" t="s">
        <v>6</v>
      </c>
      <c r="B10947" s="1">
        <v>46114</v>
      </c>
      <c r="C10947">
        <v>2</v>
      </c>
      <c r="D10947">
        <v>222.6</v>
      </c>
      <c r="E10947">
        <v>0</v>
      </c>
      <c r="F10947" t="s">
        <v>7</v>
      </c>
      <c r="G10947" t="s">
        <v>11</v>
      </c>
      <c r="H10947" s="5">
        <f>MONTH(Tabela1[[#This Row],[data]])</f>
        <v>4</v>
      </c>
      <c r="I10947">
        <f>YEAR(Tabela1[[#This Row],[data]])</f>
        <v>2026</v>
      </c>
    </row>
    <row r="10948" spans="1:9" x14ac:dyDescent="0.25">
      <c r="A10948" t="s">
        <v>6</v>
      </c>
      <c r="B10948" s="1">
        <v>46114</v>
      </c>
      <c r="C10948">
        <v>3</v>
      </c>
      <c r="D10948">
        <v>221.76</v>
      </c>
      <c r="E10948">
        <v>0</v>
      </c>
      <c r="F10948" t="s">
        <v>7</v>
      </c>
      <c r="G10948" t="s">
        <v>11</v>
      </c>
      <c r="H10948" s="5">
        <f>MONTH(Tabela1[[#This Row],[data]])</f>
        <v>4</v>
      </c>
      <c r="I10948">
        <f>YEAR(Tabela1[[#This Row],[data]])</f>
        <v>2026</v>
      </c>
    </row>
    <row r="10949" spans="1:9" x14ac:dyDescent="0.25">
      <c r="A10949" t="s">
        <v>6</v>
      </c>
      <c r="B10949" s="1">
        <v>46114</v>
      </c>
      <c r="C10949">
        <v>4</v>
      </c>
      <c r="D10949">
        <v>218.4</v>
      </c>
      <c r="E10949">
        <v>0</v>
      </c>
      <c r="F10949" t="s">
        <v>7</v>
      </c>
      <c r="G10949" t="s">
        <v>11</v>
      </c>
      <c r="H10949" s="5">
        <f>MONTH(Tabela1[[#This Row],[data]])</f>
        <v>4</v>
      </c>
      <c r="I10949">
        <f>YEAR(Tabela1[[#This Row],[data]])</f>
        <v>2026</v>
      </c>
    </row>
    <row r="10950" spans="1:9" x14ac:dyDescent="0.25">
      <c r="A10950" t="s">
        <v>6</v>
      </c>
      <c r="B10950" s="1">
        <v>46114</v>
      </c>
      <c r="C10950">
        <v>5</v>
      </c>
      <c r="D10950">
        <v>224.7</v>
      </c>
      <c r="E10950">
        <v>0</v>
      </c>
      <c r="F10950" t="s">
        <v>7</v>
      </c>
      <c r="G10950" t="s">
        <v>11</v>
      </c>
      <c r="H10950" s="5">
        <f>MONTH(Tabela1[[#This Row],[data]])</f>
        <v>4</v>
      </c>
      <c r="I10950">
        <f>YEAR(Tabela1[[#This Row],[data]])</f>
        <v>2026</v>
      </c>
    </row>
    <row r="10951" spans="1:9" x14ac:dyDescent="0.25">
      <c r="A10951" t="s">
        <v>6</v>
      </c>
      <c r="B10951" s="1">
        <v>46114</v>
      </c>
      <c r="C10951">
        <v>6</v>
      </c>
      <c r="D10951">
        <v>219.24</v>
      </c>
      <c r="E10951">
        <v>0</v>
      </c>
      <c r="F10951" t="s">
        <v>7</v>
      </c>
      <c r="G10951" t="s">
        <v>11</v>
      </c>
      <c r="H10951" s="5">
        <f>MONTH(Tabela1[[#This Row],[data]])</f>
        <v>4</v>
      </c>
      <c r="I10951">
        <f>YEAR(Tabela1[[#This Row],[data]])</f>
        <v>2026</v>
      </c>
    </row>
    <row r="10952" spans="1:9" x14ac:dyDescent="0.25">
      <c r="A10952" t="s">
        <v>6</v>
      </c>
      <c r="B10952" s="1">
        <v>46114</v>
      </c>
      <c r="C10952">
        <v>7</v>
      </c>
      <c r="D10952">
        <v>226.8</v>
      </c>
      <c r="E10952">
        <v>0</v>
      </c>
      <c r="F10952" t="s">
        <v>7</v>
      </c>
      <c r="G10952" t="s">
        <v>11</v>
      </c>
      <c r="H10952" s="5">
        <f>MONTH(Tabela1[[#This Row],[data]])</f>
        <v>4</v>
      </c>
      <c r="I10952">
        <f>YEAR(Tabela1[[#This Row],[data]])</f>
        <v>2026</v>
      </c>
    </row>
    <row r="10953" spans="1:9" x14ac:dyDescent="0.25">
      <c r="A10953" t="s">
        <v>6</v>
      </c>
      <c r="B10953" s="1">
        <v>46114</v>
      </c>
      <c r="C10953">
        <v>8</v>
      </c>
      <c r="D10953">
        <v>249.06</v>
      </c>
      <c r="E10953">
        <v>0</v>
      </c>
      <c r="F10953" t="s">
        <v>7</v>
      </c>
      <c r="G10953" t="s">
        <v>11</v>
      </c>
      <c r="H10953" s="5">
        <f>MONTH(Tabela1[[#This Row],[data]])</f>
        <v>4</v>
      </c>
      <c r="I10953">
        <f>YEAR(Tabela1[[#This Row],[data]])</f>
        <v>2026</v>
      </c>
    </row>
    <row r="10954" spans="1:9" x14ac:dyDescent="0.25">
      <c r="A10954" t="s">
        <v>6</v>
      </c>
      <c r="B10954" s="1">
        <v>46114</v>
      </c>
      <c r="C10954">
        <v>9</v>
      </c>
      <c r="D10954">
        <v>341.04</v>
      </c>
      <c r="E10954">
        <v>0</v>
      </c>
      <c r="F10954" t="s">
        <v>7</v>
      </c>
      <c r="G10954" t="s">
        <v>11</v>
      </c>
      <c r="H10954" s="5">
        <f>MONTH(Tabela1[[#This Row],[data]])</f>
        <v>4</v>
      </c>
      <c r="I10954">
        <f>YEAR(Tabela1[[#This Row],[data]])</f>
        <v>2026</v>
      </c>
    </row>
    <row r="10955" spans="1:9" x14ac:dyDescent="0.25">
      <c r="A10955" t="s">
        <v>6</v>
      </c>
      <c r="B10955" s="1">
        <v>46114</v>
      </c>
      <c r="C10955">
        <v>10</v>
      </c>
      <c r="D10955">
        <v>449.82</v>
      </c>
      <c r="E10955">
        <v>15.12</v>
      </c>
      <c r="F10955" t="s">
        <v>7</v>
      </c>
      <c r="G10955" t="s">
        <v>11</v>
      </c>
      <c r="H10955" s="5">
        <f>MONTH(Tabela1[[#This Row],[data]])</f>
        <v>4</v>
      </c>
      <c r="I10955">
        <f>YEAR(Tabela1[[#This Row],[data]])</f>
        <v>2026</v>
      </c>
    </row>
    <row r="10956" spans="1:9" x14ac:dyDescent="0.25">
      <c r="A10956" t="s">
        <v>6</v>
      </c>
      <c r="B10956" s="1">
        <v>46114</v>
      </c>
      <c r="C10956">
        <v>11</v>
      </c>
      <c r="D10956">
        <v>592.20000000000005</v>
      </c>
      <c r="E10956">
        <v>59.64</v>
      </c>
      <c r="F10956" t="s">
        <v>7</v>
      </c>
      <c r="G10956" t="s">
        <v>11</v>
      </c>
      <c r="H10956" s="5">
        <f>MONTH(Tabela1[[#This Row],[data]])</f>
        <v>4</v>
      </c>
      <c r="I10956">
        <f>YEAR(Tabela1[[#This Row],[data]])</f>
        <v>2026</v>
      </c>
    </row>
    <row r="10957" spans="1:9" x14ac:dyDescent="0.25">
      <c r="A10957" t="s">
        <v>6</v>
      </c>
      <c r="B10957" s="1">
        <v>46114</v>
      </c>
      <c r="C10957">
        <v>12</v>
      </c>
      <c r="D10957">
        <v>767.34</v>
      </c>
      <c r="E10957">
        <v>132.30000000000001</v>
      </c>
      <c r="F10957" t="s">
        <v>7</v>
      </c>
      <c r="G10957" t="s">
        <v>11</v>
      </c>
      <c r="H10957" s="5">
        <f>MONTH(Tabela1[[#This Row],[data]])</f>
        <v>4</v>
      </c>
      <c r="I10957">
        <f>YEAR(Tabela1[[#This Row],[data]])</f>
        <v>2026</v>
      </c>
    </row>
    <row r="10958" spans="1:9" x14ac:dyDescent="0.25">
      <c r="A10958" t="s">
        <v>6</v>
      </c>
      <c r="B10958" s="1">
        <v>46114</v>
      </c>
      <c r="C10958">
        <v>13</v>
      </c>
      <c r="D10958">
        <v>927.78</v>
      </c>
      <c r="E10958">
        <v>231.42</v>
      </c>
      <c r="F10958" t="s">
        <v>7</v>
      </c>
      <c r="G10958" t="s">
        <v>11</v>
      </c>
      <c r="H10958" s="5">
        <f>MONTH(Tabela1[[#This Row],[data]])</f>
        <v>4</v>
      </c>
      <c r="I10958">
        <f>YEAR(Tabela1[[#This Row],[data]])</f>
        <v>2026</v>
      </c>
    </row>
    <row r="10959" spans="1:9" x14ac:dyDescent="0.25">
      <c r="A10959" t="s">
        <v>6</v>
      </c>
      <c r="B10959" s="1">
        <v>46114</v>
      </c>
      <c r="C10959">
        <v>14</v>
      </c>
      <c r="D10959">
        <v>884.52</v>
      </c>
      <c r="E10959">
        <v>197.4</v>
      </c>
      <c r="F10959" t="s">
        <v>7</v>
      </c>
      <c r="G10959" t="s">
        <v>11</v>
      </c>
      <c r="H10959" s="5">
        <f>MONTH(Tabela1[[#This Row],[data]])</f>
        <v>4</v>
      </c>
      <c r="I10959">
        <f>YEAR(Tabela1[[#This Row],[data]])</f>
        <v>2026</v>
      </c>
    </row>
    <row r="10960" spans="1:9" x14ac:dyDescent="0.25">
      <c r="A10960" t="s">
        <v>6</v>
      </c>
      <c r="B10960" s="1">
        <v>46114</v>
      </c>
      <c r="C10960">
        <v>15</v>
      </c>
      <c r="D10960">
        <v>903.42</v>
      </c>
      <c r="E10960">
        <v>207.06</v>
      </c>
      <c r="F10960" t="s">
        <v>7</v>
      </c>
      <c r="G10960" t="s">
        <v>11</v>
      </c>
      <c r="H10960" s="5">
        <f>MONTH(Tabela1[[#This Row],[data]])</f>
        <v>4</v>
      </c>
      <c r="I10960">
        <f>YEAR(Tabela1[[#This Row],[data]])</f>
        <v>2026</v>
      </c>
    </row>
    <row r="10961" spans="1:9" x14ac:dyDescent="0.25">
      <c r="A10961" t="s">
        <v>6</v>
      </c>
      <c r="B10961" s="1">
        <v>46114</v>
      </c>
      <c r="C10961">
        <v>16</v>
      </c>
      <c r="D10961">
        <v>908.88</v>
      </c>
      <c r="E10961">
        <v>210</v>
      </c>
      <c r="F10961" t="s">
        <v>7</v>
      </c>
      <c r="G10961" t="s">
        <v>11</v>
      </c>
      <c r="H10961" s="5">
        <f>MONTH(Tabela1[[#This Row],[data]])</f>
        <v>4</v>
      </c>
      <c r="I10961">
        <f>YEAR(Tabela1[[#This Row],[data]])</f>
        <v>2026</v>
      </c>
    </row>
    <row r="10962" spans="1:9" x14ac:dyDescent="0.25">
      <c r="A10962" t="s">
        <v>6</v>
      </c>
      <c r="B10962" s="1">
        <v>46114</v>
      </c>
      <c r="C10962">
        <v>17</v>
      </c>
      <c r="D10962">
        <v>810.18</v>
      </c>
      <c r="E10962">
        <v>181.44</v>
      </c>
      <c r="F10962" t="s">
        <v>7</v>
      </c>
      <c r="G10962" t="s">
        <v>11</v>
      </c>
      <c r="H10962" s="5">
        <f>MONTH(Tabela1[[#This Row],[data]])</f>
        <v>4</v>
      </c>
      <c r="I10962">
        <f>YEAR(Tabela1[[#This Row],[data]])</f>
        <v>2026</v>
      </c>
    </row>
    <row r="10963" spans="1:9" x14ac:dyDescent="0.25">
      <c r="A10963" t="s">
        <v>6</v>
      </c>
      <c r="B10963" s="1">
        <v>46114</v>
      </c>
      <c r="C10963">
        <v>18</v>
      </c>
      <c r="D10963">
        <v>663.6</v>
      </c>
      <c r="E10963">
        <v>88.2</v>
      </c>
      <c r="F10963" t="s">
        <v>7</v>
      </c>
      <c r="G10963" t="s">
        <v>11</v>
      </c>
      <c r="H10963" s="5">
        <f>MONTH(Tabela1[[#This Row],[data]])</f>
        <v>4</v>
      </c>
      <c r="I10963">
        <f>YEAR(Tabela1[[#This Row],[data]])</f>
        <v>2026</v>
      </c>
    </row>
    <row r="10964" spans="1:9" x14ac:dyDescent="0.25">
      <c r="A10964" t="s">
        <v>6</v>
      </c>
      <c r="B10964" s="1">
        <v>46114</v>
      </c>
      <c r="C10964">
        <v>19</v>
      </c>
      <c r="D10964">
        <v>643.44000000000005</v>
      </c>
      <c r="E10964">
        <v>62.16</v>
      </c>
      <c r="F10964" t="s">
        <v>7</v>
      </c>
      <c r="G10964" t="s">
        <v>11</v>
      </c>
      <c r="H10964" s="5">
        <f>MONTH(Tabela1[[#This Row],[data]])</f>
        <v>4</v>
      </c>
      <c r="I10964">
        <f>YEAR(Tabela1[[#This Row],[data]])</f>
        <v>2026</v>
      </c>
    </row>
    <row r="10965" spans="1:9" x14ac:dyDescent="0.25">
      <c r="A10965" t="s">
        <v>6</v>
      </c>
      <c r="B10965" s="1">
        <v>46114</v>
      </c>
      <c r="C10965">
        <v>20</v>
      </c>
      <c r="D10965">
        <v>635.46</v>
      </c>
      <c r="E10965">
        <v>66.78</v>
      </c>
      <c r="F10965" t="s">
        <v>7</v>
      </c>
      <c r="G10965" t="s">
        <v>11</v>
      </c>
      <c r="H10965" s="5">
        <f>MONTH(Tabela1[[#This Row],[data]])</f>
        <v>4</v>
      </c>
      <c r="I10965">
        <f>YEAR(Tabela1[[#This Row],[data]])</f>
        <v>2026</v>
      </c>
    </row>
    <row r="10966" spans="1:9" x14ac:dyDescent="0.25">
      <c r="A10966" t="s">
        <v>6</v>
      </c>
      <c r="B10966" s="1">
        <v>46114</v>
      </c>
      <c r="C10966">
        <v>21</v>
      </c>
      <c r="D10966">
        <v>646.79999999999995</v>
      </c>
      <c r="E10966">
        <v>64.260000000000005</v>
      </c>
      <c r="F10966" t="s">
        <v>7</v>
      </c>
      <c r="G10966" t="s">
        <v>11</v>
      </c>
      <c r="H10966" s="5">
        <f>MONTH(Tabela1[[#This Row],[data]])</f>
        <v>4</v>
      </c>
      <c r="I10966">
        <f>YEAR(Tabela1[[#This Row],[data]])</f>
        <v>2026</v>
      </c>
    </row>
    <row r="10967" spans="1:9" x14ac:dyDescent="0.25">
      <c r="A10967" t="s">
        <v>6</v>
      </c>
      <c r="B10967" s="1">
        <v>46114</v>
      </c>
      <c r="C10967">
        <v>22</v>
      </c>
      <c r="D10967">
        <v>628.32000000000005</v>
      </c>
      <c r="E10967">
        <v>53.76</v>
      </c>
      <c r="F10967" t="s">
        <v>7</v>
      </c>
      <c r="G10967" t="s">
        <v>11</v>
      </c>
      <c r="H10967" s="5">
        <f>MONTH(Tabela1[[#This Row],[data]])</f>
        <v>4</v>
      </c>
      <c r="I10967">
        <f>YEAR(Tabela1[[#This Row],[data]])</f>
        <v>2026</v>
      </c>
    </row>
    <row r="10968" spans="1:9" x14ac:dyDescent="0.25">
      <c r="A10968" t="s">
        <v>6</v>
      </c>
      <c r="B10968" s="1">
        <v>46114</v>
      </c>
      <c r="C10968">
        <v>23</v>
      </c>
      <c r="D10968">
        <v>399.84</v>
      </c>
      <c r="E10968">
        <v>0.42</v>
      </c>
      <c r="F10968" t="s">
        <v>7</v>
      </c>
      <c r="G10968" t="s">
        <v>11</v>
      </c>
      <c r="H10968" s="5">
        <f>MONTH(Tabela1[[#This Row],[data]])</f>
        <v>4</v>
      </c>
      <c r="I10968">
        <f>YEAR(Tabela1[[#This Row],[data]])</f>
        <v>2026</v>
      </c>
    </row>
    <row r="10969" spans="1:9" x14ac:dyDescent="0.25">
      <c r="A10969" t="s">
        <v>6</v>
      </c>
      <c r="B10969" s="1">
        <v>46114</v>
      </c>
      <c r="C10969">
        <v>24</v>
      </c>
      <c r="D10969">
        <v>276.36</v>
      </c>
      <c r="E10969">
        <v>0</v>
      </c>
      <c r="F10969" t="s">
        <v>7</v>
      </c>
      <c r="G10969" t="s">
        <v>11</v>
      </c>
      <c r="H10969" s="5">
        <f>MONTH(Tabela1[[#This Row],[data]])</f>
        <v>4</v>
      </c>
      <c r="I10969">
        <f>YEAR(Tabela1[[#This Row],[data]])</f>
        <v>2026</v>
      </c>
    </row>
    <row r="10970" spans="1:9" x14ac:dyDescent="0.25">
      <c r="A10970" t="s">
        <v>6</v>
      </c>
      <c r="B10970" s="1">
        <v>46115</v>
      </c>
      <c r="C10970">
        <v>1</v>
      </c>
      <c r="D10970">
        <v>253.26</v>
      </c>
      <c r="E10970">
        <v>0</v>
      </c>
      <c r="F10970" t="s">
        <v>7</v>
      </c>
      <c r="G10970" t="s">
        <v>11</v>
      </c>
      <c r="H10970" s="5">
        <f>MONTH(Tabela1[[#This Row],[data]])</f>
        <v>4</v>
      </c>
      <c r="I10970">
        <f>YEAR(Tabela1[[#This Row],[data]])</f>
        <v>2026</v>
      </c>
    </row>
    <row r="10971" spans="1:9" x14ac:dyDescent="0.25">
      <c r="A10971" t="s">
        <v>6</v>
      </c>
      <c r="B10971" s="1">
        <v>46115</v>
      </c>
      <c r="C10971">
        <v>2</v>
      </c>
      <c r="D10971">
        <v>233.1</v>
      </c>
      <c r="E10971">
        <v>0</v>
      </c>
      <c r="F10971" t="s">
        <v>7</v>
      </c>
      <c r="G10971" t="s">
        <v>11</v>
      </c>
      <c r="H10971" s="5">
        <f>MONTH(Tabela1[[#This Row],[data]])</f>
        <v>4</v>
      </c>
      <c r="I10971">
        <f>YEAR(Tabela1[[#This Row],[data]])</f>
        <v>2026</v>
      </c>
    </row>
    <row r="10972" spans="1:9" x14ac:dyDescent="0.25">
      <c r="A10972" t="s">
        <v>6</v>
      </c>
      <c r="B10972" s="1">
        <v>46115</v>
      </c>
      <c r="C10972">
        <v>3</v>
      </c>
      <c r="D10972">
        <v>227.22</v>
      </c>
      <c r="E10972">
        <v>0</v>
      </c>
      <c r="F10972" t="s">
        <v>7</v>
      </c>
      <c r="G10972" t="s">
        <v>11</v>
      </c>
      <c r="H10972" s="5">
        <f>MONTH(Tabela1[[#This Row],[data]])</f>
        <v>4</v>
      </c>
      <c r="I10972">
        <f>YEAR(Tabela1[[#This Row],[data]])</f>
        <v>2026</v>
      </c>
    </row>
    <row r="10973" spans="1:9" x14ac:dyDescent="0.25">
      <c r="A10973" t="s">
        <v>6</v>
      </c>
      <c r="B10973" s="1">
        <v>46115</v>
      </c>
      <c r="C10973">
        <v>4</v>
      </c>
      <c r="D10973">
        <v>220.92</v>
      </c>
      <c r="E10973">
        <v>0</v>
      </c>
      <c r="F10973" t="s">
        <v>7</v>
      </c>
      <c r="G10973" t="s">
        <v>11</v>
      </c>
      <c r="H10973" s="5">
        <f>MONTH(Tabela1[[#This Row],[data]])</f>
        <v>4</v>
      </c>
      <c r="I10973">
        <f>YEAR(Tabela1[[#This Row],[data]])</f>
        <v>2026</v>
      </c>
    </row>
    <row r="10974" spans="1:9" x14ac:dyDescent="0.25">
      <c r="A10974" t="s">
        <v>6</v>
      </c>
      <c r="B10974" s="1">
        <v>46115</v>
      </c>
      <c r="C10974">
        <v>5</v>
      </c>
      <c r="D10974">
        <v>230.16</v>
      </c>
      <c r="E10974">
        <v>0</v>
      </c>
      <c r="F10974" t="s">
        <v>7</v>
      </c>
      <c r="G10974" t="s">
        <v>11</v>
      </c>
      <c r="H10974" s="5">
        <f>MONTH(Tabela1[[#This Row],[data]])</f>
        <v>4</v>
      </c>
      <c r="I10974">
        <f>YEAR(Tabela1[[#This Row],[data]])</f>
        <v>2026</v>
      </c>
    </row>
    <row r="10975" spans="1:9" x14ac:dyDescent="0.25">
      <c r="A10975" t="s">
        <v>6</v>
      </c>
      <c r="B10975" s="1">
        <v>46115</v>
      </c>
      <c r="C10975">
        <v>6</v>
      </c>
      <c r="D10975">
        <v>228.06</v>
      </c>
      <c r="E10975">
        <v>0</v>
      </c>
      <c r="F10975" t="s">
        <v>7</v>
      </c>
      <c r="G10975" t="s">
        <v>11</v>
      </c>
      <c r="H10975" s="5">
        <f>MONTH(Tabela1[[#This Row],[data]])</f>
        <v>4</v>
      </c>
      <c r="I10975">
        <f>YEAR(Tabela1[[#This Row],[data]])</f>
        <v>2026</v>
      </c>
    </row>
    <row r="10976" spans="1:9" x14ac:dyDescent="0.25">
      <c r="A10976" t="s">
        <v>6</v>
      </c>
      <c r="B10976" s="1">
        <v>46115</v>
      </c>
      <c r="C10976">
        <v>7</v>
      </c>
      <c r="D10976">
        <v>204.96</v>
      </c>
      <c r="E10976">
        <v>0</v>
      </c>
      <c r="F10976" t="s">
        <v>7</v>
      </c>
      <c r="G10976" t="s">
        <v>11</v>
      </c>
      <c r="H10976" s="5">
        <f>MONTH(Tabela1[[#This Row],[data]])</f>
        <v>4</v>
      </c>
      <c r="I10976">
        <f>YEAR(Tabela1[[#This Row],[data]])</f>
        <v>2026</v>
      </c>
    </row>
    <row r="10977" spans="1:9" x14ac:dyDescent="0.25">
      <c r="A10977" t="s">
        <v>6</v>
      </c>
      <c r="B10977" s="1">
        <v>46115</v>
      </c>
      <c r="C10977">
        <v>8</v>
      </c>
      <c r="D10977">
        <v>208.74</v>
      </c>
      <c r="E10977">
        <v>0</v>
      </c>
      <c r="F10977" t="s">
        <v>7</v>
      </c>
      <c r="G10977" t="s">
        <v>11</v>
      </c>
      <c r="H10977" s="5">
        <f>MONTH(Tabela1[[#This Row],[data]])</f>
        <v>4</v>
      </c>
      <c r="I10977">
        <f>YEAR(Tabela1[[#This Row],[data]])</f>
        <v>2026</v>
      </c>
    </row>
    <row r="10978" spans="1:9" x14ac:dyDescent="0.25">
      <c r="A10978" t="s">
        <v>6</v>
      </c>
      <c r="B10978" s="1">
        <v>46115</v>
      </c>
      <c r="C10978">
        <v>9</v>
      </c>
      <c r="D10978">
        <v>278.04000000000002</v>
      </c>
      <c r="E10978">
        <v>0</v>
      </c>
      <c r="F10978" t="s">
        <v>7</v>
      </c>
      <c r="G10978" t="s">
        <v>11</v>
      </c>
      <c r="H10978" s="5">
        <f>MONTH(Tabela1[[#This Row],[data]])</f>
        <v>4</v>
      </c>
      <c r="I10978">
        <f>YEAR(Tabela1[[#This Row],[data]])</f>
        <v>2026</v>
      </c>
    </row>
    <row r="10979" spans="1:9" x14ac:dyDescent="0.25">
      <c r="A10979" t="s">
        <v>6</v>
      </c>
      <c r="B10979" s="1">
        <v>46115</v>
      </c>
      <c r="C10979">
        <v>10</v>
      </c>
      <c r="D10979">
        <v>467.46</v>
      </c>
      <c r="E10979">
        <v>51.24</v>
      </c>
      <c r="F10979" t="s">
        <v>7</v>
      </c>
      <c r="G10979" t="s">
        <v>11</v>
      </c>
      <c r="H10979" s="5">
        <f>MONTH(Tabela1[[#This Row],[data]])</f>
        <v>4</v>
      </c>
      <c r="I10979">
        <f>YEAR(Tabela1[[#This Row],[data]])</f>
        <v>2026</v>
      </c>
    </row>
    <row r="10980" spans="1:9" x14ac:dyDescent="0.25">
      <c r="A10980" t="s">
        <v>6</v>
      </c>
      <c r="B10980" s="1">
        <v>46115</v>
      </c>
      <c r="C10980">
        <v>11</v>
      </c>
      <c r="D10980">
        <v>758.1</v>
      </c>
      <c r="E10980">
        <v>142.38</v>
      </c>
      <c r="F10980" t="s">
        <v>7</v>
      </c>
      <c r="G10980" t="s">
        <v>11</v>
      </c>
      <c r="H10980" s="5">
        <f>MONTH(Tabela1[[#This Row],[data]])</f>
        <v>4</v>
      </c>
      <c r="I10980">
        <f>YEAR(Tabela1[[#This Row],[data]])</f>
        <v>2026</v>
      </c>
    </row>
    <row r="10981" spans="1:9" x14ac:dyDescent="0.25">
      <c r="A10981" t="s">
        <v>6</v>
      </c>
      <c r="B10981" s="1">
        <v>46115</v>
      </c>
      <c r="C10981">
        <v>12</v>
      </c>
      <c r="D10981">
        <v>711.48</v>
      </c>
      <c r="E10981">
        <v>131.88</v>
      </c>
      <c r="F10981" t="s">
        <v>7</v>
      </c>
      <c r="G10981" t="s">
        <v>11</v>
      </c>
      <c r="H10981" s="5">
        <f>MONTH(Tabela1[[#This Row],[data]])</f>
        <v>4</v>
      </c>
      <c r="I10981">
        <f>YEAR(Tabela1[[#This Row],[data]])</f>
        <v>2026</v>
      </c>
    </row>
    <row r="10982" spans="1:9" x14ac:dyDescent="0.25">
      <c r="A10982" t="s">
        <v>6</v>
      </c>
      <c r="B10982" s="1">
        <v>46115</v>
      </c>
      <c r="C10982">
        <v>13</v>
      </c>
      <c r="D10982">
        <v>758.1</v>
      </c>
      <c r="E10982">
        <v>149.52000000000001</v>
      </c>
      <c r="F10982" t="s">
        <v>7</v>
      </c>
      <c r="G10982" t="s">
        <v>11</v>
      </c>
      <c r="H10982" s="5">
        <f>MONTH(Tabela1[[#This Row],[data]])</f>
        <v>4</v>
      </c>
      <c r="I10982">
        <f>YEAR(Tabela1[[#This Row],[data]])</f>
        <v>2026</v>
      </c>
    </row>
    <row r="10983" spans="1:9" x14ac:dyDescent="0.25">
      <c r="A10983" t="s">
        <v>6</v>
      </c>
      <c r="B10983" s="1">
        <v>46115</v>
      </c>
      <c r="C10983">
        <v>14</v>
      </c>
      <c r="D10983">
        <v>807.24</v>
      </c>
      <c r="E10983">
        <v>170.1</v>
      </c>
      <c r="F10983" t="s">
        <v>7</v>
      </c>
      <c r="G10983" t="s">
        <v>11</v>
      </c>
      <c r="H10983" s="5">
        <f>MONTH(Tabela1[[#This Row],[data]])</f>
        <v>4</v>
      </c>
      <c r="I10983">
        <f>YEAR(Tabela1[[#This Row],[data]])</f>
        <v>2026</v>
      </c>
    </row>
    <row r="10984" spans="1:9" x14ac:dyDescent="0.25">
      <c r="A10984" t="s">
        <v>6</v>
      </c>
      <c r="B10984" s="1">
        <v>46115</v>
      </c>
      <c r="C10984">
        <v>15</v>
      </c>
      <c r="D10984">
        <v>830.34</v>
      </c>
      <c r="E10984">
        <v>190.68</v>
      </c>
      <c r="F10984" t="s">
        <v>7</v>
      </c>
      <c r="G10984" t="s">
        <v>11</v>
      </c>
      <c r="H10984" s="5">
        <f>MONTH(Tabela1[[#This Row],[data]])</f>
        <v>4</v>
      </c>
      <c r="I10984">
        <f>YEAR(Tabela1[[#This Row],[data]])</f>
        <v>2026</v>
      </c>
    </row>
    <row r="10985" spans="1:9" x14ac:dyDescent="0.25">
      <c r="A10985" t="s">
        <v>6</v>
      </c>
      <c r="B10985" s="1">
        <v>46115</v>
      </c>
      <c r="C10985">
        <v>16</v>
      </c>
      <c r="D10985">
        <v>847.56</v>
      </c>
      <c r="E10985">
        <v>200.76</v>
      </c>
      <c r="F10985" t="s">
        <v>7</v>
      </c>
      <c r="G10985" t="s">
        <v>11</v>
      </c>
      <c r="H10985" s="5">
        <f>MONTH(Tabela1[[#This Row],[data]])</f>
        <v>4</v>
      </c>
      <c r="I10985">
        <f>YEAR(Tabela1[[#This Row],[data]])</f>
        <v>2026</v>
      </c>
    </row>
    <row r="10986" spans="1:9" x14ac:dyDescent="0.25">
      <c r="A10986" t="s">
        <v>6</v>
      </c>
      <c r="B10986" s="1">
        <v>46115</v>
      </c>
      <c r="C10986">
        <v>17</v>
      </c>
      <c r="D10986">
        <v>840</v>
      </c>
      <c r="E10986">
        <v>207.9</v>
      </c>
      <c r="F10986" t="s">
        <v>7</v>
      </c>
      <c r="G10986" t="s">
        <v>11</v>
      </c>
      <c r="H10986" s="5">
        <f>MONTH(Tabela1[[#This Row],[data]])</f>
        <v>4</v>
      </c>
      <c r="I10986">
        <f>YEAR(Tabela1[[#This Row],[data]])</f>
        <v>2026</v>
      </c>
    </row>
    <row r="10987" spans="1:9" x14ac:dyDescent="0.25">
      <c r="A10987" t="s">
        <v>6</v>
      </c>
      <c r="B10987" s="1">
        <v>46115</v>
      </c>
      <c r="C10987">
        <v>18</v>
      </c>
      <c r="D10987">
        <v>826.14</v>
      </c>
      <c r="E10987">
        <v>185.22</v>
      </c>
      <c r="F10987" t="s">
        <v>7</v>
      </c>
      <c r="G10987" t="s">
        <v>11</v>
      </c>
      <c r="H10987" s="5">
        <f>MONTH(Tabela1[[#This Row],[data]])</f>
        <v>4</v>
      </c>
      <c r="I10987">
        <f>YEAR(Tabela1[[#This Row],[data]])</f>
        <v>2026</v>
      </c>
    </row>
    <row r="10988" spans="1:9" x14ac:dyDescent="0.25">
      <c r="A10988" t="s">
        <v>6</v>
      </c>
      <c r="B10988" s="1">
        <v>46115</v>
      </c>
      <c r="C10988">
        <v>19</v>
      </c>
      <c r="D10988">
        <v>806.82</v>
      </c>
      <c r="E10988">
        <v>154.56</v>
      </c>
      <c r="F10988" t="s">
        <v>7</v>
      </c>
      <c r="G10988" t="s">
        <v>11</v>
      </c>
      <c r="H10988" s="5">
        <f>MONTH(Tabela1[[#This Row],[data]])</f>
        <v>4</v>
      </c>
      <c r="I10988">
        <f>YEAR(Tabela1[[#This Row],[data]])</f>
        <v>2026</v>
      </c>
    </row>
    <row r="10989" spans="1:9" x14ac:dyDescent="0.25">
      <c r="A10989" t="s">
        <v>6</v>
      </c>
      <c r="B10989" s="1">
        <v>46115</v>
      </c>
      <c r="C10989">
        <v>20</v>
      </c>
      <c r="D10989">
        <v>811.44</v>
      </c>
      <c r="E10989">
        <v>171.78</v>
      </c>
      <c r="F10989" t="s">
        <v>7</v>
      </c>
      <c r="G10989" t="s">
        <v>11</v>
      </c>
      <c r="H10989" s="5">
        <f>MONTH(Tabela1[[#This Row],[data]])</f>
        <v>4</v>
      </c>
      <c r="I10989">
        <f>YEAR(Tabela1[[#This Row],[data]])</f>
        <v>2026</v>
      </c>
    </row>
    <row r="10990" spans="1:9" x14ac:dyDescent="0.25">
      <c r="A10990" t="s">
        <v>6</v>
      </c>
      <c r="B10990" s="1">
        <v>46115</v>
      </c>
      <c r="C10990">
        <v>21</v>
      </c>
      <c r="D10990">
        <v>788.34</v>
      </c>
      <c r="E10990">
        <v>164.22</v>
      </c>
      <c r="F10990" t="s">
        <v>7</v>
      </c>
      <c r="G10990" t="s">
        <v>11</v>
      </c>
      <c r="H10990" s="5">
        <f>MONTH(Tabela1[[#This Row],[data]])</f>
        <v>4</v>
      </c>
      <c r="I10990">
        <f>YEAR(Tabela1[[#This Row],[data]])</f>
        <v>2026</v>
      </c>
    </row>
    <row r="10991" spans="1:9" x14ac:dyDescent="0.25">
      <c r="A10991" t="s">
        <v>6</v>
      </c>
      <c r="B10991" s="1">
        <v>46115</v>
      </c>
      <c r="C10991">
        <v>22</v>
      </c>
      <c r="D10991">
        <v>667.8</v>
      </c>
      <c r="E10991">
        <v>127.68</v>
      </c>
      <c r="F10991" t="s">
        <v>7</v>
      </c>
      <c r="G10991" t="s">
        <v>11</v>
      </c>
      <c r="H10991" s="5">
        <f>MONTH(Tabela1[[#This Row],[data]])</f>
        <v>4</v>
      </c>
      <c r="I10991">
        <f>YEAR(Tabela1[[#This Row],[data]])</f>
        <v>2026</v>
      </c>
    </row>
    <row r="10992" spans="1:9" x14ac:dyDescent="0.25">
      <c r="A10992" t="s">
        <v>6</v>
      </c>
      <c r="B10992" s="1">
        <v>46115</v>
      </c>
      <c r="C10992">
        <v>23</v>
      </c>
      <c r="D10992">
        <v>406.14</v>
      </c>
      <c r="E10992">
        <v>24.36</v>
      </c>
      <c r="F10992" t="s">
        <v>7</v>
      </c>
      <c r="G10992" t="s">
        <v>11</v>
      </c>
      <c r="H10992" s="5">
        <f>MONTH(Tabela1[[#This Row],[data]])</f>
        <v>4</v>
      </c>
      <c r="I10992">
        <f>YEAR(Tabela1[[#This Row],[data]])</f>
        <v>2026</v>
      </c>
    </row>
    <row r="10993" spans="1:9" x14ac:dyDescent="0.25">
      <c r="A10993" t="s">
        <v>6</v>
      </c>
      <c r="B10993" s="1">
        <v>46115</v>
      </c>
      <c r="C10993">
        <v>24</v>
      </c>
      <c r="D10993">
        <v>287.27999999999997</v>
      </c>
      <c r="E10993">
        <v>0</v>
      </c>
      <c r="F10993" t="s">
        <v>7</v>
      </c>
      <c r="G10993" t="s">
        <v>11</v>
      </c>
      <c r="H10993" s="5">
        <f>MONTH(Tabela1[[#This Row],[data]])</f>
        <v>4</v>
      </c>
      <c r="I10993">
        <f>YEAR(Tabela1[[#This Row],[data]])</f>
        <v>2026</v>
      </c>
    </row>
    <row r="10994" spans="1:9" x14ac:dyDescent="0.25">
      <c r="A10994" t="s">
        <v>6</v>
      </c>
      <c r="B10994" s="1">
        <v>46116</v>
      </c>
      <c r="C10994">
        <v>1</v>
      </c>
      <c r="D10994">
        <v>262.92</v>
      </c>
      <c r="E10994">
        <v>0</v>
      </c>
      <c r="F10994" t="s">
        <v>7</v>
      </c>
      <c r="G10994" t="s">
        <v>11</v>
      </c>
      <c r="H10994" s="5">
        <f>MONTH(Tabela1[[#This Row],[data]])</f>
        <v>4</v>
      </c>
      <c r="I10994">
        <f>YEAR(Tabela1[[#This Row],[data]])</f>
        <v>2026</v>
      </c>
    </row>
    <row r="10995" spans="1:9" x14ac:dyDescent="0.25">
      <c r="A10995" t="s">
        <v>6</v>
      </c>
      <c r="B10995" s="1">
        <v>46116</v>
      </c>
      <c r="C10995">
        <v>2</v>
      </c>
      <c r="D10995">
        <v>238.56</v>
      </c>
      <c r="E10995">
        <v>0</v>
      </c>
      <c r="F10995" t="s">
        <v>7</v>
      </c>
      <c r="G10995" t="s">
        <v>11</v>
      </c>
      <c r="H10995" s="5">
        <f>MONTH(Tabela1[[#This Row],[data]])</f>
        <v>4</v>
      </c>
      <c r="I10995">
        <f>YEAR(Tabela1[[#This Row],[data]])</f>
        <v>2026</v>
      </c>
    </row>
    <row r="10996" spans="1:9" x14ac:dyDescent="0.25">
      <c r="A10996" t="s">
        <v>6</v>
      </c>
      <c r="B10996" s="1">
        <v>46116</v>
      </c>
      <c r="C10996">
        <v>3</v>
      </c>
      <c r="D10996">
        <v>236.04</v>
      </c>
      <c r="E10996">
        <v>0</v>
      </c>
      <c r="F10996" t="s">
        <v>7</v>
      </c>
      <c r="G10996" t="s">
        <v>11</v>
      </c>
      <c r="H10996" s="5">
        <f>MONTH(Tabela1[[#This Row],[data]])</f>
        <v>4</v>
      </c>
      <c r="I10996">
        <f>YEAR(Tabela1[[#This Row],[data]])</f>
        <v>2026</v>
      </c>
    </row>
    <row r="10997" spans="1:9" x14ac:dyDescent="0.25">
      <c r="A10997" t="s">
        <v>6</v>
      </c>
      <c r="B10997" s="1">
        <v>46116</v>
      </c>
      <c r="C10997">
        <v>4</v>
      </c>
      <c r="D10997">
        <v>233.94</v>
      </c>
      <c r="E10997">
        <v>0</v>
      </c>
      <c r="F10997" t="s">
        <v>7</v>
      </c>
      <c r="G10997" t="s">
        <v>11</v>
      </c>
      <c r="H10997" s="5">
        <f>MONTH(Tabela1[[#This Row],[data]])</f>
        <v>4</v>
      </c>
      <c r="I10997">
        <f>YEAR(Tabela1[[#This Row],[data]])</f>
        <v>2026</v>
      </c>
    </row>
    <row r="10998" spans="1:9" x14ac:dyDescent="0.25">
      <c r="A10998" t="s">
        <v>6</v>
      </c>
      <c r="B10998" s="1">
        <v>46116</v>
      </c>
      <c r="C10998">
        <v>5</v>
      </c>
      <c r="D10998">
        <v>240.66</v>
      </c>
      <c r="E10998">
        <v>0</v>
      </c>
      <c r="F10998" t="s">
        <v>7</v>
      </c>
      <c r="G10998" t="s">
        <v>11</v>
      </c>
      <c r="H10998" s="5">
        <f>MONTH(Tabela1[[#This Row],[data]])</f>
        <v>4</v>
      </c>
      <c r="I10998">
        <f>YEAR(Tabela1[[#This Row],[data]])</f>
        <v>2026</v>
      </c>
    </row>
    <row r="10999" spans="1:9" x14ac:dyDescent="0.25">
      <c r="A10999" t="s">
        <v>6</v>
      </c>
      <c r="B10999" s="1">
        <v>46116</v>
      </c>
      <c r="C10999">
        <v>6</v>
      </c>
      <c r="D10999">
        <v>236.88</v>
      </c>
      <c r="E10999">
        <v>0</v>
      </c>
      <c r="F10999" t="s">
        <v>7</v>
      </c>
      <c r="G10999" t="s">
        <v>11</v>
      </c>
      <c r="H10999" s="5">
        <f>MONTH(Tabela1[[#This Row],[data]])</f>
        <v>4</v>
      </c>
      <c r="I10999">
        <f>YEAR(Tabela1[[#This Row],[data]])</f>
        <v>2026</v>
      </c>
    </row>
    <row r="11000" spans="1:9" x14ac:dyDescent="0.25">
      <c r="A11000" t="s">
        <v>6</v>
      </c>
      <c r="B11000" s="1">
        <v>46116</v>
      </c>
      <c r="C11000">
        <v>7</v>
      </c>
      <c r="D11000">
        <v>236.46</v>
      </c>
      <c r="E11000">
        <v>0</v>
      </c>
      <c r="F11000" t="s">
        <v>7</v>
      </c>
      <c r="G11000" t="s">
        <v>11</v>
      </c>
      <c r="H11000" s="5">
        <f>MONTH(Tabela1[[#This Row],[data]])</f>
        <v>4</v>
      </c>
      <c r="I11000">
        <f>YEAR(Tabela1[[#This Row],[data]])</f>
        <v>2026</v>
      </c>
    </row>
    <row r="11001" spans="1:9" x14ac:dyDescent="0.25">
      <c r="A11001" t="s">
        <v>6</v>
      </c>
      <c r="B11001" s="1">
        <v>46116</v>
      </c>
      <c r="C11001">
        <v>8</v>
      </c>
      <c r="D11001">
        <v>234.36</v>
      </c>
      <c r="E11001">
        <v>0</v>
      </c>
      <c r="F11001" t="s">
        <v>7</v>
      </c>
      <c r="G11001" t="s">
        <v>11</v>
      </c>
      <c r="H11001" s="5">
        <f>MONTH(Tabela1[[#This Row],[data]])</f>
        <v>4</v>
      </c>
      <c r="I11001">
        <f>YEAR(Tabela1[[#This Row],[data]])</f>
        <v>2026</v>
      </c>
    </row>
    <row r="11002" spans="1:9" x14ac:dyDescent="0.25">
      <c r="A11002" t="s">
        <v>6</v>
      </c>
      <c r="B11002" s="1">
        <v>46116</v>
      </c>
      <c r="C11002">
        <v>9</v>
      </c>
      <c r="D11002">
        <v>352.8</v>
      </c>
      <c r="E11002">
        <v>0</v>
      </c>
      <c r="F11002" t="s">
        <v>7</v>
      </c>
      <c r="G11002" t="s">
        <v>11</v>
      </c>
      <c r="H11002" s="5">
        <f>MONTH(Tabela1[[#This Row],[data]])</f>
        <v>4</v>
      </c>
      <c r="I11002">
        <f>YEAR(Tabela1[[#This Row],[data]])</f>
        <v>2026</v>
      </c>
    </row>
    <row r="11003" spans="1:9" x14ac:dyDescent="0.25">
      <c r="A11003" t="s">
        <v>6</v>
      </c>
      <c r="B11003" s="1">
        <v>46116</v>
      </c>
      <c r="C11003">
        <v>10</v>
      </c>
      <c r="D11003">
        <v>462</v>
      </c>
      <c r="E11003">
        <v>27.72</v>
      </c>
      <c r="F11003" t="s">
        <v>7</v>
      </c>
      <c r="G11003" t="s">
        <v>11</v>
      </c>
      <c r="H11003" s="5">
        <f>MONTH(Tabela1[[#This Row],[data]])</f>
        <v>4</v>
      </c>
      <c r="I11003">
        <f>YEAR(Tabela1[[#This Row],[data]])</f>
        <v>2026</v>
      </c>
    </row>
    <row r="11004" spans="1:9" x14ac:dyDescent="0.25">
      <c r="A11004" t="s">
        <v>6</v>
      </c>
      <c r="B11004" s="1">
        <v>46116</v>
      </c>
      <c r="C11004">
        <v>11</v>
      </c>
      <c r="D11004">
        <v>947.1</v>
      </c>
      <c r="E11004">
        <v>248.22</v>
      </c>
      <c r="F11004" t="s">
        <v>7</v>
      </c>
      <c r="G11004" t="s">
        <v>11</v>
      </c>
      <c r="H11004" s="5">
        <f>MONTH(Tabela1[[#This Row],[data]])</f>
        <v>4</v>
      </c>
      <c r="I11004">
        <f>YEAR(Tabela1[[#This Row],[data]])</f>
        <v>2026</v>
      </c>
    </row>
    <row r="11005" spans="1:9" x14ac:dyDescent="0.25">
      <c r="A11005" t="s">
        <v>6</v>
      </c>
      <c r="B11005" s="1">
        <v>46116</v>
      </c>
      <c r="C11005">
        <v>12</v>
      </c>
      <c r="D11005">
        <v>923.58</v>
      </c>
      <c r="E11005">
        <v>225.96</v>
      </c>
      <c r="F11005" t="s">
        <v>7</v>
      </c>
      <c r="G11005" t="s">
        <v>11</v>
      </c>
      <c r="H11005" s="5">
        <f>MONTH(Tabela1[[#This Row],[data]])</f>
        <v>4</v>
      </c>
      <c r="I11005">
        <f>YEAR(Tabela1[[#This Row],[data]])</f>
        <v>2026</v>
      </c>
    </row>
    <row r="11006" spans="1:9" x14ac:dyDescent="0.25">
      <c r="A11006" t="s">
        <v>6</v>
      </c>
      <c r="B11006" s="1">
        <v>46116</v>
      </c>
      <c r="C11006">
        <v>13</v>
      </c>
      <c r="D11006">
        <v>946.68</v>
      </c>
      <c r="E11006">
        <v>248.22</v>
      </c>
      <c r="F11006" t="s">
        <v>7</v>
      </c>
      <c r="G11006" t="s">
        <v>11</v>
      </c>
      <c r="H11006" s="5">
        <f>MONTH(Tabela1[[#This Row],[data]])</f>
        <v>4</v>
      </c>
      <c r="I11006">
        <f>YEAR(Tabela1[[#This Row],[data]])</f>
        <v>2026</v>
      </c>
    </row>
    <row r="11007" spans="1:9" x14ac:dyDescent="0.25">
      <c r="A11007" t="s">
        <v>6</v>
      </c>
      <c r="B11007" s="1">
        <v>46116</v>
      </c>
      <c r="C11007">
        <v>14</v>
      </c>
      <c r="D11007">
        <v>970.2</v>
      </c>
      <c r="E11007">
        <v>253.26</v>
      </c>
      <c r="F11007" t="s">
        <v>7</v>
      </c>
      <c r="G11007" t="s">
        <v>11</v>
      </c>
      <c r="H11007" s="5">
        <f>MONTH(Tabela1[[#This Row],[data]])</f>
        <v>4</v>
      </c>
      <c r="I11007">
        <f>YEAR(Tabela1[[#This Row],[data]])</f>
        <v>2026</v>
      </c>
    </row>
    <row r="11008" spans="1:9" x14ac:dyDescent="0.25">
      <c r="A11008" t="s">
        <v>6</v>
      </c>
      <c r="B11008" s="1">
        <v>46116</v>
      </c>
      <c r="C11008">
        <v>15</v>
      </c>
      <c r="D11008">
        <v>916.02</v>
      </c>
      <c r="E11008">
        <v>228.9</v>
      </c>
      <c r="F11008" t="s">
        <v>7</v>
      </c>
      <c r="G11008" t="s">
        <v>11</v>
      </c>
      <c r="H11008" s="5">
        <f>MONTH(Tabela1[[#This Row],[data]])</f>
        <v>4</v>
      </c>
      <c r="I11008">
        <f>YEAR(Tabela1[[#This Row],[data]])</f>
        <v>2026</v>
      </c>
    </row>
    <row r="11009" spans="1:9" x14ac:dyDescent="0.25">
      <c r="A11009" t="s">
        <v>6</v>
      </c>
      <c r="B11009" s="1">
        <v>46116</v>
      </c>
      <c r="C11009">
        <v>16</v>
      </c>
      <c r="D11009">
        <v>863.94</v>
      </c>
      <c r="E11009">
        <v>210.42</v>
      </c>
      <c r="F11009" t="s">
        <v>7</v>
      </c>
      <c r="G11009" t="s">
        <v>11</v>
      </c>
      <c r="H11009" s="5">
        <f>MONTH(Tabela1[[#This Row],[data]])</f>
        <v>4</v>
      </c>
      <c r="I11009">
        <f>YEAR(Tabela1[[#This Row],[data]])</f>
        <v>2026</v>
      </c>
    </row>
    <row r="11010" spans="1:9" x14ac:dyDescent="0.25">
      <c r="A11010" t="s">
        <v>6</v>
      </c>
      <c r="B11010" s="1">
        <v>46116</v>
      </c>
      <c r="C11010">
        <v>17</v>
      </c>
      <c r="D11010">
        <v>844.2</v>
      </c>
      <c r="E11010">
        <v>207.48</v>
      </c>
      <c r="F11010" t="s">
        <v>7</v>
      </c>
      <c r="G11010" t="s">
        <v>11</v>
      </c>
      <c r="H11010" s="5">
        <f>MONTH(Tabela1[[#This Row],[data]])</f>
        <v>4</v>
      </c>
      <c r="I11010">
        <f>YEAR(Tabela1[[#This Row],[data]])</f>
        <v>2026</v>
      </c>
    </row>
    <row r="11011" spans="1:9" x14ac:dyDescent="0.25">
      <c r="A11011" t="s">
        <v>6</v>
      </c>
      <c r="B11011" s="1">
        <v>46116</v>
      </c>
      <c r="C11011">
        <v>18</v>
      </c>
      <c r="D11011">
        <v>874.86</v>
      </c>
      <c r="E11011">
        <v>204.54</v>
      </c>
      <c r="F11011" t="s">
        <v>7</v>
      </c>
      <c r="G11011" t="s">
        <v>11</v>
      </c>
      <c r="H11011" s="5">
        <f>MONTH(Tabela1[[#This Row],[data]])</f>
        <v>4</v>
      </c>
      <c r="I11011">
        <f>YEAR(Tabela1[[#This Row],[data]])</f>
        <v>2026</v>
      </c>
    </row>
    <row r="11012" spans="1:9" x14ac:dyDescent="0.25">
      <c r="A11012" t="s">
        <v>6</v>
      </c>
      <c r="B11012" s="1">
        <v>46116</v>
      </c>
      <c r="C11012">
        <v>19</v>
      </c>
      <c r="D11012">
        <v>884.94</v>
      </c>
      <c r="E11012">
        <v>200.76</v>
      </c>
      <c r="F11012" t="s">
        <v>7</v>
      </c>
      <c r="G11012" t="s">
        <v>11</v>
      </c>
      <c r="H11012" s="5">
        <f>MONTH(Tabela1[[#This Row],[data]])</f>
        <v>4</v>
      </c>
      <c r="I11012">
        <f>YEAR(Tabela1[[#This Row],[data]])</f>
        <v>2026</v>
      </c>
    </row>
    <row r="11013" spans="1:9" x14ac:dyDescent="0.25">
      <c r="A11013" t="s">
        <v>6</v>
      </c>
      <c r="B11013" s="1">
        <v>46116</v>
      </c>
      <c r="C11013">
        <v>20</v>
      </c>
      <c r="D11013">
        <v>860.16</v>
      </c>
      <c r="E11013">
        <v>200.76</v>
      </c>
      <c r="F11013" t="s">
        <v>7</v>
      </c>
      <c r="G11013" t="s">
        <v>11</v>
      </c>
      <c r="H11013" s="5">
        <f>MONTH(Tabela1[[#This Row],[data]])</f>
        <v>4</v>
      </c>
      <c r="I11013">
        <f>YEAR(Tabela1[[#This Row],[data]])</f>
        <v>2026</v>
      </c>
    </row>
    <row r="11014" spans="1:9" x14ac:dyDescent="0.25">
      <c r="A11014" t="s">
        <v>6</v>
      </c>
      <c r="B11014" s="1">
        <v>46116</v>
      </c>
      <c r="C11014">
        <v>21</v>
      </c>
      <c r="D11014">
        <v>863.52</v>
      </c>
      <c r="E11014">
        <v>179.34</v>
      </c>
      <c r="F11014" t="s">
        <v>7</v>
      </c>
      <c r="G11014" t="s">
        <v>11</v>
      </c>
      <c r="H11014" s="5">
        <f>MONTH(Tabela1[[#This Row],[data]])</f>
        <v>4</v>
      </c>
      <c r="I11014">
        <f>YEAR(Tabela1[[#This Row],[data]])</f>
        <v>2026</v>
      </c>
    </row>
    <row r="11015" spans="1:9" x14ac:dyDescent="0.25">
      <c r="A11015" t="s">
        <v>6</v>
      </c>
      <c r="B11015" s="1">
        <v>46116</v>
      </c>
      <c r="C11015">
        <v>22</v>
      </c>
      <c r="D11015">
        <v>816.48</v>
      </c>
      <c r="E11015">
        <v>170.52</v>
      </c>
      <c r="F11015" t="s">
        <v>7</v>
      </c>
      <c r="G11015" t="s">
        <v>11</v>
      </c>
      <c r="H11015" s="5">
        <f>MONTH(Tabela1[[#This Row],[data]])</f>
        <v>4</v>
      </c>
      <c r="I11015">
        <f>YEAR(Tabela1[[#This Row],[data]])</f>
        <v>2026</v>
      </c>
    </row>
    <row r="11016" spans="1:9" x14ac:dyDescent="0.25">
      <c r="A11016" t="s">
        <v>6</v>
      </c>
      <c r="B11016" s="1">
        <v>46116</v>
      </c>
      <c r="C11016">
        <v>23</v>
      </c>
      <c r="D11016">
        <v>499.38</v>
      </c>
      <c r="E11016">
        <v>33.6</v>
      </c>
      <c r="F11016" t="s">
        <v>7</v>
      </c>
      <c r="G11016" t="s">
        <v>11</v>
      </c>
      <c r="H11016" s="5">
        <f>MONTH(Tabela1[[#This Row],[data]])</f>
        <v>4</v>
      </c>
      <c r="I11016">
        <f>YEAR(Tabela1[[#This Row],[data]])</f>
        <v>2026</v>
      </c>
    </row>
    <row r="11017" spans="1:9" x14ac:dyDescent="0.25">
      <c r="A11017" t="s">
        <v>6</v>
      </c>
      <c r="B11017" s="1">
        <v>46116</v>
      </c>
      <c r="C11017">
        <v>24</v>
      </c>
      <c r="D11017">
        <v>365.82</v>
      </c>
      <c r="E11017">
        <v>0.42</v>
      </c>
      <c r="F11017" t="s">
        <v>7</v>
      </c>
      <c r="G11017" t="s">
        <v>11</v>
      </c>
      <c r="H11017" s="5">
        <f>MONTH(Tabela1[[#This Row],[data]])</f>
        <v>4</v>
      </c>
      <c r="I11017">
        <f>YEAR(Tabela1[[#This Row],[data]])</f>
        <v>2026</v>
      </c>
    </row>
    <row r="11018" spans="1:9" x14ac:dyDescent="0.25">
      <c r="A11018" t="s">
        <v>6</v>
      </c>
      <c r="B11018" s="1">
        <v>46117</v>
      </c>
      <c r="C11018">
        <v>1</v>
      </c>
      <c r="D11018">
        <v>304.08</v>
      </c>
      <c r="E11018">
        <v>0</v>
      </c>
      <c r="F11018" t="s">
        <v>7</v>
      </c>
      <c r="G11018" t="s">
        <v>11</v>
      </c>
      <c r="H11018" s="5">
        <f>MONTH(Tabela1[[#This Row],[data]])</f>
        <v>4</v>
      </c>
      <c r="I11018">
        <f>YEAR(Tabela1[[#This Row],[data]])</f>
        <v>2026</v>
      </c>
    </row>
    <row r="11019" spans="1:9" x14ac:dyDescent="0.25">
      <c r="A11019" t="s">
        <v>6</v>
      </c>
      <c r="B11019" s="1">
        <v>46117</v>
      </c>
      <c r="C11019">
        <v>2</v>
      </c>
      <c r="D11019">
        <v>228.9</v>
      </c>
      <c r="E11019">
        <v>0</v>
      </c>
      <c r="F11019" t="s">
        <v>7</v>
      </c>
      <c r="G11019" t="s">
        <v>11</v>
      </c>
      <c r="H11019" s="5">
        <f>MONTH(Tabela1[[#This Row],[data]])</f>
        <v>4</v>
      </c>
      <c r="I11019">
        <f>YEAR(Tabela1[[#This Row],[data]])</f>
        <v>2026</v>
      </c>
    </row>
    <row r="11020" spans="1:9" x14ac:dyDescent="0.25">
      <c r="A11020" t="s">
        <v>6</v>
      </c>
      <c r="B11020" s="1">
        <v>46117</v>
      </c>
      <c r="C11020">
        <v>3</v>
      </c>
      <c r="D11020">
        <v>222.18</v>
      </c>
      <c r="E11020">
        <v>0</v>
      </c>
      <c r="F11020" t="s">
        <v>7</v>
      </c>
      <c r="G11020" t="s">
        <v>11</v>
      </c>
      <c r="H11020" s="5">
        <f>MONTH(Tabela1[[#This Row],[data]])</f>
        <v>4</v>
      </c>
      <c r="I11020">
        <f>YEAR(Tabela1[[#This Row],[data]])</f>
        <v>2026</v>
      </c>
    </row>
    <row r="11021" spans="1:9" x14ac:dyDescent="0.25">
      <c r="A11021" t="s">
        <v>6</v>
      </c>
      <c r="B11021" s="1">
        <v>46117</v>
      </c>
      <c r="C11021">
        <v>4</v>
      </c>
      <c r="D11021">
        <v>219.24</v>
      </c>
      <c r="E11021">
        <v>0</v>
      </c>
      <c r="F11021" t="s">
        <v>7</v>
      </c>
      <c r="G11021" t="s">
        <v>11</v>
      </c>
      <c r="H11021" s="5">
        <f>MONTH(Tabela1[[#This Row],[data]])</f>
        <v>4</v>
      </c>
      <c r="I11021">
        <f>YEAR(Tabela1[[#This Row],[data]])</f>
        <v>2026</v>
      </c>
    </row>
    <row r="11022" spans="1:9" x14ac:dyDescent="0.25">
      <c r="A11022" t="s">
        <v>6</v>
      </c>
      <c r="B11022" s="1">
        <v>46117</v>
      </c>
      <c r="C11022">
        <v>5</v>
      </c>
      <c r="D11022">
        <v>230.58</v>
      </c>
      <c r="E11022">
        <v>0</v>
      </c>
      <c r="F11022" t="s">
        <v>7</v>
      </c>
      <c r="G11022" t="s">
        <v>11</v>
      </c>
      <c r="H11022" s="5">
        <f>MONTH(Tabela1[[#This Row],[data]])</f>
        <v>4</v>
      </c>
      <c r="I11022">
        <f>YEAR(Tabela1[[#This Row],[data]])</f>
        <v>2026</v>
      </c>
    </row>
    <row r="11023" spans="1:9" x14ac:dyDescent="0.25">
      <c r="A11023" t="s">
        <v>6</v>
      </c>
      <c r="B11023" s="1">
        <v>46117</v>
      </c>
      <c r="C11023">
        <v>6</v>
      </c>
      <c r="D11023">
        <v>223.86</v>
      </c>
      <c r="E11023">
        <v>0</v>
      </c>
      <c r="F11023" t="s">
        <v>7</v>
      </c>
      <c r="G11023" t="s">
        <v>11</v>
      </c>
      <c r="H11023" s="5">
        <f>MONTH(Tabela1[[#This Row],[data]])</f>
        <v>4</v>
      </c>
      <c r="I11023">
        <f>YEAR(Tabela1[[#This Row],[data]])</f>
        <v>2026</v>
      </c>
    </row>
    <row r="11024" spans="1:9" x14ac:dyDescent="0.25">
      <c r="A11024" t="s">
        <v>6</v>
      </c>
      <c r="B11024" s="1">
        <v>46117</v>
      </c>
      <c r="C11024">
        <v>7</v>
      </c>
      <c r="D11024">
        <v>206.22</v>
      </c>
      <c r="E11024">
        <v>0</v>
      </c>
      <c r="F11024" t="s">
        <v>7</v>
      </c>
      <c r="G11024" t="s">
        <v>11</v>
      </c>
      <c r="H11024" s="5">
        <f>MONTH(Tabela1[[#This Row],[data]])</f>
        <v>4</v>
      </c>
      <c r="I11024">
        <f>YEAR(Tabela1[[#This Row],[data]])</f>
        <v>2026</v>
      </c>
    </row>
    <row r="11025" spans="1:9" x14ac:dyDescent="0.25">
      <c r="A11025" t="s">
        <v>6</v>
      </c>
      <c r="B11025" s="1">
        <v>46117</v>
      </c>
      <c r="C11025">
        <v>8</v>
      </c>
      <c r="D11025">
        <v>200.76</v>
      </c>
      <c r="E11025">
        <v>0</v>
      </c>
      <c r="F11025" t="s">
        <v>7</v>
      </c>
      <c r="G11025" t="s">
        <v>11</v>
      </c>
      <c r="H11025" s="5">
        <f>MONTH(Tabela1[[#This Row],[data]])</f>
        <v>4</v>
      </c>
      <c r="I11025">
        <f>YEAR(Tabela1[[#This Row],[data]])</f>
        <v>2026</v>
      </c>
    </row>
    <row r="11026" spans="1:9" x14ac:dyDescent="0.25">
      <c r="A11026" t="s">
        <v>6</v>
      </c>
      <c r="B11026" s="1">
        <v>46117</v>
      </c>
      <c r="C11026">
        <v>9</v>
      </c>
      <c r="D11026">
        <v>269.64</v>
      </c>
      <c r="E11026">
        <v>0</v>
      </c>
      <c r="F11026" t="s">
        <v>7</v>
      </c>
      <c r="G11026" t="s">
        <v>11</v>
      </c>
      <c r="H11026" s="5">
        <f>MONTH(Tabela1[[#This Row],[data]])</f>
        <v>4</v>
      </c>
      <c r="I11026">
        <f>YEAR(Tabela1[[#This Row],[data]])</f>
        <v>2026</v>
      </c>
    </row>
    <row r="11027" spans="1:9" x14ac:dyDescent="0.25">
      <c r="A11027" t="s">
        <v>6</v>
      </c>
      <c r="B11027" s="1">
        <v>46117</v>
      </c>
      <c r="C11027">
        <v>10</v>
      </c>
      <c r="D11027">
        <v>315</v>
      </c>
      <c r="E11027">
        <v>0.42</v>
      </c>
      <c r="F11027" t="s">
        <v>7</v>
      </c>
      <c r="G11027" t="s">
        <v>11</v>
      </c>
      <c r="H11027" s="5">
        <f>MONTH(Tabela1[[#This Row],[data]])</f>
        <v>4</v>
      </c>
      <c r="I11027">
        <f>YEAR(Tabela1[[#This Row],[data]])</f>
        <v>2026</v>
      </c>
    </row>
    <row r="11028" spans="1:9" x14ac:dyDescent="0.25">
      <c r="A11028" t="s">
        <v>6</v>
      </c>
      <c r="B11028" s="1">
        <v>46117</v>
      </c>
      <c r="C11028">
        <v>11</v>
      </c>
      <c r="D11028">
        <v>402.78</v>
      </c>
      <c r="E11028">
        <v>10.92</v>
      </c>
      <c r="F11028" t="s">
        <v>7</v>
      </c>
      <c r="G11028" t="s">
        <v>11</v>
      </c>
      <c r="H11028" s="5">
        <f>MONTH(Tabela1[[#This Row],[data]])</f>
        <v>4</v>
      </c>
      <c r="I11028">
        <f>YEAR(Tabela1[[#This Row],[data]])</f>
        <v>2026</v>
      </c>
    </row>
    <row r="11029" spans="1:9" x14ac:dyDescent="0.25">
      <c r="A11029" t="s">
        <v>6</v>
      </c>
      <c r="B11029" s="1">
        <v>46117</v>
      </c>
      <c r="C11029">
        <v>12</v>
      </c>
      <c r="D11029">
        <v>748.86</v>
      </c>
      <c r="E11029">
        <v>171.36</v>
      </c>
      <c r="F11029" t="s">
        <v>7</v>
      </c>
      <c r="G11029" t="s">
        <v>11</v>
      </c>
      <c r="H11029" s="5">
        <f>MONTH(Tabela1[[#This Row],[data]])</f>
        <v>4</v>
      </c>
      <c r="I11029">
        <f>YEAR(Tabela1[[#This Row],[data]])</f>
        <v>2026</v>
      </c>
    </row>
    <row r="11030" spans="1:9" x14ac:dyDescent="0.25">
      <c r="A11030" t="s">
        <v>6</v>
      </c>
      <c r="B11030" s="1">
        <v>46117</v>
      </c>
      <c r="C11030">
        <v>13</v>
      </c>
      <c r="D11030">
        <v>767.34</v>
      </c>
      <c r="E11030">
        <v>170.1</v>
      </c>
      <c r="F11030" t="s">
        <v>7</v>
      </c>
      <c r="G11030" t="s">
        <v>11</v>
      </c>
      <c r="H11030" s="5">
        <f>MONTH(Tabela1[[#This Row],[data]])</f>
        <v>4</v>
      </c>
      <c r="I11030">
        <f>YEAR(Tabela1[[#This Row],[data]])</f>
        <v>2026</v>
      </c>
    </row>
    <row r="11031" spans="1:9" x14ac:dyDescent="0.25">
      <c r="A11031" t="s">
        <v>6</v>
      </c>
      <c r="B11031" s="1">
        <v>46117</v>
      </c>
      <c r="C11031">
        <v>14</v>
      </c>
      <c r="D11031">
        <v>810.6</v>
      </c>
      <c r="E11031">
        <v>186.06</v>
      </c>
      <c r="F11031" t="s">
        <v>7</v>
      </c>
      <c r="G11031" t="s">
        <v>11</v>
      </c>
      <c r="H11031" s="5">
        <f>MONTH(Tabela1[[#This Row],[data]])</f>
        <v>4</v>
      </c>
      <c r="I11031">
        <f>YEAR(Tabela1[[#This Row],[data]])</f>
        <v>2026</v>
      </c>
    </row>
    <row r="11032" spans="1:9" x14ac:dyDescent="0.25">
      <c r="A11032" t="s">
        <v>6</v>
      </c>
      <c r="B11032" s="1">
        <v>46117</v>
      </c>
      <c r="C11032">
        <v>15</v>
      </c>
      <c r="D11032">
        <v>831.18</v>
      </c>
      <c r="E11032">
        <v>194.88</v>
      </c>
      <c r="F11032" t="s">
        <v>7</v>
      </c>
      <c r="G11032" t="s">
        <v>11</v>
      </c>
      <c r="H11032" s="5">
        <f>MONTH(Tabela1[[#This Row],[data]])</f>
        <v>4</v>
      </c>
      <c r="I11032">
        <f>YEAR(Tabela1[[#This Row],[data]])</f>
        <v>2026</v>
      </c>
    </row>
    <row r="11033" spans="1:9" x14ac:dyDescent="0.25">
      <c r="A11033" t="s">
        <v>6</v>
      </c>
      <c r="B11033" s="1">
        <v>46117</v>
      </c>
      <c r="C11033">
        <v>16</v>
      </c>
      <c r="D11033">
        <v>829.5</v>
      </c>
      <c r="E11033">
        <v>196.98</v>
      </c>
      <c r="F11033" t="s">
        <v>7</v>
      </c>
      <c r="G11033" t="s">
        <v>11</v>
      </c>
      <c r="H11033" s="5">
        <f>MONTH(Tabela1[[#This Row],[data]])</f>
        <v>4</v>
      </c>
      <c r="I11033">
        <f>YEAR(Tabela1[[#This Row],[data]])</f>
        <v>2026</v>
      </c>
    </row>
    <row r="11034" spans="1:9" x14ac:dyDescent="0.25">
      <c r="A11034" t="s">
        <v>6</v>
      </c>
      <c r="B11034" s="1">
        <v>46117</v>
      </c>
      <c r="C11034">
        <v>17</v>
      </c>
      <c r="D11034">
        <v>813.12</v>
      </c>
      <c r="E11034">
        <v>187.74</v>
      </c>
      <c r="F11034" t="s">
        <v>7</v>
      </c>
      <c r="G11034" t="s">
        <v>11</v>
      </c>
      <c r="H11034" s="5">
        <f>MONTH(Tabela1[[#This Row],[data]])</f>
        <v>4</v>
      </c>
      <c r="I11034">
        <f>YEAR(Tabela1[[#This Row],[data]])</f>
        <v>2026</v>
      </c>
    </row>
    <row r="11035" spans="1:9" x14ac:dyDescent="0.25">
      <c r="A11035" t="s">
        <v>6</v>
      </c>
      <c r="B11035" s="1">
        <v>46117</v>
      </c>
      <c r="C11035">
        <v>18</v>
      </c>
      <c r="D11035">
        <v>795.9</v>
      </c>
      <c r="E11035">
        <v>183.54</v>
      </c>
      <c r="F11035" t="s">
        <v>7</v>
      </c>
      <c r="G11035" t="s">
        <v>11</v>
      </c>
      <c r="H11035" s="5">
        <f>MONTH(Tabela1[[#This Row],[data]])</f>
        <v>4</v>
      </c>
      <c r="I11035">
        <f>YEAR(Tabela1[[#This Row],[data]])</f>
        <v>2026</v>
      </c>
    </row>
    <row r="11036" spans="1:9" x14ac:dyDescent="0.25">
      <c r="A11036" t="s">
        <v>6</v>
      </c>
      <c r="B11036" s="1">
        <v>46117</v>
      </c>
      <c r="C11036">
        <v>19</v>
      </c>
      <c r="D11036">
        <v>789.18</v>
      </c>
      <c r="E11036">
        <v>167.16</v>
      </c>
      <c r="F11036" t="s">
        <v>7</v>
      </c>
      <c r="G11036" t="s">
        <v>11</v>
      </c>
      <c r="H11036" s="5">
        <f>MONTH(Tabela1[[#This Row],[data]])</f>
        <v>4</v>
      </c>
      <c r="I11036">
        <f>YEAR(Tabela1[[#This Row],[data]])</f>
        <v>2026</v>
      </c>
    </row>
    <row r="11037" spans="1:9" x14ac:dyDescent="0.25">
      <c r="A11037" t="s">
        <v>6</v>
      </c>
      <c r="B11037" s="1">
        <v>46117</v>
      </c>
      <c r="C11037">
        <v>20</v>
      </c>
      <c r="D11037">
        <v>774.48</v>
      </c>
      <c r="E11037">
        <v>168.84</v>
      </c>
      <c r="F11037" t="s">
        <v>7</v>
      </c>
      <c r="G11037" t="s">
        <v>11</v>
      </c>
      <c r="H11037" s="5">
        <f>MONTH(Tabela1[[#This Row],[data]])</f>
        <v>4</v>
      </c>
      <c r="I11037">
        <f>YEAR(Tabela1[[#This Row],[data]])</f>
        <v>2026</v>
      </c>
    </row>
    <row r="11038" spans="1:9" x14ac:dyDescent="0.25">
      <c r="A11038" t="s">
        <v>6</v>
      </c>
      <c r="B11038" s="1">
        <v>46117</v>
      </c>
      <c r="C11038">
        <v>21</v>
      </c>
      <c r="D11038">
        <v>730.38</v>
      </c>
      <c r="E11038">
        <v>167.16</v>
      </c>
      <c r="F11038" t="s">
        <v>7</v>
      </c>
      <c r="G11038" t="s">
        <v>11</v>
      </c>
      <c r="H11038" s="5">
        <f>MONTH(Tabela1[[#This Row],[data]])</f>
        <v>4</v>
      </c>
      <c r="I11038">
        <f>YEAR(Tabela1[[#This Row],[data]])</f>
        <v>2026</v>
      </c>
    </row>
    <row r="11039" spans="1:9" x14ac:dyDescent="0.25">
      <c r="A11039" t="s">
        <v>6</v>
      </c>
      <c r="B11039" s="1">
        <v>46117</v>
      </c>
      <c r="C11039">
        <v>22</v>
      </c>
      <c r="D11039">
        <v>589.26</v>
      </c>
      <c r="E11039">
        <v>118.02</v>
      </c>
      <c r="F11039" t="s">
        <v>7</v>
      </c>
      <c r="G11039" t="s">
        <v>11</v>
      </c>
      <c r="H11039" s="5">
        <f>MONTH(Tabela1[[#This Row],[data]])</f>
        <v>4</v>
      </c>
      <c r="I11039">
        <f>YEAR(Tabela1[[#This Row],[data]])</f>
        <v>2026</v>
      </c>
    </row>
    <row r="11040" spans="1:9" x14ac:dyDescent="0.25">
      <c r="A11040" t="s">
        <v>6</v>
      </c>
      <c r="B11040" s="1">
        <v>46117</v>
      </c>
      <c r="C11040">
        <v>23</v>
      </c>
      <c r="D11040">
        <v>353.22</v>
      </c>
      <c r="E11040">
        <v>10.92</v>
      </c>
      <c r="F11040" t="s">
        <v>7</v>
      </c>
      <c r="G11040" t="s">
        <v>11</v>
      </c>
      <c r="H11040" s="5">
        <f>MONTH(Tabela1[[#This Row],[data]])</f>
        <v>4</v>
      </c>
      <c r="I11040">
        <f>YEAR(Tabela1[[#This Row],[data]])</f>
        <v>2026</v>
      </c>
    </row>
    <row r="11041" spans="1:9" x14ac:dyDescent="0.25">
      <c r="A11041" t="s">
        <v>6</v>
      </c>
      <c r="B11041" s="1">
        <v>46117</v>
      </c>
      <c r="C11041">
        <v>24</v>
      </c>
      <c r="D11041">
        <v>269.64</v>
      </c>
      <c r="E11041">
        <v>0</v>
      </c>
      <c r="F11041" t="s">
        <v>7</v>
      </c>
      <c r="G11041" t="s">
        <v>11</v>
      </c>
      <c r="H11041" s="5">
        <f>MONTH(Tabela1[[#This Row],[data]])</f>
        <v>4</v>
      </c>
      <c r="I11041">
        <f>YEAR(Tabela1[[#This Row],[data]])</f>
        <v>2026</v>
      </c>
    </row>
    <row r="11042" spans="1:9" x14ac:dyDescent="0.25">
      <c r="A11042" t="s">
        <v>6</v>
      </c>
      <c r="B11042" s="1">
        <v>46118</v>
      </c>
      <c r="C11042">
        <v>1</v>
      </c>
      <c r="D11042">
        <v>249.9</v>
      </c>
      <c r="E11042">
        <v>0</v>
      </c>
      <c r="F11042" t="s">
        <v>7</v>
      </c>
      <c r="G11042" t="s">
        <v>11</v>
      </c>
      <c r="H11042" s="5">
        <f>MONTH(Tabela1[[#This Row],[data]])</f>
        <v>4</v>
      </c>
      <c r="I11042">
        <f>YEAR(Tabela1[[#This Row],[data]])</f>
        <v>2026</v>
      </c>
    </row>
    <row r="11043" spans="1:9" x14ac:dyDescent="0.25">
      <c r="A11043" t="s">
        <v>6</v>
      </c>
      <c r="B11043" s="1">
        <v>46118</v>
      </c>
      <c r="C11043">
        <v>2</v>
      </c>
      <c r="D11043">
        <v>228.48</v>
      </c>
      <c r="E11043">
        <v>0</v>
      </c>
      <c r="F11043" t="s">
        <v>7</v>
      </c>
      <c r="G11043" t="s">
        <v>11</v>
      </c>
      <c r="H11043" s="5">
        <f>MONTH(Tabela1[[#This Row],[data]])</f>
        <v>4</v>
      </c>
      <c r="I11043">
        <f>YEAR(Tabela1[[#This Row],[data]])</f>
        <v>2026</v>
      </c>
    </row>
    <row r="11044" spans="1:9" x14ac:dyDescent="0.25">
      <c r="A11044" t="s">
        <v>6</v>
      </c>
      <c r="B11044" s="1">
        <v>46118</v>
      </c>
      <c r="C11044">
        <v>3</v>
      </c>
      <c r="D11044">
        <v>223.44</v>
      </c>
      <c r="E11044">
        <v>0</v>
      </c>
      <c r="F11044" t="s">
        <v>7</v>
      </c>
      <c r="G11044" t="s">
        <v>11</v>
      </c>
      <c r="H11044" s="5">
        <f>MONTH(Tabela1[[#This Row],[data]])</f>
        <v>4</v>
      </c>
      <c r="I11044">
        <f>YEAR(Tabela1[[#This Row],[data]])</f>
        <v>2026</v>
      </c>
    </row>
    <row r="11045" spans="1:9" x14ac:dyDescent="0.25">
      <c r="A11045" t="s">
        <v>6</v>
      </c>
      <c r="B11045" s="1">
        <v>46118</v>
      </c>
      <c r="C11045">
        <v>4</v>
      </c>
      <c r="D11045">
        <v>223.86</v>
      </c>
      <c r="E11045">
        <v>0</v>
      </c>
      <c r="F11045" t="s">
        <v>7</v>
      </c>
      <c r="G11045" t="s">
        <v>11</v>
      </c>
      <c r="H11045" s="5">
        <f>MONTH(Tabela1[[#This Row],[data]])</f>
        <v>4</v>
      </c>
      <c r="I11045">
        <f>YEAR(Tabela1[[#This Row],[data]])</f>
        <v>2026</v>
      </c>
    </row>
    <row r="11046" spans="1:9" x14ac:dyDescent="0.25">
      <c r="A11046" t="s">
        <v>6</v>
      </c>
      <c r="B11046" s="1">
        <v>46118</v>
      </c>
      <c r="C11046">
        <v>5</v>
      </c>
      <c r="D11046">
        <v>233.1</v>
      </c>
      <c r="E11046">
        <v>0</v>
      </c>
      <c r="F11046" t="s">
        <v>7</v>
      </c>
      <c r="G11046" t="s">
        <v>11</v>
      </c>
      <c r="H11046" s="5">
        <f>MONTH(Tabela1[[#This Row],[data]])</f>
        <v>4</v>
      </c>
      <c r="I11046">
        <f>YEAR(Tabela1[[#This Row],[data]])</f>
        <v>2026</v>
      </c>
    </row>
    <row r="11047" spans="1:9" x14ac:dyDescent="0.25">
      <c r="A11047" t="s">
        <v>6</v>
      </c>
      <c r="B11047" s="1">
        <v>46118</v>
      </c>
      <c r="C11047">
        <v>6</v>
      </c>
      <c r="D11047">
        <v>229.32</v>
      </c>
      <c r="E11047">
        <v>0</v>
      </c>
      <c r="F11047" t="s">
        <v>7</v>
      </c>
      <c r="G11047" t="s">
        <v>11</v>
      </c>
      <c r="H11047" s="5">
        <f>MONTH(Tabela1[[#This Row],[data]])</f>
        <v>4</v>
      </c>
      <c r="I11047">
        <f>YEAR(Tabela1[[#This Row],[data]])</f>
        <v>2026</v>
      </c>
    </row>
    <row r="11048" spans="1:9" x14ac:dyDescent="0.25">
      <c r="A11048" t="s">
        <v>6</v>
      </c>
      <c r="B11048" s="1">
        <v>46118</v>
      </c>
      <c r="C11048">
        <v>7</v>
      </c>
      <c r="D11048">
        <v>247.8</v>
      </c>
      <c r="E11048">
        <v>0</v>
      </c>
      <c r="F11048" t="s">
        <v>7</v>
      </c>
      <c r="G11048" t="s">
        <v>11</v>
      </c>
      <c r="H11048" s="5">
        <f>MONTH(Tabela1[[#This Row],[data]])</f>
        <v>4</v>
      </c>
      <c r="I11048">
        <f>YEAR(Tabela1[[#This Row],[data]])</f>
        <v>2026</v>
      </c>
    </row>
    <row r="11049" spans="1:9" x14ac:dyDescent="0.25">
      <c r="A11049" t="s">
        <v>6</v>
      </c>
      <c r="B11049" s="1">
        <v>46118</v>
      </c>
      <c r="C11049">
        <v>8</v>
      </c>
      <c r="D11049">
        <v>264.60000000000002</v>
      </c>
      <c r="E11049">
        <v>0</v>
      </c>
      <c r="F11049" t="s">
        <v>7</v>
      </c>
      <c r="G11049" t="s">
        <v>11</v>
      </c>
      <c r="H11049" s="5">
        <f>MONTH(Tabela1[[#This Row],[data]])</f>
        <v>4</v>
      </c>
      <c r="I11049">
        <f>YEAR(Tabela1[[#This Row],[data]])</f>
        <v>2026</v>
      </c>
    </row>
    <row r="11050" spans="1:9" x14ac:dyDescent="0.25">
      <c r="A11050" t="s">
        <v>6</v>
      </c>
      <c r="B11050" s="1">
        <v>46118</v>
      </c>
      <c r="C11050">
        <v>9</v>
      </c>
      <c r="D11050">
        <v>358.26</v>
      </c>
      <c r="E11050">
        <v>0</v>
      </c>
      <c r="F11050" t="s">
        <v>7</v>
      </c>
      <c r="G11050" t="s">
        <v>11</v>
      </c>
      <c r="H11050" s="5">
        <f>MONTH(Tabela1[[#This Row],[data]])</f>
        <v>4</v>
      </c>
      <c r="I11050">
        <f>YEAR(Tabela1[[#This Row],[data]])</f>
        <v>2026</v>
      </c>
    </row>
    <row r="11051" spans="1:9" x14ac:dyDescent="0.25">
      <c r="A11051" t="s">
        <v>6</v>
      </c>
      <c r="B11051" s="1">
        <v>46118</v>
      </c>
      <c r="C11051">
        <v>10</v>
      </c>
      <c r="D11051">
        <v>476.7</v>
      </c>
      <c r="E11051">
        <v>35.700000000000003</v>
      </c>
      <c r="F11051" t="s">
        <v>7</v>
      </c>
      <c r="G11051" t="s">
        <v>11</v>
      </c>
      <c r="H11051" s="5">
        <f>MONTH(Tabela1[[#This Row],[data]])</f>
        <v>4</v>
      </c>
      <c r="I11051">
        <f>YEAR(Tabela1[[#This Row],[data]])</f>
        <v>2026</v>
      </c>
    </row>
    <row r="11052" spans="1:9" x14ac:dyDescent="0.25">
      <c r="A11052" t="s">
        <v>6</v>
      </c>
      <c r="B11052" s="1">
        <v>46118</v>
      </c>
      <c r="C11052">
        <v>11</v>
      </c>
      <c r="D11052">
        <v>926.94</v>
      </c>
      <c r="E11052">
        <v>283.5</v>
      </c>
      <c r="F11052" t="s">
        <v>7</v>
      </c>
      <c r="G11052" t="s">
        <v>11</v>
      </c>
      <c r="H11052" s="5">
        <f>MONTH(Tabela1[[#This Row],[data]])</f>
        <v>4</v>
      </c>
      <c r="I11052">
        <f>YEAR(Tabela1[[#This Row],[data]])</f>
        <v>2026</v>
      </c>
    </row>
    <row r="11053" spans="1:9" x14ac:dyDescent="0.25">
      <c r="A11053" t="s">
        <v>6</v>
      </c>
      <c r="B11053" s="1">
        <v>46118</v>
      </c>
      <c r="C11053">
        <v>12</v>
      </c>
      <c r="D11053">
        <v>879.48</v>
      </c>
      <c r="E11053">
        <v>247.8</v>
      </c>
      <c r="F11053" t="s">
        <v>7</v>
      </c>
      <c r="G11053" t="s">
        <v>11</v>
      </c>
      <c r="H11053" s="5">
        <f>MONTH(Tabela1[[#This Row],[data]])</f>
        <v>4</v>
      </c>
      <c r="I11053">
        <f>YEAR(Tabela1[[#This Row],[data]])</f>
        <v>2026</v>
      </c>
    </row>
    <row r="11054" spans="1:9" x14ac:dyDescent="0.25">
      <c r="A11054" t="s">
        <v>6</v>
      </c>
      <c r="B11054" s="1">
        <v>46118</v>
      </c>
      <c r="C11054">
        <v>13</v>
      </c>
      <c r="D11054">
        <v>916.02</v>
      </c>
      <c r="E11054">
        <v>271.32</v>
      </c>
      <c r="F11054" t="s">
        <v>7</v>
      </c>
      <c r="G11054" t="s">
        <v>11</v>
      </c>
      <c r="H11054" s="5">
        <f>MONTH(Tabela1[[#This Row],[data]])</f>
        <v>4</v>
      </c>
      <c r="I11054">
        <f>YEAR(Tabela1[[#This Row],[data]])</f>
        <v>2026</v>
      </c>
    </row>
    <row r="11055" spans="1:9" x14ac:dyDescent="0.25">
      <c r="A11055" t="s">
        <v>6</v>
      </c>
      <c r="B11055" s="1">
        <v>46118</v>
      </c>
      <c r="C11055">
        <v>14</v>
      </c>
      <c r="D11055">
        <v>899.64</v>
      </c>
      <c r="E11055">
        <v>239.4</v>
      </c>
      <c r="F11055" t="s">
        <v>7</v>
      </c>
      <c r="G11055" t="s">
        <v>11</v>
      </c>
      <c r="H11055" s="5">
        <f>MONTH(Tabela1[[#This Row],[data]])</f>
        <v>4</v>
      </c>
      <c r="I11055">
        <f>YEAR(Tabela1[[#This Row],[data]])</f>
        <v>2026</v>
      </c>
    </row>
    <row r="11056" spans="1:9" x14ac:dyDescent="0.25">
      <c r="A11056" t="s">
        <v>6</v>
      </c>
      <c r="B11056" s="1">
        <v>46118</v>
      </c>
      <c r="C11056">
        <v>15</v>
      </c>
      <c r="D11056">
        <v>942.48</v>
      </c>
      <c r="E11056">
        <v>256.2</v>
      </c>
      <c r="F11056" t="s">
        <v>7</v>
      </c>
      <c r="G11056" t="s">
        <v>11</v>
      </c>
      <c r="H11056" s="5">
        <f>MONTH(Tabela1[[#This Row],[data]])</f>
        <v>4</v>
      </c>
      <c r="I11056">
        <f>YEAR(Tabela1[[#This Row],[data]])</f>
        <v>2026</v>
      </c>
    </row>
    <row r="11057" spans="1:9" x14ac:dyDescent="0.25">
      <c r="A11057" t="s">
        <v>6</v>
      </c>
      <c r="B11057" s="1">
        <v>46118</v>
      </c>
      <c r="C11057">
        <v>16</v>
      </c>
      <c r="D11057">
        <v>920.64</v>
      </c>
      <c r="E11057">
        <v>273.42</v>
      </c>
      <c r="F11057" t="s">
        <v>7</v>
      </c>
      <c r="G11057" t="s">
        <v>11</v>
      </c>
      <c r="H11057" s="5">
        <f>MONTH(Tabela1[[#This Row],[data]])</f>
        <v>4</v>
      </c>
      <c r="I11057">
        <f>YEAR(Tabela1[[#This Row],[data]])</f>
        <v>2026</v>
      </c>
    </row>
    <row r="11058" spans="1:9" x14ac:dyDescent="0.25">
      <c r="A11058" t="s">
        <v>6</v>
      </c>
      <c r="B11058" s="1">
        <v>46118</v>
      </c>
      <c r="C11058">
        <v>17</v>
      </c>
      <c r="D11058">
        <v>912.66</v>
      </c>
      <c r="E11058">
        <v>265.44</v>
      </c>
      <c r="F11058" t="s">
        <v>7</v>
      </c>
      <c r="G11058" t="s">
        <v>11</v>
      </c>
      <c r="H11058" s="5">
        <f>MONTH(Tabela1[[#This Row],[data]])</f>
        <v>4</v>
      </c>
      <c r="I11058">
        <f>YEAR(Tabela1[[#This Row],[data]])</f>
        <v>2026</v>
      </c>
    </row>
    <row r="11059" spans="1:9" x14ac:dyDescent="0.25">
      <c r="A11059" t="s">
        <v>6</v>
      </c>
      <c r="B11059" s="1">
        <v>46118</v>
      </c>
      <c r="C11059">
        <v>18</v>
      </c>
      <c r="D11059">
        <v>865.62</v>
      </c>
      <c r="E11059">
        <v>204.96</v>
      </c>
      <c r="F11059" t="s">
        <v>7</v>
      </c>
      <c r="G11059" t="s">
        <v>11</v>
      </c>
      <c r="H11059" s="5">
        <f>MONTH(Tabela1[[#This Row],[data]])</f>
        <v>4</v>
      </c>
      <c r="I11059">
        <f>YEAR(Tabela1[[#This Row],[data]])</f>
        <v>2026</v>
      </c>
    </row>
    <row r="11060" spans="1:9" x14ac:dyDescent="0.25">
      <c r="A11060" t="s">
        <v>6</v>
      </c>
      <c r="B11060" s="1">
        <v>46118</v>
      </c>
      <c r="C11060">
        <v>19</v>
      </c>
      <c r="D11060">
        <v>812.28</v>
      </c>
      <c r="E11060">
        <v>167.58</v>
      </c>
      <c r="F11060" t="s">
        <v>7</v>
      </c>
      <c r="G11060" t="s">
        <v>11</v>
      </c>
      <c r="H11060" s="5">
        <f>MONTH(Tabela1[[#This Row],[data]])</f>
        <v>4</v>
      </c>
      <c r="I11060">
        <f>YEAR(Tabela1[[#This Row],[data]])</f>
        <v>2026</v>
      </c>
    </row>
    <row r="11061" spans="1:9" x14ac:dyDescent="0.25">
      <c r="A11061" t="s">
        <v>6</v>
      </c>
      <c r="B11061" s="1">
        <v>46118</v>
      </c>
      <c r="C11061">
        <v>20</v>
      </c>
      <c r="D11061">
        <v>805.56</v>
      </c>
      <c r="E11061">
        <v>179.34</v>
      </c>
      <c r="F11061" t="s">
        <v>7</v>
      </c>
      <c r="G11061" t="s">
        <v>11</v>
      </c>
      <c r="H11061" s="5">
        <f>MONTH(Tabela1[[#This Row],[data]])</f>
        <v>4</v>
      </c>
      <c r="I11061">
        <f>YEAR(Tabela1[[#This Row],[data]])</f>
        <v>2026</v>
      </c>
    </row>
    <row r="11062" spans="1:9" x14ac:dyDescent="0.25">
      <c r="A11062" t="s">
        <v>6</v>
      </c>
      <c r="B11062" s="1">
        <v>46118</v>
      </c>
      <c r="C11062">
        <v>21</v>
      </c>
      <c r="D11062">
        <v>794.22</v>
      </c>
      <c r="E11062">
        <v>174.3</v>
      </c>
      <c r="F11062" t="s">
        <v>7</v>
      </c>
      <c r="G11062" t="s">
        <v>11</v>
      </c>
      <c r="H11062" s="5">
        <f>MONTH(Tabela1[[#This Row],[data]])</f>
        <v>4</v>
      </c>
      <c r="I11062">
        <f>YEAR(Tabela1[[#This Row],[data]])</f>
        <v>2026</v>
      </c>
    </row>
    <row r="11063" spans="1:9" x14ac:dyDescent="0.25">
      <c r="A11063" t="s">
        <v>6</v>
      </c>
      <c r="B11063" s="1">
        <v>46118</v>
      </c>
      <c r="C11063">
        <v>22</v>
      </c>
      <c r="D11063">
        <v>656.88</v>
      </c>
      <c r="E11063">
        <v>105</v>
      </c>
      <c r="F11063" t="s">
        <v>7</v>
      </c>
      <c r="G11063" t="s">
        <v>11</v>
      </c>
      <c r="H11063" s="5">
        <f>MONTH(Tabela1[[#This Row],[data]])</f>
        <v>4</v>
      </c>
      <c r="I11063">
        <f>YEAR(Tabela1[[#This Row],[data]])</f>
        <v>2026</v>
      </c>
    </row>
    <row r="11064" spans="1:9" x14ac:dyDescent="0.25">
      <c r="A11064" t="s">
        <v>6</v>
      </c>
      <c r="B11064" s="1">
        <v>46118</v>
      </c>
      <c r="C11064">
        <v>23</v>
      </c>
      <c r="D11064">
        <v>346.5</v>
      </c>
      <c r="E11064">
        <v>0.84</v>
      </c>
      <c r="F11064" t="s">
        <v>7</v>
      </c>
      <c r="G11064" t="s">
        <v>11</v>
      </c>
      <c r="H11064" s="5">
        <f>MONTH(Tabela1[[#This Row],[data]])</f>
        <v>4</v>
      </c>
      <c r="I11064">
        <f>YEAR(Tabela1[[#This Row],[data]])</f>
        <v>2026</v>
      </c>
    </row>
    <row r="11065" spans="1:9" x14ac:dyDescent="0.25">
      <c r="A11065" t="s">
        <v>6</v>
      </c>
      <c r="B11065" s="1">
        <v>46118</v>
      </c>
      <c r="C11065">
        <v>24</v>
      </c>
      <c r="D11065">
        <v>273</v>
      </c>
      <c r="E11065">
        <v>0</v>
      </c>
      <c r="F11065" t="s">
        <v>7</v>
      </c>
      <c r="G11065" t="s">
        <v>11</v>
      </c>
      <c r="H11065" s="5">
        <f>MONTH(Tabela1[[#This Row],[data]])</f>
        <v>4</v>
      </c>
      <c r="I11065">
        <f>YEAR(Tabela1[[#This Row],[data]])</f>
        <v>2026</v>
      </c>
    </row>
    <row r="11066" spans="1:9" x14ac:dyDescent="0.25">
      <c r="A11066" t="s">
        <v>6</v>
      </c>
      <c r="B11066" s="1">
        <v>46119</v>
      </c>
      <c r="C11066">
        <v>1</v>
      </c>
      <c r="D11066">
        <v>239.82</v>
      </c>
      <c r="E11066">
        <v>0</v>
      </c>
      <c r="F11066" t="s">
        <v>7</v>
      </c>
      <c r="G11066" t="s">
        <v>11</v>
      </c>
      <c r="H11066" s="5">
        <f>MONTH(Tabela1[[#This Row],[data]])</f>
        <v>4</v>
      </c>
      <c r="I11066">
        <f>YEAR(Tabela1[[#This Row],[data]])</f>
        <v>2026</v>
      </c>
    </row>
    <row r="11067" spans="1:9" x14ac:dyDescent="0.25">
      <c r="A11067" t="s">
        <v>6</v>
      </c>
      <c r="B11067" s="1">
        <v>46119</v>
      </c>
      <c r="C11067">
        <v>2</v>
      </c>
      <c r="D11067">
        <v>225.96</v>
      </c>
      <c r="E11067">
        <v>0</v>
      </c>
      <c r="F11067" t="s">
        <v>7</v>
      </c>
      <c r="G11067" t="s">
        <v>11</v>
      </c>
      <c r="H11067" s="5">
        <f>MONTH(Tabela1[[#This Row],[data]])</f>
        <v>4</v>
      </c>
      <c r="I11067">
        <f>YEAR(Tabela1[[#This Row],[data]])</f>
        <v>2026</v>
      </c>
    </row>
    <row r="11068" spans="1:9" x14ac:dyDescent="0.25">
      <c r="A11068" t="s">
        <v>6</v>
      </c>
      <c r="B11068" s="1">
        <v>46119</v>
      </c>
      <c r="C11068">
        <v>3</v>
      </c>
      <c r="D11068">
        <v>223.02</v>
      </c>
      <c r="E11068">
        <v>0</v>
      </c>
      <c r="F11068" t="s">
        <v>7</v>
      </c>
      <c r="G11068" t="s">
        <v>11</v>
      </c>
      <c r="H11068" s="5">
        <f>MONTH(Tabela1[[#This Row],[data]])</f>
        <v>4</v>
      </c>
      <c r="I11068">
        <f>YEAR(Tabela1[[#This Row],[data]])</f>
        <v>2026</v>
      </c>
    </row>
    <row r="11069" spans="1:9" x14ac:dyDescent="0.25">
      <c r="A11069" t="s">
        <v>6</v>
      </c>
      <c r="B11069" s="1">
        <v>46119</v>
      </c>
      <c r="C11069">
        <v>4</v>
      </c>
      <c r="D11069">
        <v>223.44</v>
      </c>
      <c r="E11069">
        <v>0</v>
      </c>
      <c r="F11069" t="s">
        <v>7</v>
      </c>
      <c r="G11069" t="s">
        <v>11</v>
      </c>
      <c r="H11069" s="5">
        <f>MONTH(Tabela1[[#This Row],[data]])</f>
        <v>4</v>
      </c>
      <c r="I11069">
        <f>YEAR(Tabela1[[#This Row],[data]])</f>
        <v>2026</v>
      </c>
    </row>
    <row r="11070" spans="1:9" x14ac:dyDescent="0.25">
      <c r="A11070" t="s">
        <v>6</v>
      </c>
      <c r="B11070" s="1">
        <v>46119</v>
      </c>
      <c r="C11070">
        <v>5</v>
      </c>
      <c r="D11070">
        <v>228.48</v>
      </c>
      <c r="E11070">
        <v>0</v>
      </c>
      <c r="F11070" t="s">
        <v>7</v>
      </c>
      <c r="G11070" t="s">
        <v>11</v>
      </c>
      <c r="H11070" s="5">
        <f>MONTH(Tabela1[[#This Row],[data]])</f>
        <v>4</v>
      </c>
      <c r="I11070">
        <f>YEAR(Tabela1[[#This Row],[data]])</f>
        <v>2026</v>
      </c>
    </row>
    <row r="11071" spans="1:9" x14ac:dyDescent="0.25">
      <c r="A11071" t="s">
        <v>6</v>
      </c>
      <c r="B11071" s="1">
        <v>46119</v>
      </c>
      <c r="C11071">
        <v>6</v>
      </c>
      <c r="D11071">
        <v>225.54</v>
      </c>
      <c r="E11071">
        <v>0</v>
      </c>
      <c r="F11071" t="s">
        <v>7</v>
      </c>
      <c r="G11071" t="s">
        <v>11</v>
      </c>
      <c r="H11071" s="5">
        <f>MONTH(Tabela1[[#This Row],[data]])</f>
        <v>4</v>
      </c>
      <c r="I11071">
        <f>YEAR(Tabela1[[#This Row],[data]])</f>
        <v>2026</v>
      </c>
    </row>
    <row r="11072" spans="1:9" x14ac:dyDescent="0.25">
      <c r="A11072" t="s">
        <v>6</v>
      </c>
      <c r="B11072" s="1">
        <v>46119</v>
      </c>
      <c r="C11072">
        <v>7</v>
      </c>
      <c r="D11072">
        <v>224.28</v>
      </c>
      <c r="E11072">
        <v>0</v>
      </c>
      <c r="F11072" t="s">
        <v>7</v>
      </c>
      <c r="G11072" t="s">
        <v>11</v>
      </c>
      <c r="H11072" s="5">
        <f>MONTH(Tabela1[[#This Row],[data]])</f>
        <v>4</v>
      </c>
      <c r="I11072">
        <f>YEAR(Tabela1[[#This Row],[data]])</f>
        <v>2026</v>
      </c>
    </row>
    <row r="11073" spans="1:9" x14ac:dyDescent="0.25">
      <c r="A11073" t="s">
        <v>6</v>
      </c>
      <c r="B11073" s="1">
        <v>46119</v>
      </c>
      <c r="C11073">
        <v>8</v>
      </c>
      <c r="D11073">
        <v>236.46</v>
      </c>
      <c r="E11073">
        <v>0</v>
      </c>
      <c r="F11073" t="s">
        <v>7</v>
      </c>
      <c r="G11073" t="s">
        <v>11</v>
      </c>
      <c r="H11073" s="5">
        <f>MONTH(Tabela1[[#This Row],[data]])</f>
        <v>4</v>
      </c>
      <c r="I11073">
        <f>YEAR(Tabela1[[#This Row],[data]])</f>
        <v>2026</v>
      </c>
    </row>
    <row r="11074" spans="1:9" x14ac:dyDescent="0.25">
      <c r="A11074" t="s">
        <v>6</v>
      </c>
      <c r="B11074" s="1">
        <v>46119</v>
      </c>
      <c r="C11074">
        <v>9</v>
      </c>
      <c r="D11074">
        <v>341.88</v>
      </c>
      <c r="E11074">
        <v>8.82</v>
      </c>
      <c r="F11074" t="s">
        <v>7</v>
      </c>
      <c r="G11074" t="s">
        <v>11</v>
      </c>
      <c r="H11074" s="5">
        <f>MONTH(Tabela1[[#This Row],[data]])</f>
        <v>4</v>
      </c>
      <c r="I11074">
        <f>YEAR(Tabela1[[#This Row],[data]])</f>
        <v>2026</v>
      </c>
    </row>
    <row r="11075" spans="1:9" x14ac:dyDescent="0.25">
      <c r="A11075" t="s">
        <v>6</v>
      </c>
      <c r="B11075" s="1">
        <v>46119</v>
      </c>
      <c r="C11075">
        <v>10</v>
      </c>
      <c r="D11075">
        <v>469.98</v>
      </c>
      <c r="E11075">
        <v>41.16</v>
      </c>
      <c r="F11075" t="s">
        <v>7</v>
      </c>
      <c r="G11075" t="s">
        <v>11</v>
      </c>
      <c r="H11075" s="5">
        <f>MONTH(Tabela1[[#This Row],[data]])</f>
        <v>4</v>
      </c>
      <c r="I11075">
        <f>YEAR(Tabela1[[#This Row],[data]])</f>
        <v>2026</v>
      </c>
    </row>
    <row r="11076" spans="1:9" x14ac:dyDescent="0.25">
      <c r="A11076" t="s">
        <v>6</v>
      </c>
      <c r="B11076" s="1">
        <v>46119</v>
      </c>
      <c r="C11076">
        <v>11</v>
      </c>
      <c r="D11076">
        <v>880.74</v>
      </c>
      <c r="E11076">
        <v>220.08</v>
      </c>
      <c r="F11076" t="s">
        <v>7</v>
      </c>
      <c r="G11076" t="s">
        <v>11</v>
      </c>
      <c r="H11076" s="5">
        <f>MONTH(Tabela1[[#This Row],[data]])</f>
        <v>4</v>
      </c>
      <c r="I11076">
        <f>YEAR(Tabela1[[#This Row],[data]])</f>
        <v>2026</v>
      </c>
    </row>
    <row r="11077" spans="1:9" x14ac:dyDescent="0.25">
      <c r="A11077" t="s">
        <v>6</v>
      </c>
      <c r="B11077" s="1">
        <v>46119</v>
      </c>
      <c r="C11077">
        <v>12</v>
      </c>
      <c r="D11077">
        <v>876.54</v>
      </c>
      <c r="E11077">
        <v>230.16</v>
      </c>
      <c r="F11077" t="s">
        <v>7</v>
      </c>
      <c r="G11077" t="s">
        <v>11</v>
      </c>
      <c r="H11077" s="5">
        <f>MONTH(Tabela1[[#This Row],[data]])</f>
        <v>4</v>
      </c>
      <c r="I11077">
        <f>YEAR(Tabela1[[#This Row],[data]])</f>
        <v>2026</v>
      </c>
    </row>
    <row r="11078" spans="1:9" x14ac:dyDescent="0.25">
      <c r="A11078" t="s">
        <v>6</v>
      </c>
      <c r="B11078" s="1">
        <v>46119</v>
      </c>
      <c r="C11078">
        <v>13</v>
      </c>
      <c r="D11078">
        <v>901.32</v>
      </c>
      <c r="E11078">
        <v>223.02</v>
      </c>
      <c r="F11078" t="s">
        <v>7</v>
      </c>
      <c r="G11078" t="s">
        <v>11</v>
      </c>
      <c r="H11078" s="5">
        <f>MONTH(Tabela1[[#This Row],[data]])</f>
        <v>4</v>
      </c>
      <c r="I11078">
        <f>YEAR(Tabela1[[#This Row],[data]])</f>
        <v>2026</v>
      </c>
    </row>
    <row r="11079" spans="1:9" x14ac:dyDescent="0.25">
      <c r="A11079" t="s">
        <v>6</v>
      </c>
      <c r="B11079" s="1">
        <v>46119</v>
      </c>
      <c r="C11079">
        <v>14</v>
      </c>
      <c r="D11079">
        <v>908.88</v>
      </c>
      <c r="E11079">
        <v>210.84</v>
      </c>
      <c r="F11079" t="s">
        <v>7</v>
      </c>
      <c r="G11079" t="s">
        <v>11</v>
      </c>
      <c r="H11079" s="5">
        <f>MONTH(Tabela1[[#This Row],[data]])</f>
        <v>4</v>
      </c>
      <c r="I11079">
        <f>YEAR(Tabela1[[#This Row],[data]])</f>
        <v>2026</v>
      </c>
    </row>
    <row r="11080" spans="1:9" x14ac:dyDescent="0.25">
      <c r="A11080" t="s">
        <v>6</v>
      </c>
      <c r="B11080" s="1">
        <v>46119</v>
      </c>
      <c r="C11080">
        <v>15</v>
      </c>
      <c r="D11080">
        <v>924.42</v>
      </c>
      <c r="E11080">
        <v>226.38</v>
      </c>
      <c r="F11080" t="s">
        <v>7</v>
      </c>
      <c r="G11080" t="s">
        <v>11</v>
      </c>
      <c r="H11080" s="5">
        <f>MONTH(Tabela1[[#This Row],[data]])</f>
        <v>4</v>
      </c>
      <c r="I11080">
        <f>YEAR(Tabela1[[#This Row],[data]])</f>
        <v>2026</v>
      </c>
    </row>
    <row r="11081" spans="1:9" x14ac:dyDescent="0.25">
      <c r="A11081" t="s">
        <v>6</v>
      </c>
      <c r="B11081" s="1">
        <v>46119</v>
      </c>
      <c r="C11081">
        <v>16</v>
      </c>
      <c r="D11081">
        <v>924.42</v>
      </c>
      <c r="E11081">
        <v>225.12</v>
      </c>
      <c r="F11081" t="s">
        <v>7</v>
      </c>
      <c r="G11081" t="s">
        <v>11</v>
      </c>
      <c r="H11081" s="5">
        <f>MONTH(Tabela1[[#This Row],[data]])</f>
        <v>4</v>
      </c>
      <c r="I11081">
        <f>YEAR(Tabela1[[#This Row],[data]])</f>
        <v>2026</v>
      </c>
    </row>
    <row r="11082" spans="1:9" x14ac:dyDescent="0.25">
      <c r="A11082" t="s">
        <v>6</v>
      </c>
      <c r="B11082" s="1">
        <v>46119</v>
      </c>
      <c r="C11082">
        <v>17</v>
      </c>
      <c r="D11082">
        <v>792.54</v>
      </c>
      <c r="E11082">
        <v>166.74</v>
      </c>
      <c r="F11082" t="s">
        <v>7</v>
      </c>
      <c r="G11082" t="s">
        <v>11</v>
      </c>
      <c r="H11082" s="5">
        <f>MONTH(Tabela1[[#This Row],[data]])</f>
        <v>4</v>
      </c>
      <c r="I11082">
        <f>YEAR(Tabela1[[#This Row],[data]])</f>
        <v>2026</v>
      </c>
    </row>
    <row r="11083" spans="1:9" x14ac:dyDescent="0.25">
      <c r="A11083" t="s">
        <v>6</v>
      </c>
      <c r="B11083" s="1">
        <v>46119</v>
      </c>
      <c r="C11083">
        <v>18</v>
      </c>
      <c r="D11083">
        <v>790.02</v>
      </c>
      <c r="E11083">
        <v>157.91999999999999</v>
      </c>
      <c r="F11083" t="s">
        <v>7</v>
      </c>
      <c r="G11083" t="s">
        <v>11</v>
      </c>
      <c r="H11083" s="5">
        <f>MONTH(Tabela1[[#This Row],[data]])</f>
        <v>4</v>
      </c>
      <c r="I11083">
        <f>YEAR(Tabela1[[#This Row],[data]])</f>
        <v>2026</v>
      </c>
    </row>
    <row r="11084" spans="1:9" x14ac:dyDescent="0.25">
      <c r="A11084" t="s">
        <v>6</v>
      </c>
      <c r="B11084" s="1">
        <v>46119</v>
      </c>
      <c r="C11084">
        <v>19</v>
      </c>
      <c r="D11084">
        <v>774.9</v>
      </c>
      <c r="E11084">
        <v>122.64</v>
      </c>
      <c r="F11084" t="s">
        <v>7</v>
      </c>
      <c r="G11084" t="s">
        <v>11</v>
      </c>
      <c r="H11084" s="5">
        <f>MONTH(Tabela1[[#This Row],[data]])</f>
        <v>4</v>
      </c>
      <c r="I11084">
        <f>YEAR(Tabela1[[#This Row],[data]])</f>
        <v>2026</v>
      </c>
    </row>
    <row r="11085" spans="1:9" x14ac:dyDescent="0.25">
      <c r="A11085" t="s">
        <v>6</v>
      </c>
      <c r="B11085" s="1">
        <v>46119</v>
      </c>
      <c r="C11085">
        <v>20</v>
      </c>
      <c r="D11085">
        <v>773.22</v>
      </c>
      <c r="E11085">
        <v>143.63999999999999</v>
      </c>
      <c r="F11085" t="s">
        <v>7</v>
      </c>
      <c r="G11085" t="s">
        <v>11</v>
      </c>
      <c r="H11085" s="5">
        <f>MONTH(Tabela1[[#This Row],[data]])</f>
        <v>4</v>
      </c>
      <c r="I11085">
        <f>YEAR(Tabela1[[#This Row],[data]])</f>
        <v>2026</v>
      </c>
    </row>
    <row r="11086" spans="1:9" x14ac:dyDescent="0.25">
      <c r="A11086" t="s">
        <v>6</v>
      </c>
      <c r="B11086" s="1">
        <v>46119</v>
      </c>
      <c r="C11086">
        <v>21</v>
      </c>
      <c r="D11086">
        <v>778.26</v>
      </c>
      <c r="E11086">
        <v>144.06</v>
      </c>
      <c r="F11086" t="s">
        <v>7</v>
      </c>
      <c r="G11086" t="s">
        <v>11</v>
      </c>
      <c r="H11086" s="5">
        <f>MONTH(Tabela1[[#This Row],[data]])</f>
        <v>4</v>
      </c>
      <c r="I11086">
        <f>YEAR(Tabela1[[#This Row],[data]])</f>
        <v>2026</v>
      </c>
    </row>
    <row r="11087" spans="1:9" x14ac:dyDescent="0.25">
      <c r="A11087" t="s">
        <v>6</v>
      </c>
      <c r="B11087" s="1">
        <v>46119</v>
      </c>
      <c r="C11087">
        <v>22</v>
      </c>
      <c r="D11087">
        <v>749.28</v>
      </c>
      <c r="E11087">
        <v>128.94</v>
      </c>
      <c r="F11087" t="s">
        <v>7</v>
      </c>
      <c r="G11087" t="s">
        <v>11</v>
      </c>
      <c r="H11087" s="5">
        <f>MONTH(Tabela1[[#This Row],[data]])</f>
        <v>4</v>
      </c>
      <c r="I11087">
        <f>YEAR(Tabela1[[#This Row],[data]])</f>
        <v>2026</v>
      </c>
    </row>
    <row r="11088" spans="1:9" x14ac:dyDescent="0.25">
      <c r="A11088" t="s">
        <v>6</v>
      </c>
      <c r="B11088" s="1">
        <v>46119</v>
      </c>
      <c r="C11088">
        <v>23</v>
      </c>
      <c r="D11088">
        <v>425.46</v>
      </c>
      <c r="E11088">
        <v>25.2</v>
      </c>
      <c r="F11088" t="s">
        <v>7</v>
      </c>
      <c r="G11088" t="s">
        <v>11</v>
      </c>
      <c r="H11088" s="5">
        <f>MONTH(Tabela1[[#This Row],[data]])</f>
        <v>4</v>
      </c>
      <c r="I11088">
        <f>YEAR(Tabela1[[#This Row],[data]])</f>
        <v>2026</v>
      </c>
    </row>
    <row r="11089" spans="1:9" x14ac:dyDescent="0.25">
      <c r="A11089" t="s">
        <v>6</v>
      </c>
      <c r="B11089" s="1">
        <v>46119</v>
      </c>
      <c r="C11089">
        <v>24</v>
      </c>
      <c r="D11089">
        <v>273.83999999999997</v>
      </c>
      <c r="E11089">
        <v>0</v>
      </c>
      <c r="F11089" t="s">
        <v>7</v>
      </c>
      <c r="G11089" t="s">
        <v>11</v>
      </c>
      <c r="H11089" s="5">
        <f>MONTH(Tabela1[[#This Row],[data]])</f>
        <v>4</v>
      </c>
      <c r="I11089">
        <f>YEAR(Tabela1[[#This Row],[data]])</f>
        <v>2026</v>
      </c>
    </row>
    <row r="11090" spans="1:9" x14ac:dyDescent="0.25">
      <c r="A11090" t="s">
        <v>6</v>
      </c>
      <c r="B11090" s="1">
        <v>46120</v>
      </c>
      <c r="C11090">
        <v>1</v>
      </c>
      <c r="D11090">
        <v>255.36</v>
      </c>
      <c r="E11090">
        <v>0</v>
      </c>
      <c r="F11090" t="s">
        <v>7</v>
      </c>
      <c r="G11090" t="s">
        <v>11</v>
      </c>
      <c r="H11090" s="5">
        <f>MONTH(Tabela1[[#This Row],[data]])</f>
        <v>4</v>
      </c>
      <c r="I11090">
        <f>YEAR(Tabela1[[#This Row],[data]])</f>
        <v>2026</v>
      </c>
    </row>
    <row r="11091" spans="1:9" x14ac:dyDescent="0.25">
      <c r="A11091" t="s">
        <v>6</v>
      </c>
      <c r="B11091" s="1">
        <v>46120</v>
      </c>
      <c r="C11091">
        <v>2</v>
      </c>
      <c r="D11091">
        <v>238.98</v>
      </c>
      <c r="E11091">
        <v>0</v>
      </c>
      <c r="F11091" t="s">
        <v>7</v>
      </c>
      <c r="G11091" t="s">
        <v>11</v>
      </c>
      <c r="H11091" s="5">
        <f>MONTH(Tabela1[[#This Row],[data]])</f>
        <v>4</v>
      </c>
      <c r="I11091">
        <f>YEAR(Tabela1[[#This Row],[data]])</f>
        <v>2026</v>
      </c>
    </row>
    <row r="11092" spans="1:9" x14ac:dyDescent="0.25">
      <c r="A11092" t="s">
        <v>6</v>
      </c>
      <c r="B11092" s="1">
        <v>46120</v>
      </c>
      <c r="C11092">
        <v>3</v>
      </c>
      <c r="D11092">
        <v>235.62</v>
      </c>
      <c r="E11092">
        <v>0</v>
      </c>
      <c r="F11092" t="s">
        <v>7</v>
      </c>
      <c r="G11092" t="s">
        <v>11</v>
      </c>
      <c r="H11092" s="5">
        <f>MONTH(Tabela1[[#This Row],[data]])</f>
        <v>4</v>
      </c>
      <c r="I11092">
        <f>YEAR(Tabela1[[#This Row],[data]])</f>
        <v>2026</v>
      </c>
    </row>
    <row r="11093" spans="1:9" x14ac:dyDescent="0.25">
      <c r="A11093" t="s">
        <v>6</v>
      </c>
      <c r="B11093" s="1">
        <v>46120</v>
      </c>
      <c r="C11093">
        <v>4</v>
      </c>
      <c r="D11093">
        <v>233.94</v>
      </c>
      <c r="E11093">
        <v>0</v>
      </c>
      <c r="F11093" t="s">
        <v>7</v>
      </c>
      <c r="G11093" t="s">
        <v>11</v>
      </c>
      <c r="H11093" s="5">
        <f>MONTH(Tabela1[[#This Row],[data]])</f>
        <v>4</v>
      </c>
      <c r="I11093">
        <f>YEAR(Tabela1[[#This Row],[data]])</f>
        <v>2026</v>
      </c>
    </row>
    <row r="11094" spans="1:9" x14ac:dyDescent="0.25">
      <c r="A11094" t="s">
        <v>6</v>
      </c>
      <c r="B11094" s="1">
        <v>46120</v>
      </c>
      <c r="C11094">
        <v>5</v>
      </c>
      <c r="D11094">
        <v>238.14</v>
      </c>
      <c r="E11094">
        <v>0</v>
      </c>
      <c r="F11094" t="s">
        <v>7</v>
      </c>
      <c r="G11094" t="s">
        <v>11</v>
      </c>
      <c r="H11094" s="5">
        <f>MONTH(Tabela1[[#This Row],[data]])</f>
        <v>4</v>
      </c>
      <c r="I11094">
        <f>YEAR(Tabela1[[#This Row],[data]])</f>
        <v>2026</v>
      </c>
    </row>
    <row r="11095" spans="1:9" x14ac:dyDescent="0.25">
      <c r="A11095" t="s">
        <v>6</v>
      </c>
      <c r="B11095" s="1">
        <v>46120</v>
      </c>
      <c r="C11095">
        <v>6</v>
      </c>
      <c r="D11095">
        <v>233.94</v>
      </c>
      <c r="E11095">
        <v>0</v>
      </c>
      <c r="F11095" t="s">
        <v>7</v>
      </c>
      <c r="G11095" t="s">
        <v>11</v>
      </c>
      <c r="H11095" s="5">
        <f>MONTH(Tabela1[[#This Row],[data]])</f>
        <v>4</v>
      </c>
      <c r="I11095">
        <f>YEAR(Tabela1[[#This Row],[data]])</f>
        <v>2026</v>
      </c>
    </row>
    <row r="11096" spans="1:9" x14ac:dyDescent="0.25">
      <c r="A11096" t="s">
        <v>6</v>
      </c>
      <c r="B11096" s="1">
        <v>46120</v>
      </c>
      <c r="C11096">
        <v>7</v>
      </c>
      <c r="D11096">
        <v>238.98</v>
      </c>
      <c r="E11096">
        <v>0</v>
      </c>
      <c r="F11096" t="s">
        <v>7</v>
      </c>
      <c r="G11096" t="s">
        <v>11</v>
      </c>
      <c r="H11096" s="5">
        <f>MONTH(Tabela1[[#This Row],[data]])</f>
        <v>4</v>
      </c>
      <c r="I11096">
        <f>YEAR(Tabela1[[#This Row],[data]])</f>
        <v>2026</v>
      </c>
    </row>
    <row r="11097" spans="1:9" x14ac:dyDescent="0.25">
      <c r="A11097" t="s">
        <v>6</v>
      </c>
      <c r="B11097" s="1">
        <v>46120</v>
      </c>
      <c r="C11097">
        <v>8</v>
      </c>
      <c r="D11097">
        <v>246.12</v>
      </c>
      <c r="E11097">
        <v>0</v>
      </c>
      <c r="F11097" t="s">
        <v>7</v>
      </c>
      <c r="G11097" t="s">
        <v>11</v>
      </c>
      <c r="H11097" s="5">
        <f>MONTH(Tabela1[[#This Row],[data]])</f>
        <v>4</v>
      </c>
      <c r="I11097">
        <f>YEAR(Tabela1[[#This Row],[data]])</f>
        <v>2026</v>
      </c>
    </row>
    <row r="11098" spans="1:9" x14ac:dyDescent="0.25">
      <c r="A11098" t="s">
        <v>6</v>
      </c>
      <c r="B11098" s="1">
        <v>46120</v>
      </c>
      <c r="C11098">
        <v>9</v>
      </c>
      <c r="D11098">
        <v>377.16</v>
      </c>
      <c r="E11098">
        <v>2.1</v>
      </c>
      <c r="F11098" t="s">
        <v>7</v>
      </c>
      <c r="G11098" t="s">
        <v>11</v>
      </c>
      <c r="H11098" s="5">
        <f>MONTH(Tabela1[[#This Row],[data]])</f>
        <v>4</v>
      </c>
      <c r="I11098">
        <f>YEAR(Tabela1[[#This Row],[data]])</f>
        <v>2026</v>
      </c>
    </row>
    <row r="11099" spans="1:9" x14ac:dyDescent="0.25">
      <c r="A11099" t="s">
        <v>6</v>
      </c>
      <c r="B11099" s="1">
        <v>46120</v>
      </c>
      <c r="C11099">
        <v>10</v>
      </c>
      <c r="D11099">
        <v>522.9</v>
      </c>
      <c r="E11099">
        <v>58.8</v>
      </c>
      <c r="F11099" t="s">
        <v>7</v>
      </c>
      <c r="G11099" t="s">
        <v>11</v>
      </c>
      <c r="H11099" s="5">
        <f>MONTH(Tabela1[[#This Row],[data]])</f>
        <v>4</v>
      </c>
      <c r="I11099">
        <f>YEAR(Tabela1[[#This Row],[data]])</f>
        <v>2026</v>
      </c>
    </row>
    <row r="11100" spans="1:9" x14ac:dyDescent="0.25">
      <c r="A11100" t="s">
        <v>6</v>
      </c>
      <c r="B11100" s="1">
        <v>46120</v>
      </c>
      <c r="C11100">
        <v>11</v>
      </c>
      <c r="D11100">
        <v>867.3</v>
      </c>
      <c r="E11100">
        <v>195.72</v>
      </c>
      <c r="F11100" t="s">
        <v>7</v>
      </c>
      <c r="G11100" t="s">
        <v>11</v>
      </c>
      <c r="H11100" s="5">
        <f>MONTH(Tabela1[[#This Row],[data]])</f>
        <v>4</v>
      </c>
      <c r="I11100">
        <f>YEAR(Tabela1[[#This Row],[data]])</f>
        <v>2026</v>
      </c>
    </row>
    <row r="11101" spans="1:9" x14ac:dyDescent="0.25">
      <c r="A11101" t="s">
        <v>6</v>
      </c>
      <c r="B11101" s="1">
        <v>46120</v>
      </c>
      <c r="C11101">
        <v>12</v>
      </c>
      <c r="D11101">
        <v>858.9</v>
      </c>
      <c r="E11101">
        <v>207.9</v>
      </c>
      <c r="F11101" t="s">
        <v>7</v>
      </c>
      <c r="G11101" t="s">
        <v>11</v>
      </c>
      <c r="H11101" s="5">
        <f>MONTH(Tabela1[[#This Row],[data]])</f>
        <v>4</v>
      </c>
      <c r="I11101">
        <f>YEAR(Tabela1[[#This Row],[data]])</f>
        <v>2026</v>
      </c>
    </row>
    <row r="11102" spans="1:9" x14ac:dyDescent="0.25">
      <c r="A11102" t="s">
        <v>6</v>
      </c>
      <c r="B11102" s="1">
        <v>46120</v>
      </c>
      <c r="C11102">
        <v>13</v>
      </c>
      <c r="D11102">
        <v>851.34</v>
      </c>
      <c r="E11102">
        <v>216.72</v>
      </c>
      <c r="F11102" t="s">
        <v>7</v>
      </c>
      <c r="G11102" t="s">
        <v>11</v>
      </c>
      <c r="H11102" s="5">
        <f>MONTH(Tabela1[[#This Row],[data]])</f>
        <v>4</v>
      </c>
      <c r="I11102">
        <f>YEAR(Tabela1[[#This Row],[data]])</f>
        <v>2026</v>
      </c>
    </row>
    <row r="11103" spans="1:9" x14ac:dyDescent="0.25">
      <c r="A11103" t="s">
        <v>6</v>
      </c>
      <c r="B11103" s="1">
        <v>46120</v>
      </c>
      <c r="C11103">
        <v>14</v>
      </c>
      <c r="D11103">
        <v>863.52</v>
      </c>
      <c r="E11103">
        <v>208.32</v>
      </c>
      <c r="F11103" t="s">
        <v>7</v>
      </c>
      <c r="G11103" t="s">
        <v>11</v>
      </c>
      <c r="H11103" s="5">
        <f>MONTH(Tabela1[[#This Row],[data]])</f>
        <v>4</v>
      </c>
      <c r="I11103">
        <f>YEAR(Tabela1[[#This Row],[data]])</f>
        <v>2026</v>
      </c>
    </row>
    <row r="11104" spans="1:9" x14ac:dyDescent="0.25">
      <c r="A11104" t="s">
        <v>6</v>
      </c>
      <c r="B11104" s="1">
        <v>46120</v>
      </c>
      <c r="C11104">
        <v>15</v>
      </c>
      <c r="D11104">
        <v>851.34</v>
      </c>
      <c r="E11104">
        <v>194.46</v>
      </c>
      <c r="F11104" t="s">
        <v>7</v>
      </c>
      <c r="G11104" t="s">
        <v>11</v>
      </c>
      <c r="H11104" s="5">
        <f>MONTH(Tabela1[[#This Row],[data]])</f>
        <v>4</v>
      </c>
      <c r="I11104">
        <f>YEAR(Tabela1[[#This Row],[data]])</f>
        <v>2026</v>
      </c>
    </row>
    <row r="11105" spans="1:9" x14ac:dyDescent="0.25">
      <c r="A11105" t="s">
        <v>6</v>
      </c>
      <c r="B11105" s="1">
        <v>46120</v>
      </c>
      <c r="C11105">
        <v>16</v>
      </c>
      <c r="D11105">
        <v>837.9</v>
      </c>
      <c r="E11105">
        <v>194.46</v>
      </c>
      <c r="F11105" t="s">
        <v>7</v>
      </c>
      <c r="G11105" t="s">
        <v>11</v>
      </c>
      <c r="H11105" s="5">
        <f>MONTH(Tabela1[[#This Row],[data]])</f>
        <v>4</v>
      </c>
      <c r="I11105">
        <f>YEAR(Tabela1[[#This Row],[data]])</f>
        <v>2026</v>
      </c>
    </row>
    <row r="11106" spans="1:9" x14ac:dyDescent="0.25">
      <c r="A11106" t="s">
        <v>6</v>
      </c>
      <c r="B11106" s="1">
        <v>46120</v>
      </c>
      <c r="C11106">
        <v>17</v>
      </c>
      <c r="D11106">
        <v>779.1</v>
      </c>
      <c r="E11106">
        <v>186.06</v>
      </c>
      <c r="F11106" t="s">
        <v>7</v>
      </c>
      <c r="G11106" t="s">
        <v>11</v>
      </c>
      <c r="H11106" s="5">
        <f>MONTH(Tabela1[[#This Row],[data]])</f>
        <v>4</v>
      </c>
      <c r="I11106">
        <f>YEAR(Tabela1[[#This Row],[data]])</f>
        <v>2026</v>
      </c>
    </row>
    <row r="11107" spans="1:9" x14ac:dyDescent="0.25">
      <c r="A11107" t="s">
        <v>6</v>
      </c>
      <c r="B11107" s="1">
        <v>46120</v>
      </c>
      <c r="C11107">
        <v>18</v>
      </c>
      <c r="D11107">
        <v>838.74</v>
      </c>
      <c r="E11107">
        <v>188.16</v>
      </c>
      <c r="F11107" t="s">
        <v>7</v>
      </c>
      <c r="G11107" t="s">
        <v>11</v>
      </c>
      <c r="H11107" s="5">
        <f>MONTH(Tabela1[[#This Row],[data]])</f>
        <v>4</v>
      </c>
      <c r="I11107">
        <f>YEAR(Tabela1[[#This Row],[data]])</f>
        <v>2026</v>
      </c>
    </row>
    <row r="11108" spans="1:9" x14ac:dyDescent="0.25">
      <c r="A11108" t="s">
        <v>6</v>
      </c>
      <c r="B11108" s="1">
        <v>46120</v>
      </c>
      <c r="C11108">
        <v>19</v>
      </c>
      <c r="D11108">
        <v>799.26</v>
      </c>
      <c r="E11108">
        <v>156.24</v>
      </c>
      <c r="F11108" t="s">
        <v>7</v>
      </c>
      <c r="G11108" t="s">
        <v>11</v>
      </c>
      <c r="H11108" s="5">
        <f>MONTH(Tabela1[[#This Row],[data]])</f>
        <v>4</v>
      </c>
      <c r="I11108">
        <f>YEAR(Tabela1[[#This Row],[data]])</f>
        <v>2026</v>
      </c>
    </row>
    <row r="11109" spans="1:9" x14ac:dyDescent="0.25">
      <c r="A11109" t="s">
        <v>6</v>
      </c>
      <c r="B11109" s="1">
        <v>46120</v>
      </c>
      <c r="C11109">
        <v>20</v>
      </c>
      <c r="D11109">
        <v>772.8</v>
      </c>
      <c r="E11109">
        <v>154.97999999999999</v>
      </c>
      <c r="F11109" t="s">
        <v>7</v>
      </c>
      <c r="G11109" t="s">
        <v>11</v>
      </c>
      <c r="H11109" s="5">
        <f>MONTH(Tabela1[[#This Row],[data]])</f>
        <v>4</v>
      </c>
      <c r="I11109">
        <f>YEAR(Tabela1[[#This Row],[data]])</f>
        <v>2026</v>
      </c>
    </row>
    <row r="11110" spans="1:9" x14ac:dyDescent="0.25">
      <c r="A11110" t="s">
        <v>6</v>
      </c>
      <c r="B11110" s="1">
        <v>46120</v>
      </c>
      <c r="C11110">
        <v>21</v>
      </c>
      <c r="D11110">
        <v>763.14</v>
      </c>
      <c r="E11110">
        <v>155.82</v>
      </c>
      <c r="F11110" t="s">
        <v>7</v>
      </c>
      <c r="G11110" t="s">
        <v>11</v>
      </c>
      <c r="H11110" s="5">
        <f>MONTH(Tabela1[[#This Row],[data]])</f>
        <v>4</v>
      </c>
      <c r="I11110">
        <f>YEAR(Tabela1[[#This Row],[data]])</f>
        <v>2026</v>
      </c>
    </row>
    <row r="11111" spans="1:9" x14ac:dyDescent="0.25">
      <c r="A11111" t="s">
        <v>6</v>
      </c>
      <c r="B11111" s="1">
        <v>46120</v>
      </c>
      <c r="C11111">
        <v>22</v>
      </c>
      <c r="D11111">
        <v>721.14</v>
      </c>
      <c r="E11111">
        <v>145.74</v>
      </c>
      <c r="F11111" t="s">
        <v>7</v>
      </c>
      <c r="G11111" t="s">
        <v>11</v>
      </c>
      <c r="H11111" s="5">
        <f>MONTH(Tabela1[[#This Row],[data]])</f>
        <v>4</v>
      </c>
      <c r="I11111">
        <f>YEAR(Tabela1[[#This Row],[data]])</f>
        <v>2026</v>
      </c>
    </row>
    <row r="11112" spans="1:9" x14ac:dyDescent="0.25">
      <c r="A11112" t="s">
        <v>6</v>
      </c>
      <c r="B11112" s="1">
        <v>46120</v>
      </c>
      <c r="C11112">
        <v>23</v>
      </c>
      <c r="D11112">
        <v>464.94</v>
      </c>
      <c r="E11112">
        <v>23.1</v>
      </c>
      <c r="F11112" t="s">
        <v>7</v>
      </c>
      <c r="G11112" t="s">
        <v>11</v>
      </c>
      <c r="H11112" s="5">
        <f>MONTH(Tabela1[[#This Row],[data]])</f>
        <v>4</v>
      </c>
      <c r="I11112">
        <f>YEAR(Tabela1[[#This Row],[data]])</f>
        <v>2026</v>
      </c>
    </row>
    <row r="11113" spans="1:9" x14ac:dyDescent="0.25">
      <c r="A11113" t="s">
        <v>6</v>
      </c>
      <c r="B11113" s="1">
        <v>46120</v>
      </c>
      <c r="C11113">
        <v>24</v>
      </c>
      <c r="D11113">
        <v>368.76</v>
      </c>
      <c r="E11113">
        <v>0</v>
      </c>
      <c r="F11113" t="s">
        <v>7</v>
      </c>
      <c r="G11113" t="s">
        <v>11</v>
      </c>
      <c r="H11113" s="5">
        <f>MONTH(Tabela1[[#This Row],[data]])</f>
        <v>4</v>
      </c>
      <c r="I11113">
        <f>YEAR(Tabela1[[#This Row],[data]])</f>
        <v>2026</v>
      </c>
    </row>
    <row r="11114" spans="1:9" x14ac:dyDescent="0.25">
      <c r="A11114" t="s">
        <v>6</v>
      </c>
      <c r="B11114" s="1">
        <v>46121</v>
      </c>
      <c r="C11114">
        <v>1</v>
      </c>
      <c r="D11114">
        <v>238.98</v>
      </c>
      <c r="E11114">
        <v>0</v>
      </c>
      <c r="F11114" t="s">
        <v>7</v>
      </c>
      <c r="G11114" t="s">
        <v>11</v>
      </c>
      <c r="H11114" s="5">
        <f>MONTH(Tabela1[[#This Row],[data]])</f>
        <v>4</v>
      </c>
      <c r="I11114">
        <f>YEAR(Tabela1[[#This Row],[data]])</f>
        <v>2026</v>
      </c>
    </row>
    <row r="11115" spans="1:9" x14ac:dyDescent="0.25">
      <c r="A11115" t="s">
        <v>6</v>
      </c>
      <c r="B11115" s="1">
        <v>46121</v>
      </c>
      <c r="C11115">
        <v>2</v>
      </c>
      <c r="D11115">
        <v>236.88</v>
      </c>
      <c r="E11115">
        <v>0</v>
      </c>
      <c r="F11115" t="s">
        <v>7</v>
      </c>
      <c r="G11115" t="s">
        <v>11</v>
      </c>
      <c r="H11115" s="5">
        <f>MONTH(Tabela1[[#This Row],[data]])</f>
        <v>4</v>
      </c>
      <c r="I11115">
        <f>YEAR(Tabela1[[#This Row],[data]])</f>
        <v>2026</v>
      </c>
    </row>
    <row r="11116" spans="1:9" x14ac:dyDescent="0.25">
      <c r="A11116" t="s">
        <v>6</v>
      </c>
      <c r="B11116" s="1">
        <v>46121</v>
      </c>
      <c r="C11116">
        <v>3</v>
      </c>
      <c r="D11116">
        <v>231.42</v>
      </c>
      <c r="E11116">
        <v>0</v>
      </c>
      <c r="F11116" t="s">
        <v>7</v>
      </c>
      <c r="G11116" t="s">
        <v>11</v>
      </c>
      <c r="H11116" s="5">
        <f>MONTH(Tabela1[[#This Row],[data]])</f>
        <v>4</v>
      </c>
      <c r="I11116">
        <f>YEAR(Tabela1[[#This Row],[data]])</f>
        <v>2026</v>
      </c>
    </row>
    <row r="11117" spans="1:9" x14ac:dyDescent="0.25">
      <c r="A11117" t="s">
        <v>6</v>
      </c>
      <c r="B11117" s="1">
        <v>46121</v>
      </c>
      <c r="C11117">
        <v>4</v>
      </c>
      <c r="D11117">
        <v>231</v>
      </c>
      <c r="E11117">
        <v>0</v>
      </c>
      <c r="F11117" t="s">
        <v>7</v>
      </c>
      <c r="G11117" t="s">
        <v>11</v>
      </c>
      <c r="H11117" s="5">
        <f>MONTH(Tabela1[[#This Row],[data]])</f>
        <v>4</v>
      </c>
      <c r="I11117">
        <f>YEAR(Tabela1[[#This Row],[data]])</f>
        <v>2026</v>
      </c>
    </row>
    <row r="11118" spans="1:9" x14ac:dyDescent="0.25">
      <c r="A11118" t="s">
        <v>6</v>
      </c>
      <c r="B11118" s="1">
        <v>46121</v>
      </c>
      <c r="C11118">
        <v>5</v>
      </c>
      <c r="D11118">
        <v>237.72</v>
      </c>
      <c r="E11118">
        <v>0</v>
      </c>
      <c r="F11118" t="s">
        <v>7</v>
      </c>
      <c r="G11118" t="s">
        <v>11</v>
      </c>
      <c r="H11118" s="5">
        <f>MONTH(Tabela1[[#This Row],[data]])</f>
        <v>4</v>
      </c>
      <c r="I11118">
        <f>YEAR(Tabela1[[#This Row],[data]])</f>
        <v>2026</v>
      </c>
    </row>
    <row r="11119" spans="1:9" x14ac:dyDescent="0.25">
      <c r="A11119" t="s">
        <v>6</v>
      </c>
      <c r="B11119" s="1">
        <v>46121</v>
      </c>
      <c r="C11119">
        <v>6</v>
      </c>
      <c r="D11119">
        <v>233.94</v>
      </c>
      <c r="E11119">
        <v>0</v>
      </c>
      <c r="F11119" t="s">
        <v>7</v>
      </c>
      <c r="G11119" t="s">
        <v>11</v>
      </c>
      <c r="H11119" s="5">
        <f>MONTH(Tabela1[[#This Row],[data]])</f>
        <v>4</v>
      </c>
      <c r="I11119">
        <f>YEAR(Tabela1[[#This Row],[data]])</f>
        <v>2026</v>
      </c>
    </row>
    <row r="11120" spans="1:9" x14ac:dyDescent="0.25">
      <c r="A11120" t="s">
        <v>6</v>
      </c>
      <c r="B11120" s="1">
        <v>46121</v>
      </c>
      <c r="C11120">
        <v>7</v>
      </c>
      <c r="D11120">
        <v>238.98</v>
      </c>
      <c r="E11120">
        <v>0</v>
      </c>
      <c r="F11120" t="s">
        <v>7</v>
      </c>
      <c r="G11120" t="s">
        <v>11</v>
      </c>
      <c r="H11120" s="5">
        <f>MONTH(Tabela1[[#This Row],[data]])</f>
        <v>4</v>
      </c>
      <c r="I11120">
        <f>YEAR(Tabela1[[#This Row],[data]])</f>
        <v>2026</v>
      </c>
    </row>
    <row r="11121" spans="1:9" x14ac:dyDescent="0.25">
      <c r="A11121" t="s">
        <v>6</v>
      </c>
      <c r="B11121" s="1">
        <v>46121</v>
      </c>
      <c r="C11121">
        <v>8</v>
      </c>
      <c r="D11121">
        <v>276.77999999999997</v>
      </c>
      <c r="E11121">
        <v>0</v>
      </c>
      <c r="F11121" t="s">
        <v>7</v>
      </c>
      <c r="G11121" t="s">
        <v>11</v>
      </c>
      <c r="H11121" s="5">
        <f>MONTH(Tabela1[[#This Row],[data]])</f>
        <v>4</v>
      </c>
      <c r="I11121">
        <f>YEAR(Tabela1[[#This Row],[data]])</f>
        <v>2026</v>
      </c>
    </row>
    <row r="11122" spans="1:9" x14ac:dyDescent="0.25">
      <c r="A11122" t="s">
        <v>6</v>
      </c>
      <c r="B11122" s="1">
        <v>46121</v>
      </c>
      <c r="C11122">
        <v>9</v>
      </c>
      <c r="D11122">
        <v>350.28</v>
      </c>
      <c r="E11122">
        <v>0</v>
      </c>
      <c r="F11122" t="s">
        <v>7</v>
      </c>
      <c r="G11122" t="s">
        <v>11</v>
      </c>
      <c r="H11122" s="5">
        <f>MONTH(Tabela1[[#This Row],[data]])</f>
        <v>4</v>
      </c>
      <c r="I11122">
        <f>YEAR(Tabela1[[#This Row],[data]])</f>
        <v>2026</v>
      </c>
    </row>
    <row r="11123" spans="1:9" x14ac:dyDescent="0.25">
      <c r="A11123" t="s">
        <v>6</v>
      </c>
      <c r="B11123" s="1">
        <v>46121</v>
      </c>
      <c r="C11123">
        <v>10</v>
      </c>
      <c r="D11123">
        <v>416.22</v>
      </c>
      <c r="E11123">
        <v>12.6</v>
      </c>
      <c r="F11123" t="s">
        <v>7</v>
      </c>
      <c r="G11123" t="s">
        <v>11</v>
      </c>
      <c r="H11123" s="5">
        <f>MONTH(Tabela1[[#This Row],[data]])</f>
        <v>4</v>
      </c>
      <c r="I11123">
        <f>YEAR(Tabela1[[#This Row],[data]])</f>
        <v>2026</v>
      </c>
    </row>
    <row r="11124" spans="1:9" x14ac:dyDescent="0.25">
      <c r="A11124" t="s">
        <v>6</v>
      </c>
      <c r="B11124" s="1">
        <v>46121</v>
      </c>
      <c r="C11124">
        <v>11</v>
      </c>
      <c r="D11124">
        <v>819.84</v>
      </c>
      <c r="E11124">
        <v>175.14</v>
      </c>
      <c r="F11124" t="s">
        <v>7</v>
      </c>
      <c r="G11124" t="s">
        <v>11</v>
      </c>
      <c r="H11124" s="5">
        <f>MONTH(Tabela1[[#This Row],[data]])</f>
        <v>4</v>
      </c>
      <c r="I11124">
        <f>YEAR(Tabela1[[#This Row],[data]])</f>
        <v>2026</v>
      </c>
    </row>
    <row r="11125" spans="1:9" x14ac:dyDescent="0.25">
      <c r="A11125" t="s">
        <v>6</v>
      </c>
      <c r="B11125" s="1">
        <v>46121</v>
      </c>
      <c r="C11125">
        <v>12</v>
      </c>
      <c r="D11125">
        <v>868.56</v>
      </c>
      <c r="E11125">
        <v>208.74</v>
      </c>
      <c r="F11125" t="s">
        <v>7</v>
      </c>
      <c r="G11125" t="s">
        <v>11</v>
      </c>
      <c r="H11125" s="5">
        <f>MONTH(Tabela1[[#This Row],[data]])</f>
        <v>4</v>
      </c>
      <c r="I11125">
        <f>YEAR(Tabela1[[#This Row],[data]])</f>
        <v>2026</v>
      </c>
    </row>
    <row r="11126" spans="1:9" x14ac:dyDescent="0.25">
      <c r="A11126" t="s">
        <v>6</v>
      </c>
      <c r="B11126" s="1">
        <v>46121</v>
      </c>
      <c r="C11126">
        <v>13</v>
      </c>
      <c r="D11126">
        <v>887.04</v>
      </c>
      <c r="E11126">
        <v>215.88</v>
      </c>
      <c r="F11126" t="s">
        <v>7</v>
      </c>
      <c r="G11126" t="s">
        <v>11</v>
      </c>
      <c r="H11126" s="5">
        <f>MONTH(Tabela1[[#This Row],[data]])</f>
        <v>4</v>
      </c>
      <c r="I11126">
        <f>YEAR(Tabela1[[#This Row],[data]])</f>
        <v>2026</v>
      </c>
    </row>
    <row r="11127" spans="1:9" x14ac:dyDescent="0.25">
      <c r="A11127" t="s">
        <v>6</v>
      </c>
      <c r="B11127" s="1">
        <v>46121</v>
      </c>
      <c r="C11127">
        <v>14</v>
      </c>
      <c r="D11127">
        <v>842.1</v>
      </c>
      <c r="E11127">
        <v>178.5</v>
      </c>
      <c r="F11127" t="s">
        <v>7</v>
      </c>
      <c r="G11127" t="s">
        <v>11</v>
      </c>
      <c r="H11127" s="5">
        <f>MONTH(Tabela1[[#This Row],[data]])</f>
        <v>4</v>
      </c>
      <c r="I11127">
        <f>YEAR(Tabela1[[#This Row],[data]])</f>
        <v>2026</v>
      </c>
    </row>
    <row r="11128" spans="1:9" x14ac:dyDescent="0.25">
      <c r="A11128" t="s">
        <v>6</v>
      </c>
      <c r="B11128" s="1">
        <v>46121</v>
      </c>
      <c r="C11128">
        <v>15</v>
      </c>
      <c r="D11128">
        <v>869.82</v>
      </c>
      <c r="E11128">
        <v>208.74</v>
      </c>
      <c r="F11128" t="s">
        <v>7</v>
      </c>
      <c r="G11128" t="s">
        <v>11</v>
      </c>
      <c r="H11128" s="5">
        <f>MONTH(Tabela1[[#This Row],[data]])</f>
        <v>4</v>
      </c>
      <c r="I11128">
        <f>YEAR(Tabela1[[#This Row],[data]])</f>
        <v>2026</v>
      </c>
    </row>
    <row r="11129" spans="1:9" x14ac:dyDescent="0.25">
      <c r="A11129" t="s">
        <v>6</v>
      </c>
      <c r="B11129" s="1">
        <v>46121</v>
      </c>
      <c r="C11129">
        <v>16</v>
      </c>
      <c r="D11129">
        <v>877.38</v>
      </c>
      <c r="E11129">
        <v>217.56</v>
      </c>
      <c r="F11129" t="s">
        <v>7</v>
      </c>
      <c r="G11129" t="s">
        <v>11</v>
      </c>
      <c r="H11129" s="5">
        <f>MONTH(Tabela1[[#This Row],[data]])</f>
        <v>4</v>
      </c>
      <c r="I11129">
        <f>YEAR(Tabela1[[#This Row],[data]])</f>
        <v>2026</v>
      </c>
    </row>
    <row r="11130" spans="1:9" x14ac:dyDescent="0.25">
      <c r="A11130" t="s">
        <v>6</v>
      </c>
      <c r="B11130" s="1">
        <v>46121</v>
      </c>
      <c r="C11130">
        <v>17</v>
      </c>
      <c r="D11130">
        <v>828.66</v>
      </c>
      <c r="E11130">
        <v>208.74</v>
      </c>
      <c r="F11130" t="s">
        <v>7</v>
      </c>
      <c r="G11130" t="s">
        <v>11</v>
      </c>
      <c r="H11130" s="5">
        <f>MONTH(Tabela1[[#This Row],[data]])</f>
        <v>4</v>
      </c>
      <c r="I11130">
        <f>YEAR(Tabela1[[#This Row],[data]])</f>
        <v>2026</v>
      </c>
    </row>
    <row r="11131" spans="1:9" x14ac:dyDescent="0.25">
      <c r="A11131" t="s">
        <v>6</v>
      </c>
      <c r="B11131" s="1">
        <v>46121</v>
      </c>
      <c r="C11131">
        <v>18</v>
      </c>
      <c r="D11131">
        <v>779.1</v>
      </c>
      <c r="E11131">
        <v>181.44</v>
      </c>
      <c r="F11131" t="s">
        <v>7</v>
      </c>
      <c r="G11131" t="s">
        <v>11</v>
      </c>
      <c r="H11131" s="5">
        <f>MONTH(Tabela1[[#This Row],[data]])</f>
        <v>4</v>
      </c>
      <c r="I11131">
        <f>YEAR(Tabela1[[#This Row],[data]])</f>
        <v>2026</v>
      </c>
    </row>
    <row r="11132" spans="1:9" x14ac:dyDescent="0.25">
      <c r="A11132" t="s">
        <v>6</v>
      </c>
      <c r="B11132" s="1">
        <v>46121</v>
      </c>
      <c r="C11132">
        <v>19</v>
      </c>
      <c r="D11132">
        <v>749.28</v>
      </c>
      <c r="E11132">
        <v>144.47999999999999</v>
      </c>
      <c r="F11132" t="s">
        <v>7</v>
      </c>
      <c r="G11132" t="s">
        <v>11</v>
      </c>
      <c r="H11132" s="5">
        <f>MONTH(Tabela1[[#This Row],[data]])</f>
        <v>4</v>
      </c>
      <c r="I11132">
        <f>YEAR(Tabela1[[#This Row],[data]])</f>
        <v>2026</v>
      </c>
    </row>
    <row r="11133" spans="1:9" x14ac:dyDescent="0.25">
      <c r="A11133" t="s">
        <v>6</v>
      </c>
      <c r="B11133" s="1">
        <v>46121</v>
      </c>
      <c r="C11133">
        <v>20</v>
      </c>
      <c r="D11133">
        <v>739.62</v>
      </c>
      <c r="E11133">
        <v>137.76</v>
      </c>
      <c r="F11133" t="s">
        <v>7</v>
      </c>
      <c r="G11133" t="s">
        <v>11</v>
      </c>
      <c r="H11133" s="5">
        <f>MONTH(Tabela1[[#This Row],[data]])</f>
        <v>4</v>
      </c>
      <c r="I11133">
        <f>YEAR(Tabela1[[#This Row],[data]])</f>
        <v>2026</v>
      </c>
    </row>
    <row r="11134" spans="1:9" x14ac:dyDescent="0.25">
      <c r="A11134" t="s">
        <v>6</v>
      </c>
      <c r="B11134" s="1">
        <v>46121</v>
      </c>
      <c r="C11134">
        <v>21</v>
      </c>
      <c r="D11134">
        <v>691.74</v>
      </c>
      <c r="E11134">
        <v>115.5</v>
      </c>
      <c r="F11134" t="s">
        <v>7</v>
      </c>
      <c r="G11134" t="s">
        <v>11</v>
      </c>
      <c r="H11134" s="5">
        <f>MONTH(Tabela1[[#This Row],[data]])</f>
        <v>4</v>
      </c>
      <c r="I11134">
        <f>YEAR(Tabela1[[#This Row],[data]])</f>
        <v>2026</v>
      </c>
    </row>
    <row r="11135" spans="1:9" x14ac:dyDescent="0.25">
      <c r="A11135" t="s">
        <v>6</v>
      </c>
      <c r="B11135" s="1">
        <v>46121</v>
      </c>
      <c r="C11135">
        <v>22</v>
      </c>
      <c r="D11135">
        <v>538.44000000000005</v>
      </c>
      <c r="E11135">
        <v>25.2</v>
      </c>
      <c r="F11135" t="s">
        <v>7</v>
      </c>
      <c r="G11135" t="s">
        <v>11</v>
      </c>
      <c r="H11135" s="5">
        <f>MONTH(Tabela1[[#This Row],[data]])</f>
        <v>4</v>
      </c>
      <c r="I11135">
        <f>YEAR(Tabela1[[#This Row],[data]])</f>
        <v>2026</v>
      </c>
    </row>
    <row r="11136" spans="1:9" x14ac:dyDescent="0.25">
      <c r="A11136" t="s">
        <v>6</v>
      </c>
      <c r="B11136" s="1">
        <v>46121</v>
      </c>
      <c r="C11136">
        <v>23</v>
      </c>
      <c r="D11136">
        <v>358.68</v>
      </c>
      <c r="E11136">
        <v>0</v>
      </c>
      <c r="F11136" t="s">
        <v>7</v>
      </c>
      <c r="G11136" t="s">
        <v>11</v>
      </c>
      <c r="H11136" s="5">
        <f>MONTH(Tabela1[[#This Row],[data]])</f>
        <v>4</v>
      </c>
      <c r="I11136">
        <f>YEAR(Tabela1[[#This Row],[data]])</f>
        <v>2026</v>
      </c>
    </row>
    <row r="11137" spans="1:9" x14ac:dyDescent="0.25">
      <c r="A11137" t="s">
        <v>6</v>
      </c>
      <c r="B11137" s="1">
        <v>46121</v>
      </c>
      <c r="C11137">
        <v>24</v>
      </c>
      <c r="D11137">
        <v>274.26</v>
      </c>
      <c r="E11137">
        <v>0</v>
      </c>
      <c r="F11137" t="s">
        <v>7</v>
      </c>
      <c r="G11137" t="s">
        <v>11</v>
      </c>
      <c r="H11137" s="5">
        <f>MONTH(Tabela1[[#This Row],[data]])</f>
        <v>4</v>
      </c>
      <c r="I11137">
        <f>YEAR(Tabela1[[#This Row],[data]])</f>
        <v>2026</v>
      </c>
    </row>
    <row r="11138" spans="1:9" x14ac:dyDescent="0.25">
      <c r="A11138" t="s">
        <v>6</v>
      </c>
      <c r="B11138" s="1">
        <v>46122</v>
      </c>
      <c r="C11138">
        <v>1</v>
      </c>
      <c r="D11138">
        <v>247.8</v>
      </c>
      <c r="E11138">
        <v>0</v>
      </c>
      <c r="F11138" t="s">
        <v>7</v>
      </c>
      <c r="G11138" t="s">
        <v>11</v>
      </c>
      <c r="H11138" s="5">
        <f>MONTH(Tabela1[[#This Row],[data]])</f>
        <v>4</v>
      </c>
      <c r="I11138">
        <f>YEAR(Tabela1[[#This Row],[data]])</f>
        <v>2026</v>
      </c>
    </row>
    <row r="11139" spans="1:9" x14ac:dyDescent="0.25">
      <c r="A11139" t="s">
        <v>6</v>
      </c>
      <c r="B11139" s="1">
        <v>46122</v>
      </c>
      <c r="C11139">
        <v>2</v>
      </c>
      <c r="D11139">
        <v>230.58</v>
      </c>
      <c r="E11139">
        <v>0</v>
      </c>
      <c r="F11139" t="s">
        <v>7</v>
      </c>
      <c r="G11139" t="s">
        <v>11</v>
      </c>
      <c r="H11139" s="5">
        <f>MONTH(Tabela1[[#This Row],[data]])</f>
        <v>4</v>
      </c>
      <c r="I11139">
        <f>YEAR(Tabela1[[#This Row],[data]])</f>
        <v>2026</v>
      </c>
    </row>
    <row r="11140" spans="1:9" x14ac:dyDescent="0.25">
      <c r="A11140" t="s">
        <v>6</v>
      </c>
      <c r="B11140" s="1">
        <v>46122</v>
      </c>
      <c r="C11140">
        <v>3</v>
      </c>
      <c r="D11140">
        <v>228.9</v>
      </c>
      <c r="E11140">
        <v>0</v>
      </c>
      <c r="F11140" t="s">
        <v>7</v>
      </c>
      <c r="G11140" t="s">
        <v>11</v>
      </c>
      <c r="H11140" s="5">
        <f>MONTH(Tabela1[[#This Row],[data]])</f>
        <v>4</v>
      </c>
      <c r="I11140">
        <f>YEAR(Tabela1[[#This Row],[data]])</f>
        <v>2026</v>
      </c>
    </row>
    <row r="11141" spans="1:9" x14ac:dyDescent="0.25">
      <c r="A11141" t="s">
        <v>6</v>
      </c>
      <c r="B11141" s="1">
        <v>46122</v>
      </c>
      <c r="C11141">
        <v>4</v>
      </c>
      <c r="D11141">
        <v>228.06</v>
      </c>
      <c r="E11141">
        <v>0</v>
      </c>
      <c r="F11141" t="s">
        <v>7</v>
      </c>
      <c r="G11141" t="s">
        <v>11</v>
      </c>
      <c r="H11141" s="5">
        <f>MONTH(Tabela1[[#This Row],[data]])</f>
        <v>4</v>
      </c>
      <c r="I11141">
        <f>YEAR(Tabela1[[#This Row],[data]])</f>
        <v>2026</v>
      </c>
    </row>
    <row r="11142" spans="1:9" x14ac:dyDescent="0.25">
      <c r="A11142" t="s">
        <v>6</v>
      </c>
      <c r="B11142" s="1">
        <v>46122</v>
      </c>
      <c r="C11142">
        <v>5</v>
      </c>
      <c r="D11142">
        <v>229.74</v>
      </c>
      <c r="E11142">
        <v>0</v>
      </c>
      <c r="F11142" t="s">
        <v>7</v>
      </c>
      <c r="G11142" t="s">
        <v>11</v>
      </c>
      <c r="H11142" s="5">
        <f>MONTH(Tabela1[[#This Row],[data]])</f>
        <v>4</v>
      </c>
      <c r="I11142">
        <f>YEAR(Tabela1[[#This Row],[data]])</f>
        <v>2026</v>
      </c>
    </row>
    <row r="11143" spans="1:9" x14ac:dyDescent="0.25">
      <c r="A11143" t="s">
        <v>6</v>
      </c>
      <c r="B11143" s="1">
        <v>46122</v>
      </c>
      <c r="C11143">
        <v>6</v>
      </c>
      <c r="D11143">
        <v>231</v>
      </c>
      <c r="E11143">
        <v>0</v>
      </c>
      <c r="F11143" t="s">
        <v>7</v>
      </c>
      <c r="G11143" t="s">
        <v>11</v>
      </c>
      <c r="H11143" s="5">
        <f>MONTH(Tabela1[[#This Row],[data]])</f>
        <v>4</v>
      </c>
      <c r="I11143">
        <f>YEAR(Tabela1[[#This Row],[data]])</f>
        <v>2026</v>
      </c>
    </row>
    <row r="11144" spans="1:9" x14ac:dyDescent="0.25">
      <c r="A11144" t="s">
        <v>6</v>
      </c>
      <c r="B11144" s="1">
        <v>46122</v>
      </c>
      <c r="C11144">
        <v>7</v>
      </c>
      <c r="D11144">
        <v>235.2</v>
      </c>
      <c r="E11144">
        <v>0</v>
      </c>
      <c r="F11144" t="s">
        <v>7</v>
      </c>
      <c r="G11144" t="s">
        <v>11</v>
      </c>
      <c r="H11144" s="5">
        <f>MONTH(Tabela1[[#This Row],[data]])</f>
        <v>4</v>
      </c>
      <c r="I11144">
        <f>YEAR(Tabela1[[#This Row],[data]])</f>
        <v>2026</v>
      </c>
    </row>
    <row r="11145" spans="1:9" x14ac:dyDescent="0.25">
      <c r="A11145" t="s">
        <v>6</v>
      </c>
      <c r="B11145" s="1">
        <v>46122</v>
      </c>
      <c r="C11145">
        <v>8</v>
      </c>
      <c r="D11145">
        <v>239.82</v>
      </c>
      <c r="E11145">
        <v>0</v>
      </c>
      <c r="F11145" t="s">
        <v>7</v>
      </c>
      <c r="G11145" t="s">
        <v>11</v>
      </c>
      <c r="H11145" s="5">
        <f>MONTH(Tabela1[[#This Row],[data]])</f>
        <v>4</v>
      </c>
      <c r="I11145">
        <f>YEAR(Tabela1[[#This Row],[data]])</f>
        <v>2026</v>
      </c>
    </row>
    <row r="11146" spans="1:9" x14ac:dyDescent="0.25">
      <c r="A11146" t="s">
        <v>6</v>
      </c>
      <c r="B11146" s="1">
        <v>46122</v>
      </c>
      <c r="C11146">
        <v>9</v>
      </c>
      <c r="D11146">
        <v>375.06</v>
      </c>
      <c r="E11146">
        <v>0.84</v>
      </c>
      <c r="F11146" t="s">
        <v>7</v>
      </c>
      <c r="G11146" t="s">
        <v>11</v>
      </c>
      <c r="H11146" s="5">
        <f>MONTH(Tabela1[[#This Row],[data]])</f>
        <v>4</v>
      </c>
      <c r="I11146">
        <f>YEAR(Tabela1[[#This Row],[data]])</f>
        <v>2026</v>
      </c>
    </row>
    <row r="11147" spans="1:9" x14ac:dyDescent="0.25">
      <c r="A11147" t="s">
        <v>6</v>
      </c>
      <c r="B11147" s="1">
        <v>46122</v>
      </c>
      <c r="C11147">
        <v>10</v>
      </c>
      <c r="D11147">
        <v>490.98</v>
      </c>
      <c r="E11147">
        <v>52.92</v>
      </c>
      <c r="F11147" t="s">
        <v>7</v>
      </c>
      <c r="G11147" t="s">
        <v>11</v>
      </c>
      <c r="H11147" s="5">
        <f>MONTH(Tabela1[[#This Row],[data]])</f>
        <v>4</v>
      </c>
      <c r="I11147">
        <f>YEAR(Tabela1[[#This Row],[data]])</f>
        <v>2026</v>
      </c>
    </row>
    <row r="11148" spans="1:9" x14ac:dyDescent="0.25">
      <c r="A11148" t="s">
        <v>6</v>
      </c>
      <c r="B11148" s="1">
        <v>46122</v>
      </c>
      <c r="C11148">
        <v>11</v>
      </c>
      <c r="D11148">
        <v>841.68</v>
      </c>
      <c r="E11148">
        <v>199.08</v>
      </c>
      <c r="F11148" t="s">
        <v>7</v>
      </c>
      <c r="G11148" t="s">
        <v>11</v>
      </c>
      <c r="H11148" s="5">
        <f>MONTH(Tabela1[[#This Row],[data]])</f>
        <v>4</v>
      </c>
      <c r="I11148">
        <f>YEAR(Tabela1[[#This Row],[data]])</f>
        <v>2026</v>
      </c>
    </row>
    <row r="11149" spans="1:9" x14ac:dyDescent="0.25">
      <c r="A11149" t="s">
        <v>6</v>
      </c>
      <c r="B11149" s="1">
        <v>46122</v>
      </c>
      <c r="C11149">
        <v>12</v>
      </c>
      <c r="D11149">
        <v>794.22</v>
      </c>
      <c r="E11149">
        <v>188.16</v>
      </c>
      <c r="F11149" t="s">
        <v>7</v>
      </c>
      <c r="G11149" t="s">
        <v>11</v>
      </c>
      <c r="H11149" s="5">
        <f>MONTH(Tabela1[[#This Row],[data]])</f>
        <v>4</v>
      </c>
      <c r="I11149">
        <f>YEAR(Tabela1[[#This Row],[data]])</f>
        <v>2026</v>
      </c>
    </row>
    <row r="11150" spans="1:9" x14ac:dyDescent="0.25">
      <c r="A11150" t="s">
        <v>6</v>
      </c>
      <c r="B11150" s="1">
        <v>46122</v>
      </c>
      <c r="C11150">
        <v>13</v>
      </c>
      <c r="D11150">
        <v>782.46</v>
      </c>
      <c r="E11150">
        <v>196.98</v>
      </c>
      <c r="F11150" t="s">
        <v>7</v>
      </c>
      <c r="G11150" t="s">
        <v>11</v>
      </c>
      <c r="H11150" s="5">
        <f>MONTH(Tabela1[[#This Row],[data]])</f>
        <v>4</v>
      </c>
      <c r="I11150">
        <f>YEAR(Tabela1[[#This Row],[data]])</f>
        <v>2026</v>
      </c>
    </row>
    <row r="11151" spans="1:9" x14ac:dyDescent="0.25">
      <c r="A11151" t="s">
        <v>6</v>
      </c>
      <c r="B11151" s="1">
        <v>46122</v>
      </c>
      <c r="C11151">
        <v>14</v>
      </c>
      <c r="D11151">
        <v>786.66</v>
      </c>
      <c r="E11151">
        <v>172.62</v>
      </c>
      <c r="F11151" t="s">
        <v>7</v>
      </c>
      <c r="G11151" t="s">
        <v>11</v>
      </c>
      <c r="H11151" s="5">
        <f>MONTH(Tabela1[[#This Row],[data]])</f>
        <v>4</v>
      </c>
      <c r="I11151">
        <f>YEAR(Tabela1[[#This Row],[data]])</f>
        <v>2026</v>
      </c>
    </row>
    <row r="11152" spans="1:9" x14ac:dyDescent="0.25">
      <c r="A11152" t="s">
        <v>6</v>
      </c>
      <c r="B11152" s="1">
        <v>46122</v>
      </c>
      <c r="C11152">
        <v>15</v>
      </c>
      <c r="D11152">
        <v>767.34</v>
      </c>
      <c r="E11152">
        <v>147.41999999999999</v>
      </c>
      <c r="F11152" t="s">
        <v>7</v>
      </c>
      <c r="G11152" t="s">
        <v>11</v>
      </c>
      <c r="H11152" s="5">
        <f>MONTH(Tabela1[[#This Row],[data]])</f>
        <v>4</v>
      </c>
      <c r="I11152">
        <f>YEAR(Tabela1[[#This Row],[data]])</f>
        <v>2026</v>
      </c>
    </row>
    <row r="11153" spans="1:9" x14ac:dyDescent="0.25">
      <c r="A11153" t="s">
        <v>6</v>
      </c>
      <c r="B11153" s="1">
        <v>46122</v>
      </c>
      <c r="C11153">
        <v>16</v>
      </c>
      <c r="D11153">
        <v>758.52</v>
      </c>
      <c r="E11153">
        <v>153.30000000000001</v>
      </c>
      <c r="F11153" t="s">
        <v>7</v>
      </c>
      <c r="G11153" t="s">
        <v>11</v>
      </c>
      <c r="H11153" s="5">
        <f>MONTH(Tabela1[[#This Row],[data]])</f>
        <v>4</v>
      </c>
      <c r="I11153">
        <f>YEAR(Tabela1[[#This Row],[data]])</f>
        <v>2026</v>
      </c>
    </row>
    <row r="11154" spans="1:9" x14ac:dyDescent="0.25">
      <c r="A11154" t="s">
        <v>6</v>
      </c>
      <c r="B11154" s="1">
        <v>46122</v>
      </c>
      <c r="C11154">
        <v>17</v>
      </c>
      <c r="D11154">
        <v>771.54</v>
      </c>
      <c r="E11154">
        <v>156.24</v>
      </c>
      <c r="F11154" t="s">
        <v>7</v>
      </c>
      <c r="G11154" t="s">
        <v>11</v>
      </c>
      <c r="H11154" s="5">
        <f>MONTH(Tabela1[[#This Row],[data]])</f>
        <v>4</v>
      </c>
      <c r="I11154">
        <f>YEAR(Tabela1[[#This Row],[data]])</f>
        <v>2026</v>
      </c>
    </row>
    <row r="11155" spans="1:9" x14ac:dyDescent="0.25">
      <c r="A11155" t="s">
        <v>6</v>
      </c>
      <c r="B11155" s="1">
        <v>46122</v>
      </c>
      <c r="C11155">
        <v>18</v>
      </c>
      <c r="D11155">
        <v>760.2</v>
      </c>
      <c r="E11155">
        <v>135.66</v>
      </c>
      <c r="F11155" t="s">
        <v>7</v>
      </c>
      <c r="G11155" t="s">
        <v>11</v>
      </c>
      <c r="H11155" s="5">
        <f>MONTH(Tabela1[[#This Row],[data]])</f>
        <v>4</v>
      </c>
      <c r="I11155">
        <f>YEAR(Tabela1[[#This Row],[data]])</f>
        <v>2026</v>
      </c>
    </row>
    <row r="11156" spans="1:9" x14ac:dyDescent="0.25">
      <c r="A11156" t="s">
        <v>6</v>
      </c>
      <c r="B11156" s="1">
        <v>46122</v>
      </c>
      <c r="C11156">
        <v>19</v>
      </c>
      <c r="D11156">
        <v>732.06</v>
      </c>
      <c r="E11156">
        <v>103.74</v>
      </c>
      <c r="F11156" t="s">
        <v>7</v>
      </c>
      <c r="G11156" t="s">
        <v>11</v>
      </c>
      <c r="H11156" s="5">
        <f>MONTH(Tabela1[[#This Row],[data]])</f>
        <v>4</v>
      </c>
      <c r="I11156">
        <f>YEAR(Tabela1[[#This Row],[data]])</f>
        <v>2026</v>
      </c>
    </row>
    <row r="11157" spans="1:9" x14ac:dyDescent="0.25">
      <c r="A11157" t="s">
        <v>6</v>
      </c>
      <c r="B11157" s="1">
        <v>46122</v>
      </c>
      <c r="C11157">
        <v>20</v>
      </c>
      <c r="D11157">
        <v>726.18</v>
      </c>
      <c r="E11157">
        <v>115.5</v>
      </c>
      <c r="F11157" t="s">
        <v>7</v>
      </c>
      <c r="G11157" t="s">
        <v>11</v>
      </c>
      <c r="H11157" s="5">
        <f>MONTH(Tabela1[[#This Row],[data]])</f>
        <v>4</v>
      </c>
      <c r="I11157">
        <f>YEAR(Tabela1[[#This Row],[data]])</f>
        <v>2026</v>
      </c>
    </row>
    <row r="11158" spans="1:9" x14ac:dyDescent="0.25">
      <c r="A11158" t="s">
        <v>6</v>
      </c>
      <c r="B11158" s="1">
        <v>46122</v>
      </c>
      <c r="C11158">
        <v>21</v>
      </c>
      <c r="D11158">
        <v>721.14</v>
      </c>
      <c r="E11158">
        <v>91.98</v>
      </c>
      <c r="F11158" t="s">
        <v>7</v>
      </c>
      <c r="G11158" t="s">
        <v>11</v>
      </c>
      <c r="H11158" s="5">
        <f>MONTH(Tabela1[[#This Row],[data]])</f>
        <v>4</v>
      </c>
      <c r="I11158">
        <f>YEAR(Tabela1[[#This Row],[data]])</f>
        <v>2026</v>
      </c>
    </row>
    <row r="11159" spans="1:9" x14ac:dyDescent="0.25">
      <c r="A11159" t="s">
        <v>6</v>
      </c>
      <c r="B11159" s="1">
        <v>46122</v>
      </c>
      <c r="C11159">
        <v>22</v>
      </c>
      <c r="D11159">
        <v>701.82</v>
      </c>
      <c r="E11159">
        <v>99.96</v>
      </c>
      <c r="F11159" t="s">
        <v>7</v>
      </c>
      <c r="G11159" t="s">
        <v>11</v>
      </c>
      <c r="H11159" s="5">
        <f>MONTH(Tabela1[[#This Row],[data]])</f>
        <v>4</v>
      </c>
      <c r="I11159">
        <f>YEAR(Tabela1[[#This Row],[data]])</f>
        <v>2026</v>
      </c>
    </row>
    <row r="11160" spans="1:9" x14ac:dyDescent="0.25">
      <c r="A11160" t="s">
        <v>6</v>
      </c>
      <c r="B11160" s="1">
        <v>46122</v>
      </c>
      <c r="C11160">
        <v>23</v>
      </c>
      <c r="D11160">
        <v>399</v>
      </c>
      <c r="E11160">
        <v>10.92</v>
      </c>
      <c r="F11160" t="s">
        <v>7</v>
      </c>
      <c r="G11160" t="s">
        <v>11</v>
      </c>
      <c r="H11160" s="5">
        <f>MONTH(Tabela1[[#This Row],[data]])</f>
        <v>4</v>
      </c>
      <c r="I11160">
        <f>YEAR(Tabela1[[#This Row],[data]])</f>
        <v>2026</v>
      </c>
    </row>
    <row r="11161" spans="1:9" x14ac:dyDescent="0.25">
      <c r="A11161" t="s">
        <v>6</v>
      </c>
      <c r="B11161" s="1">
        <v>46122</v>
      </c>
      <c r="C11161">
        <v>24</v>
      </c>
      <c r="D11161">
        <v>265.44</v>
      </c>
      <c r="E11161">
        <v>0</v>
      </c>
      <c r="F11161" t="s">
        <v>7</v>
      </c>
      <c r="G11161" t="s">
        <v>11</v>
      </c>
      <c r="H11161" s="5">
        <f>MONTH(Tabela1[[#This Row],[data]])</f>
        <v>4</v>
      </c>
      <c r="I11161">
        <f>YEAR(Tabela1[[#This Row],[data]])</f>
        <v>2026</v>
      </c>
    </row>
    <row r="11162" spans="1:9" x14ac:dyDescent="0.25">
      <c r="A11162" t="s">
        <v>6</v>
      </c>
      <c r="B11162" s="1">
        <v>46123</v>
      </c>
      <c r="C11162">
        <v>1</v>
      </c>
      <c r="D11162">
        <v>238.98</v>
      </c>
      <c r="E11162">
        <v>0</v>
      </c>
      <c r="F11162" t="s">
        <v>7</v>
      </c>
      <c r="G11162" t="s">
        <v>11</v>
      </c>
      <c r="H11162" s="5">
        <f>MONTH(Tabela1[[#This Row],[data]])</f>
        <v>4</v>
      </c>
      <c r="I11162">
        <f>YEAR(Tabela1[[#This Row],[data]])</f>
        <v>2026</v>
      </c>
    </row>
    <row r="11163" spans="1:9" x14ac:dyDescent="0.25">
      <c r="A11163" t="s">
        <v>6</v>
      </c>
      <c r="B11163" s="1">
        <v>46123</v>
      </c>
      <c r="C11163">
        <v>2</v>
      </c>
      <c r="D11163">
        <v>228.9</v>
      </c>
      <c r="E11163">
        <v>0</v>
      </c>
      <c r="F11163" t="s">
        <v>7</v>
      </c>
      <c r="G11163" t="s">
        <v>11</v>
      </c>
      <c r="H11163" s="5">
        <f>MONTH(Tabela1[[#This Row],[data]])</f>
        <v>4</v>
      </c>
      <c r="I11163">
        <f>YEAR(Tabela1[[#This Row],[data]])</f>
        <v>2026</v>
      </c>
    </row>
    <row r="11164" spans="1:9" x14ac:dyDescent="0.25">
      <c r="A11164" t="s">
        <v>6</v>
      </c>
      <c r="B11164" s="1">
        <v>46123</v>
      </c>
      <c r="C11164">
        <v>3</v>
      </c>
      <c r="D11164">
        <v>218.82</v>
      </c>
      <c r="E11164">
        <v>0</v>
      </c>
      <c r="F11164" t="s">
        <v>7</v>
      </c>
      <c r="G11164" t="s">
        <v>11</v>
      </c>
      <c r="H11164" s="5">
        <f>MONTH(Tabela1[[#This Row],[data]])</f>
        <v>4</v>
      </c>
      <c r="I11164">
        <f>YEAR(Tabela1[[#This Row],[data]])</f>
        <v>2026</v>
      </c>
    </row>
    <row r="11165" spans="1:9" x14ac:dyDescent="0.25">
      <c r="A11165" t="s">
        <v>6</v>
      </c>
      <c r="B11165" s="1">
        <v>46123</v>
      </c>
      <c r="C11165">
        <v>4</v>
      </c>
      <c r="D11165">
        <v>218.82</v>
      </c>
      <c r="E11165">
        <v>0</v>
      </c>
      <c r="F11165" t="s">
        <v>7</v>
      </c>
      <c r="G11165" t="s">
        <v>11</v>
      </c>
      <c r="H11165" s="5">
        <f>MONTH(Tabela1[[#This Row],[data]])</f>
        <v>4</v>
      </c>
      <c r="I11165">
        <f>YEAR(Tabela1[[#This Row],[data]])</f>
        <v>2026</v>
      </c>
    </row>
    <row r="11166" spans="1:9" x14ac:dyDescent="0.25">
      <c r="A11166" t="s">
        <v>6</v>
      </c>
      <c r="B11166" s="1">
        <v>46123</v>
      </c>
      <c r="C11166">
        <v>5</v>
      </c>
      <c r="D11166">
        <v>225.96</v>
      </c>
      <c r="E11166">
        <v>0</v>
      </c>
      <c r="F11166" t="s">
        <v>7</v>
      </c>
      <c r="G11166" t="s">
        <v>11</v>
      </c>
      <c r="H11166" s="5">
        <f>MONTH(Tabela1[[#This Row],[data]])</f>
        <v>4</v>
      </c>
      <c r="I11166">
        <f>YEAR(Tabela1[[#This Row],[data]])</f>
        <v>2026</v>
      </c>
    </row>
    <row r="11167" spans="1:9" x14ac:dyDescent="0.25">
      <c r="A11167" t="s">
        <v>6</v>
      </c>
      <c r="B11167" s="1">
        <v>46123</v>
      </c>
      <c r="C11167">
        <v>6</v>
      </c>
      <c r="D11167">
        <v>221.76</v>
      </c>
      <c r="E11167">
        <v>0</v>
      </c>
      <c r="F11167" t="s">
        <v>7</v>
      </c>
      <c r="G11167" t="s">
        <v>11</v>
      </c>
      <c r="H11167" s="5">
        <f>MONTH(Tabela1[[#This Row],[data]])</f>
        <v>4</v>
      </c>
      <c r="I11167">
        <f>YEAR(Tabela1[[#This Row],[data]])</f>
        <v>2026</v>
      </c>
    </row>
    <row r="11168" spans="1:9" x14ac:dyDescent="0.25">
      <c r="A11168" t="s">
        <v>6</v>
      </c>
      <c r="B11168" s="1">
        <v>46123</v>
      </c>
      <c r="C11168">
        <v>7</v>
      </c>
      <c r="D11168">
        <v>210.84</v>
      </c>
      <c r="E11168">
        <v>0</v>
      </c>
      <c r="F11168" t="s">
        <v>7</v>
      </c>
      <c r="G11168" t="s">
        <v>11</v>
      </c>
      <c r="H11168" s="5">
        <f>MONTH(Tabela1[[#This Row],[data]])</f>
        <v>4</v>
      </c>
      <c r="I11168">
        <f>YEAR(Tabela1[[#This Row],[data]])</f>
        <v>2026</v>
      </c>
    </row>
    <row r="11169" spans="1:9" x14ac:dyDescent="0.25">
      <c r="A11169" t="s">
        <v>6</v>
      </c>
      <c r="B11169" s="1">
        <v>46123</v>
      </c>
      <c r="C11169">
        <v>8</v>
      </c>
      <c r="D11169">
        <v>217.14</v>
      </c>
      <c r="E11169">
        <v>0</v>
      </c>
      <c r="F11169" t="s">
        <v>7</v>
      </c>
      <c r="G11169" t="s">
        <v>11</v>
      </c>
      <c r="H11169" s="5">
        <f>MONTH(Tabela1[[#This Row],[data]])</f>
        <v>4</v>
      </c>
      <c r="I11169">
        <f>YEAR(Tabela1[[#This Row],[data]])</f>
        <v>2026</v>
      </c>
    </row>
    <row r="11170" spans="1:9" x14ac:dyDescent="0.25">
      <c r="A11170" t="s">
        <v>6</v>
      </c>
      <c r="B11170" s="1">
        <v>46123</v>
      </c>
      <c r="C11170">
        <v>9</v>
      </c>
      <c r="D11170">
        <v>329.7</v>
      </c>
      <c r="E11170">
        <v>0</v>
      </c>
      <c r="F11170" t="s">
        <v>7</v>
      </c>
      <c r="G11170" t="s">
        <v>11</v>
      </c>
      <c r="H11170" s="5">
        <f>MONTH(Tabela1[[#This Row],[data]])</f>
        <v>4</v>
      </c>
      <c r="I11170">
        <f>YEAR(Tabela1[[#This Row],[data]])</f>
        <v>2026</v>
      </c>
    </row>
    <row r="11171" spans="1:9" x14ac:dyDescent="0.25">
      <c r="A11171" t="s">
        <v>6</v>
      </c>
      <c r="B11171" s="1">
        <v>46123</v>
      </c>
      <c r="C11171">
        <v>10</v>
      </c>
      <c r="D11171">
        <v>442.26</v>
      </c>
      <c r="E11171">
        <v>20.58</v>
      </c>
      <c r="F11171" t="s">
        <v>7</v>
      </c>
      <c r="G11171" t="s">
        <v>11</v>
      </c>
      <c r="H11171" s="5">
        <f>MONTH(Tabela1[[#This Row],[data]])</f>
        <v>4</v>
      </c>
      <c r="I11171">
        <f>YEAR(Tabela1[[#This Row],[data]])</f>
        <v>2026</v>
      </c>
    </row>
    <row r="11172" spans="1:9" x14ac:dyDescent="0.25">
      <c r="A11172" t="s">
        <v>6</v>
      </c>
      <c r="B11172" s="1">
        <v>46123</v>
      </c>
      <c r="C11172">
        <v>11</v>
      </c>
      <c r="D11172">
        <v>771.12</v>
      </c>
      <c r="E11172">
        <v>154.56</v>
      </c>
      <c r="F11172" t="s">
        <v>7</v>
      </c>
      <c r="G11172" t="s">
        <v>11</v>
      </c>
      <c r="H11172" s="5">
        <f>MONTH(Tabela1[[#This Row],[data]])</f>
        <v>4</v>
      </c>
      <c r="I11172">
        <f>YEAR(Tabela1[[#This Row],[data]])</f>
        <v>2026</v>
      </c>
    </row>
    <row r="11173" spans="1:9" x14ac:dyDescent="0.25">
      <c r="A11173" t="s">
        <v>6</v>
      </c>
      <c r="B11173" s="1">
        <v>46123</v>
      </c>
      <c r="C11173">
        <v>12</v>
      </c>
      <c r="D11173">
        <v>787.5</v>
      </c>
      <c r="E11173">
        <v>161.69999999999999</v>
      </c>
      <c r="F11173" t="s">
        <v>7</v>
      </c>
      <c r="G11173" t="s">
        <v>11</v>
      </c>
      <c r="H11173" s="5">
        <f>MONTH(Tabela1[[#This Row],[data]])</f>
        <v>4</v>
      </c>
      <c r="I11173">
        <f>YEAR(Tabela1[[#This Row],[data]])</f>
        <v>2026</v>
      </c>
    </row>
    <row r="11174" spans="1:9" x14ac:dyDescent="0.25">
      <c r="A11174" t="s">
        <v>6</v>
      </c>
      <c r="B11174" s="1">
        <v>46123</v>
      </c>
      <c r="C11174">
        <v>13</v>
      </c>
      <c r="D11174">
        <v>792.96</v>
      </c>
      <c r="E11174">
        <v>165.48</v>
      </c>
      <c r="F11174" t="s">
        <v>7</v>
      </c>
      <c r="G11174" t="s">
        <v>11</v>
      </c>
      <c r="H11174" s="5">
        <f>MONTH(Tabela1[[#This Row],[data]])</f>
        <v>4</v>
      </c>
      <c r="I11174">
        <f>YEAR(Tabela1[[#This Row],[data]])</f>
        <v>2026</v>
      </c>
    </row>
    <row r="11175" spans="1:9" x14ac:dyDescent="0.25">
      <c r="A11175" t="s">
        <v>6</v>
      </c>
      <c r="B11175" s="1">
        <v>46123</v>
      </c>
      <c r="C11175">
        <v>14</v>
      </c>
      <c r="D11175">
        <v>785.4</v>
      </c>
      <c r="E11175">
        <v>166.32</v>
      </c>
      <c r="F11175" t="s">
        <v>7</v>
      </c>
      <c r="G11175" t="s">
        <v>11</v>
      </c>
      <c r="H11175" s="5">
        <f>MONTH(Tabela1[[#This Row],[data]])</f>
        <v>4</v>
      </c>
      <c r="I11175">
        <f>YEAR(Tabela1[[#This Row],[data]])</f>
        <v>2026</v>
      </c>
    </row>
    <row r="11176" spans="1:9" x14ac:dyDescent="0.25">
      <c r="A11176" t="s">
        <v>6</v>
      </c>
      <c r="B11176" s="1">
        <v>46123</v>
      </c>
      <c r="C11176">
        <v>15</v>
      </c>
      <c r="D11176">
        <v>777</v>
      </c>
      <c r="E11176">
        <v>161.28</v>
      </c>
      <c r="F11176" t="s">
        <v>7</v>
      </c>
      <c r="G11176" t="s">
        <v>11</v>
      </c>
      <c r="H11176" s="5">
        <f>MONTH(Tabela1[[#This Row],[data]])</f>
        <v>4</v>
      </c>
      <c r="I11176">
        <f>YEAR(Tabela1[[#This Row],[data]])</f>
        <v>2026</v>
      </c>
    </row>
    <row r="11177" spans="1:9" x14ac:dyDescent="0.25">
      <c r="A11177" t="s">
        <v>6</v>
      </c>
      <c r="B11177" s="1">
        <v>46123</v>
      </c>
      <c r="C11177">
        <v>16</v>
      </c>
      <c r="D11177">
        <v>773.22</v>
      </c>
      <c r="E11177">
        <v>152.88</v>
      </c>
      <c r="F11177" t="s">
        <v>7</v>
      </c>
      <c r="G11177" t="s">
        <v>11</v>
      </c>
      <c r="H11177" s="5">
        <f>MONTH(Tabela1[[#This Row],[data]])</f>
        <v>4</v>
      </c>
      <c r="I11177">
        <f>YEAR(Tabela1[[#This Row],[data]])</f>
        <v>2026</v>
      </c>
    </row>
    <row r="11178" spans="1:9" x14ac:dyDescent="0.25">
      <c r="A11178" t="s">
        <v>6</v>
      </c>
      <c r="B11178" s="1">
        <v>46123</v>
      </c>
      <c r="C11178">
        <v>17</v>
      </c>
      <c r="D11178">
        <v>765.66</v>
      </c>
      <c r="E11178">
        <v>133.97999999999999</v>
      </c>
      <c r="F11178" t="s">
        <v>7</v>
      </c>
      <c r="G11178" t="s">
        <v>11</v>
      </c>
      <c r="H11178" s="5">
        <f>MONTH(Tabela1[[#This Row],[data]])</f>
        <v>4</v>
      </c>
      <c r="I11178">
        <f>YEAR(Tabela1[[#This Row],[data]])</f>
        <v>2026</v>
      </c>
    </row>
    <row r="11179" spans="1:9" x14ac:dyDescent="0.25">
      <c r="A11179" t="s">
        <v>6</v>
      </c>
      <c r="B11179" s="1">
        <v>46123</v>
      </c>
      <c r="C11179">
        <v>18</v>
      </c>
      <c r="D11179">
        <v>754.32</v>
      </c>
      <c r="E11179">
        <v>145.32</v>
      </c>
      <c r="F11179" t="s">
        <v>7</v>
      </c>
      <c r="G11179" t="s">
        <v>11</v>
      </c>
      <c r="H11179" s="5">
        <f>MONTH(Tabela1[[#This Row],[data]])</f>
        <v>4</v>
      </c>
      <c r="I11179">
        <f>YEAR(Tabela1[[#This Row],[data]])</f>
        <v>2026</v>
      </c>
    </row>
    <row r="11180" spans="1:9" x14ac:dyDescent="0.25">
      <c r="A11180" t="s">
        <v>6</v>
      </c>
      <c r="B11180" s="1">
        <v>46123</v>
      </c>
      <c r="C11180">
        <v>19</v>
      </c>
      <c r="D11180">
        <v>763.56</v>
      </c>
      <c r="E11180">
        <v>123.48</v>
      </c>
      <c r="F11180" t="s">
        <v>7</v>
      </c>
      <c r="G11180" t="s">
        <v>11</v>
      </c>
      <c r="H11180" s="5">
        <f>MONTH(Tabela1[[#This Row],[data]])</f>
        <v>4</v>
      </c>
      <c r="I11180">
        <f>YEAR(Tabela1[[#This Row],[data]])</f>
        <v>2026</v>
      </c>
    </row>
    <row r="11181" spans="1:9" x14ac:dyDescent="0.25">
      <c r="A11181" t="s">
        <v>6</v>
      </c>
      <c r="B11181" s="1">
        <v>46123</v>
      </c>
      <c r="C11181">
        <v>20</v>
      </c>
      <c r="D11181">
        <v>783.3</v>
      </c>
      <c r="E11181">
        <v>142.38</v>
      </c>
      <c r="F11181" t="s">
        <v>7</v>
      </c>
      <c r="G11181" t="s">
        <v>11</v>
      </c>
      <c r="H11181" s="5">
        <f>MONTH(Tabela1[[#This Row],[data]])</f>
        <v>4</v>
      </c>
      <c r="I11181">
        <f>YEAR(Tabela1[[#This Row],[data]])</f>
        <v>2026</v>
      </c>
    </row>
    <row r="11182" spans="1:9" x14ac:dyDescent="0.25">
      <c r="A11182" t="s">
        <v>6</v>
      </c>
      <c r="B11182" s="1">
        <v>46123</v>
      </c>
      <c r="C11182">
        <v>21</v>
      </c>
      <c r="D11182">
        <v>781.2</v>
      </c>
      <c r="E11182">
        <v>145.74</v>
      </c>
      <c r="F11182" t="s">
        <v>7</v>
      </c>
      <c r="G11182" t="s">
        <v>11</v>
      </c>
      <c r="H11182" s="5">
        <f>MONTH(Tabela1[[#This Row],[data]])</f>
        <v>4</v>
      </c>
      <c r="I11182">
        <f>YEAR(Tabela1[[#This Row],[data]])</f>
        <v>2026</v>
      </c>
    </row>
    <row r="11183" spans="1:9" x14ac:dyDescent="0.25">
      <c r="A11183" t="s">
        <v>6</v>
      </c>
      <c r="B11183" s="1">
        <v>46123</v>
      </c>
      <c r="C11183">
        <v>22</v>
      </c>
      <c r="D11183">
        <v>598.91999999999996</v>
      </c>
      <c r="E11183">
        <v>31.5</v>
      </c>
      <c r="F11183" t="s">
        <v>7</v>
      </c>
      <c r="G11183" t="s">
        <v>11</v>
      </c>
      <c r="H11183" s="5">
        <f>MONTH(Tabela1[[#This Row],[data]])</f>
        <v>4</v>
      </c>
      <c r="I11183">
        <f>YEAR(Tabela1[[#This Row],[data]])</f>
        <v>2026</v>
      </c>
    </row>
    <row r="11184" spans="1:9" x14ac:dyDescent="0.25">
      <c r="A11184" t="s">
        <v>6</v>
      </c>
      <c r="B11184" s="1">
        <v>46123</v>
      </c>
      <c r="C11184">
        <v>23</v>
      </c>
      <c r="D11184">
        <v>401.94</v>
      </c>
      <c r="E11184">
        <v>4.62</v>
      </c>
      <c r="F11184" t="s">
        <v>7</v>
      </c>
      <c r="G11184" t="s">
        <v>11</v>
      </c>
      <c r="H11184" s="5">
        <f>MONTH(Tabela1[[#This Row],[data]])</f>
        <v>4</v>
      </c>
      <c r="I11184">
        <f>YEAR(Tabela1[[#This Row],[data]])</f>
        <v>2026</v>
      </c>
    </row>
    <row r="11185" spans="1:9" x14ac:dyDescent="0.25">
      <c r="A11185" t="s">
        <v>6</v>
      </c>
      <c r="B11185" s="1">
        <v>46123</v>
      </c>
      <c r="C11185">
        <v>24</v>
      </c>
      <c r="D11185">
        <v>267.95999999999998</v>
      </c>
      <c r="E11185">
        <v>0</v>
      </c>
      <c r="F11185" t="s">
        <v>7</v>
      </c>
      <c r="G11185" t="s">
        <v>11</v>
      </c>
      <c r="H11185" s="5">
        <f>MONTH(Tabela1[[#This Row],[data]])</f>
        <v>4</v>
      </c>
      <c r="I11185">
        <f>YEAR(Tabela1[[#This Row],[data]])</f>
        <v>2026</v>
      </c>
    </row>
    <row r="11186" spans="1:9" x14ac:dyDescent="0.25">
      <c r="A11186" t="s">
        <v>6</v>
      </c>
      <c r="B11186" s="1">
        <v>46124</v>
      </c>
      <c r="C11186">
        <v>1</v>
      </c>
      <c r="D11186">
        <v>231</v>
      </c>
      <c r="E11186">
        <v>0</v>
      </c>
      <c r="F11186" t="s">
        <v>7</v>
      </c>
      <c r="G11186" t="s">
        <v>11</v>
      </c>
      <c r="H11186" s="5">
        <f>MONTH(Tabela1[[#This Row],[data]])</f>
        <v>4</v>
      </c>
      <c r="I11186">
        <f>YEAR(Tabela1[[#This Row],[data]])</f>
        <v>2026</v>
      </c>
    </row>
    <row r="11187" spans="1:9" x14ac:dyDescent="0.25">
      <c r="A11187" t="s">
        <v>6</v>
      </c>
      <c r="B11187" s="1">
        <v>46124</v>
      </c>
      <c r="C11187">
        <v>2</v>
      </c>
      <c r="D11187">
        <v>224.7</v>
      </c>
      <c r="E11187">
        <v>0</v>
      </c>
      <c r="F11187" t="s">
        <v>7</v>
      </c>
      <c r="G11187" t="s">
        <v>11</v>
      </c>
      <c r="H11187" s="5">
        <f>MONTH(Tabela1[[#This Row],[data]])</f>
        <v>4</v>
      </c>
      <c r="I11187">
        <f>YEAR(Tabela1[[#This Row],[data]])</f>
        <v>2026</v>
      </c>
    </row>
    <row r="11188" spans="1:9" x14ac:dyDescent="0.25">
      <c r="A11188" t="s">
        <v>6</v>
      </c>
      <c r="B11188" s="1">
        <v>46124</v>
      </c>
      <c r="C11188">
        <v>3</v>
      </c>
      <c r="D11188">
        <v>219.24</v>
      </c>
      <c r="E11188">
        <v>0</v>
      </c>
      <c r="F11188" t="s">
        <v>7</v>
      </c>
      <c r="G11188" t="s">
        <v>11</v>
      </c>
      <c r="H11188" s="5">
        <f>MONTH(Tabela1[[#This Row],[data]])</f>
        <v>4</v>
      </c>
      <c r="I11188">
        <f>YEAR(Tabela1[[#This Row],[data]])</f>
        <v>2026</v>
      </c>
    </row>
    <row r="11189" spans="1:9" x14ac:dyDescent="0.25">
      <c r="A11189" t="s">
        <v>6</v>
      </c>
      <c r="B11189" s="1">
        <v>46124</v>
      </c>
      <c r="C11189">
        <v>4</v>
      </c>
      <c r="D11189">
        <v>221.34</v>
      </c>
      <c r="E11189">
        <v>0</v>
      </c>
      <c r="F11189" t="s">
        <v>7</v>
      </c>
      <c r="G11189" t="s">
        <v>11</v>
      </c>
      <c r="H11189" s="5">
        <f>MONTH(Tabela1[[#This Row],[data]])</f>
        <v>4</v>
      </c>
      <c r="I11189">
        <f>YEAR(Tabela1[[#This Row],[data]])</f>
        <v>2026</v>
      </c>
    </row>
    <row r="11190" spans="1:9" x14ac:dyDescent="0.25">
      <c r="A11190" t="s">
        <v>6</v>
      </c>
      <c r="B11190" s="1">
        <v>46124</v>
      </c>
      <c r="C11190">
        <v>5</v>
      </c>
      <c r="D11190">
        <v>229.32</v>
      </c>
      <c r="E11190">
        <v>0</v>
      </c>
      <c r="F11190" t="s">
        <v>7</v>
      </c>
      <c r="G11190" t="s">
        <v>11</v>
      </c>
      <c r="H11190" s="5">
        <f>MONTH(Tabela1[[#This Row],[data]])</f>
        <v>4</v>
      </c>
      <c r="I11190">
        <f>YEAR(Tabela1[[#This Row],[data]])</f>
        <v>2026</v>
      </c>
    </row>
    <row r="11191" spans="1:9" x14ac:dyDescent="0.25">
      <c r="A11191" t="s">
        <v>6</v>
      </c>
      <c r="B11191" s="1">
        <v>46124</v>
      </c>
      <c r="C11191">
        <v>6</v>
      </c>
      <c r="D11191">
        <v>225.96</v>
      </c>
      <c r="E11191">
        <v>0</v>
      </c>
      <c r="F11191" t="s">
        <v>7</v>
      </c>
      <c r="G11191" t="s">
        <v>11</v>
      </c>
      <c r="H11191" s="5">
        <f>MONTH(Tabela1[[#This Row],[data]])</f>
        <v>4</v>
      </c>
      <c r="I11191">
        <f>YEAR(Tabela1[[#This Row],[data]])</f>
        <v>2026</v>
      </c>
    </row>
    <row r="11192" spans="1:9" x14ac:dyDescent="0.25">
      <c r="A11192" t="s">
        <v>6</v>
      </c>
      <c r="B11192" s="1">
        <v>46124</v>
      </c>
      <c r="C11192">
        <v>7</v>
      </c>
      <c r="D11192">
        <v>207.48</v>
      </c>
      <c r="E11192">
        <v>0</v>
      </c>
      <c r="F11192" t="s">
        <v>7</v>
      </c>
      <c r="G11192" t="s">
        <v>11</v>
      </c>
      <c r="H11192" s="5">
        <f>MONTH(Tabela1[[#This Row],[data]])</f>
        <v>4</v>
      </c>
      <c r="I11192">
        <f>YEAR(Tabela1[[#This Row],[data]])</f>
        <v>2026</v>
      </c>
    </row>
    <row r="11193" spans="1:9" x14ac:dyDescent="0.25">
      <c r="A11193" t="s">
        <v>6</v>
      </c>
      <c r="B11193" s="1">
        <v>46124</v>
      </c>
      <c r="C11193">
        <v>8</v>
      </c>
      <c r="D11193">
        <v>198.66</v>
      </c>
      <c r="E11193">
        <v>0</v>
      </c>
      <c r="F11193" t="s">
        <v>7</v>
      </c>
      <c r="G11193" t="s">
        <v>11</v>
      </c>
      <c r="H11193" s="5">
        <f>MONTH(Tabela1[[#This Row],[data]])</f>
        <v>4</v>
      </c>
      <c r="I11193">
        <f>YEAR(Tabela1[[#This Row],[data]])</f>
        <v>2026</v>
      </c>
    </row>
    <row r="11194" spans="1:9" x14ac:dyDescent="0.25">
      <c r="A11194" t="s">
        <v>6</v>
      </c>
      <c r="B11194" s="1">
        <v>46124</v>
      </c>
      <c r="C11194">
        <v>9</v>
      </c>
      <c r="D11194">
        <v>366.66</v>
      </c>
      <c r="E11194">
        <v>34.86</v>
      </c>
      <c r="F11194" t="s">
        <v>7</v>
      </c>
      <c r="G11194" t="s">
        <v>11</v>
      </c>
      <c r="H11194" s="5">
        <f>MONTH(Tabela1[[#This Row],[data]])</f>
        <v>4</v>
      </c>
      <c r="I11194">
        <f>YEAR(Tabela1[[#This Row],[data]])</f>
        <v>2026</v>
      </c>
    </row>
    <row r="11195" spans="1:9" x14ac:dyDescent="0.25">
      <c r="A11195" t="s">
        <v>6</v>
      </c>
      <c r="B11195" s="1">
        <v>46124</v>
      </c>
      <c r="C11195">
        <v>10</v>
      </c>
      <c r="D11195">
        <v>457.38</v>
      </c>
      <c r="E11195">
        <v>50.4</v>
      </c>
      <c r="F11195" t="s">
        <v>7</v>
      </c>
      <c r="G11195" t="s">
        <v>11</v>
      </c>
      <c r="H11195" s="5">
        <f>MONTH(Tabela1[[#This Row],[data]])</f>
        <v>4</v>
      </c>
      <c r="I11195">
        <f>YEAR(Tabela1[[#This Row],[data]])</f>
        <v>2026</v>
      </c>
    </row>
    <row r="11196" spans="1:9" x14ac:dyDescent="0.25">
      <c r="A11196" t="s">
        <v>6</v>
      </c>
      <c r="B11196" s="1">
        <v>46124</v>
      </c>
      <c r="C11196">
        <v>11</v>
      </c>
      <c r="D11196">
        <v>540.54</v>
      </c>
      <c r="E11196">
        <v>95.34</v>
      </c>
      <c r="F11196" t="s">
        <v>7</v>
      </c>
      <c r="G11196" t="s">
        <v>11</v>
      </c>
      <c r="H11196" s="5">
        <f>MONTH(Tabela1[[#This Row],[data]])</f>
        <v>4</v>
      </c>
      <c r="I11196">
        <f>YEAR(Tabela1[[#This Row],[data]])</f>
        <v>2026</v>
      </c>
    </row>
    <row r="11197" spans="1:9" x14ac:dyDescent="0.25">
      <c r="A11197" t="s">
        <v>6</v>
      </c>
      <c r="B11197" s="1">
        <v>46124</v>
      </c>
      <c r="C11197">
        <v>12</v>
      </c>
      <c r="D11197">
        <v>627.48</v>
      </c>
      <c r="E11197">
        <v>111.3</v>
      </c>
      <c r="F11197" t="s">
        <v>7</v>
      </c>
      <c r="G11197" t="s">
        <v>11</v>
      </c>
      <c r="H11197" s="5">
        <f>MONTH(Tabela1[[#This Row],[data]])</f>
        <v>4</v>
      </c>
      <c r="I11197">
        <f>YEAR(Tabela1[[#This Row],[data]])</f>
        <v>2026</v>
      </c>
    </row>
    <row r="11198" spans="1:9" x14ac:dyDescent="0.25">
      <c r="A11198" t="s">
        <v>6</v>
      </c>
      <c r="B11198" s="1">
        <v>46124</v>
      </c>
      <c r="C11198">
        <v>13</v>
      </c>
      <c r="D11198">
        <v>740.04</v>
      </c>
      <c r="E11198">
        <v>134.4</v>
      </c>
      <c r="F11198" t="s">
        <v>7</v>
      </c>
      <c r="G11198" t="s">
        <v>11</v>
      </c>
      <c r="H11198" s="5">
        <f>MONTH(Tabela1[[#This Row],[data]])</f>
        <v>4</v>
      </c>
      <c r="I11198">
        <f>YEAR(Tabela1[[#This Row],[data]])</f>
        <v>2026</v>
      </c>
    </row>
    <row r="11199" spans="1:9" x14ac:dyDescent="0.25">
      <c r="A11199" t="s">
        <v>6</v>
      </c>
      <c r="B11199" s="1">
        <v>46124</v>
      </c>
      <c r="C11199">
        <v>14</v>
      </c>
      <c r="D11199">
        <v>784.14</v>
      </c>
      <c r="E11199">
        <v>172.2</v>
      </c>
      <c r="F11199" t="s">
        <v>7</v>
      </c>
      <c r="G11199" t="s">
        <v>11</v>
      </c>
      <c r="H11199" s="5">
        <f>MONTH(Tabela1[[#This Row],[data]])</f>
        <v>4</v>
      </c>
      <c r="I11199">
        <f>YEAR(Tabela1[[#This Row],[data]])</f>
        <v>2026</v>
      </c>
    </row>
    <row r="11200" spans="1:9" x14ac:dyDescent="0.25">
      <c r="A11200" t="s">
        <v>6</v>
      </c>
      <c r="B11200" s="1">
        <v>46124</v>
      </c>
      <c r="C11200">
        <v>15</v>
      </c>
      <c r="D11200">
        <v>833.28</v>
      </c>
      <c r="E11200">
        <v>183.54</v>
      </c>
      <c r="F11200" t="s">
        <v>7</v>
      </c>
      <c r="G11200" t="s">
        <v>11</v>
      </c>
      <c r="H11200" s="5">
        <f>MONTH(Tabela1[[#This Row],[data]])</f>
        <v>4</v>
      </c>
      <c r="I11200">
        <f>YEAR(Tabela1[[#This Row],[data]])</f>
        <v>2026</v>
      </c>
    </row>
    <row r="11201" spans="1:9" x14ac:dyDescent="0.25">
      <c r="A11201" t="s">
        <v>6</v>
      </c>
      <c r="B11201" s="1">
        <v>46124</v>
      </c>
      <c r="C11201">
        <v>16</v>
      </c>
      <c r="D11201">
        <v>820.26</v>
      </c>
      <c r="E11201">
        <v>170.1</v>
      </c>
      <c r="F11201" t="s">
        <v>7</v>
      </c>
      <c r="G11201" t="s">
        <v>11</v>
      </c>
      <c r="H11201" s="5">
        <f>MONTH(Tabela1[[#This Row],[data]])</f>
        <v>4</v>
      </c>
      <c r="I11201">
        <f>YEAR(Tabela1[[#This Row],[data]])</f>
        <v>2026</v>
      </c>
    </row>
    <row r="11202" spans="1:9" x14ac:dyDescent="0.25">
      <c r="A11202" t="s">
        <v>6</v>
      </c>
      <c r="B11202" s="1">
        <v>46124</v>
      </c>
      <c r="C11202">
        <v>17</v>
      </c>
      <c r="D11202">
        <v>793.38</v>
      </c>
      <c r="E11202">
        <v>161.69999999999999</v>
      </c>
      <c r="F11202" t="s">
        <v>7</v>
      </c>
      <c r="G11202" t="s">
        <v>11</v>
      </c>
      <c r="H11202" s="5">
        <f>MONTH(Tabela1[[#This Row],[data]])</f>
        <v>4</v>
      </c>
      <c r="I11202">
        <f>YEAR(Tabela1[[#This Row],[data]])</f>
        <v>2026</v>
      </c>
    </row>
    <row r="11203" spans="1:9" x14ac:dyDescent="0.25">
      <c r="A11203" t="s">
        <v>6</v>
      </c>
      <c r="B11203" s="1">
        <v>46124</v>
      </c>
      <c r="C11203">
        <v>18</v>
      </c>
      <c r="D11203">
        <v>792.54</v>
      </c>
      <c r="E11203">
        <v>158.34</v>
      </c>
      <c r="F11203" t="s">
        <v>7</v>
      </c>
      <c r="G11203" t="s">
        <v>11</v>
      </c>
      <c r="H11203" s="5">
        <f>MONTH(Tabela1[[#This Row],[data]])</f>
        <v>4</v>
      </c>
      <c r="I11203">
        <f>YEAR(Tabela1[[#This Row],[data]])</f>
        <v>2026</v>
      </c>
    </row>
    <row r="11204" spans="1:9" x14ac:dyDescent="0.25">
      <c r="A11204" t="s">
        <v>6</v>
      </c>
      <c r="B11204" s="1">
        <v>46124</v>
      </c>
      <c r="C11204">
        <v>19</v>
      </c>
      <c r="D11204">
        <v>779.1</v>
      </c>
      <c r="E11204">
        <v>144.06</v>
      </c>
      <c r="F11204" t="s">
        <v>7</v>
      </c>
      <c r="G11204" t="s">
        <v>11</v>
      </c>
      <c r="H11204" s="5">
        <f>MONTH(Tabela1[[#This Row],[data]])</f>
        <v>4</v>
      </c>
      <c r="I11204">
        <f>YEAR(Tabela1[[#This Row],[data]])</f>
        <v>2026</v>
      </c>
    </row>
    <row r="11205" spans="1:9" x14ac:dyDescent="0.25">
      <c r="A11205" t="s">
        <v>6</v>
      </c>
      <c r="B11205" s="1">
        <v>46124</v>
      </c>
      <c r="C11205">
        <v>20</v>
      </c>
      <c r="D11205">
        <v>778.26</v>
      </c>
      <c r="E11205">
        <v>147</v>
      </c>
      <c r="F11205" t="s">
        <v>7</v>
      </c>
      <c r="G11205" t="s">
        <v>11</v>
      </c>
      <c r="H11205" s="5">
        <f>MONTH(Tabela1[[#This Row],[data]])</f>
        <v>4</v>
      </c>
      <c r="I11205">
        <f>YEAR(Tabela1[[#This Row],[data]])</f>
        <v>2026</v>
      </c>
    </row>
    <row r="11206" spans="1:9" x14ac:dyDescent="0.25">
      <c r="A11206" t="s">
        <v>6</v>
      </c>
      <c r="B11206" s="1">
        <v>46124</v>
      </c>
      <c r="C11206">
        <v>21</v>
      </c>
      <c r="D11206">
        <v>713.16</v>
      </c>
      <c r="E11206">
        <v>122.64</v>
      </c>
      <c r="F11206" t="s">
        <v>7</v>
      </c>
      <c r="G11206" t="s">
        <v>11</v>
      </c>
      <c r="H11206" s="5">
        <f>MONTH(Tabela1[[#This Row],[data]])</f>
        <v>4</v>
      </c>
      <c r="I11206">
        <f>YEAR(Tabela1[[#This Row],[data]])</f>
        <v>2026</v>
      </c>
    </row>
    <row r="11207" spans="1:9" x14ac:dyDescent="0.25">
      <c r="A11207" t="s">
        <v>6</v>
      </c>
      <c r="B11207" s="1">
        <v>46124</v>
      </c>
      <c r="C11207">
        <v>22</v>
      </c>
      <c r="D11207">
        <v>584.64</v>
      </c>
      <c r="E11207">
        <v>99.54</v>
      </c>
      <c r="F11207" t="s">
        <v>7</v>
      </c>
      <c r="G11207" t="s">
        <v>11</v>
      </c>
      <c r="H11207" s="5">
        <f>MONTH(Tabela1[[#This Row],[data]])</f>
        <v>4</v>
      </c>
      <c r="I11207">
        <f>YEAR(Tabela1[[#This Row],[data]])</f>
        <v>2026</v>
      </c>
    </row>
    <row r="11208" spans="1:9" x14ac:dyDescent="0.25">
      <c r="A11208" t="s">
        <v>6</v>
      </c>
      <c r="B11208" s="1">
        <v>46124</v>
      </c>
      <c r="C11208">
        <v>23</v>
      </c>
      <c r="D11208">
        <v>417.48</v>
      </c>
      <c r="E11208">
        <v>18.899999999999999</v>
      </c>
      <c r="F11208" t="s">
        <v>7</v>
      </c>
      <c r="G11208" t="s">
        <v>11</v>
      </c>
      <c r="H11208" s="5">
        <f>MONTH(Tabela1[[#This Row],[data]])</f>
        <v>4</v>
      </c>
      <c r="I11208">
        <f>YEAR(Tabela1[[#This Row],[data]])</f>
        <v>2026</v>
      </c>
    </row>
    <row r="11209" spans="1:9" x14ac:dyDescent="0.25">
      <c r="A11209" t="s">
        <v>6</v>
      </c>
      <c r="B11209" s="1">
        <v>46124</v>
      </c>
      <c r="C11209">
        <v>24</v>
      </c>
      <c r="D11209">
        <v>308.7</v>
      </c>
      <c r="E11209">
        <v>0</v>
      </c>
      <c r="F11209" t="s">
        <v>7</v>
      </c>
      <c r="G11209" t="s">
        <v>11</v>
      </c>
      <c r="H11209" s="5">
        <f>MONTH(Tabela1[[#This Row],[data]])</f>
        <v>4</v>
      </c>
      <c r="I11209">
        <f>YEAR(Tabela1[[#This Row],[data]])</f>
        <v>2026</v>
      </c>
    </row>
    <row r="11210" spans="1:9" x14ac:dyDescent="0.25">
      <c r="A11210" t="s">
        <v>6</v>
      </c>
      <c r="B11210" s="1">
        <v>46125</v>
      </c>
      <c r="C11210">
        <v>1</v>
      </c>
      <c r="D11210">
        <v>239.82</v>
      </c>
      <c r="E11210">
        <v>0</v>
      </c>
      <c r="F11210" t="s">
        <v>7</v>
      </c>
      <c r="G11210" t="s">
        <v>11</v>
      </c>
      <c r="H11210" s="5">
        <f>MONTH(Tabela1[[#This Row],[data]])</f>
        <v>4</v>
      </c>
      <c r="I11210">
        <f>YEAR(Tabela1[[#This Row],[data]])</f>
        <v>2026</v>
      </c>
    </row>
    <row r="11211" spans="1:9" x14ac:dyDescent="0.25">
      <c r="A11211" t="s">
        <v>6</v>
      </c>
      <c r="B11211" s="1">
        <v>46125</v>
      </c>
      <c r="C11211">
        <v>2</v>
      </c>
      <c r="D11211">
        <v>224.28</v>
      </c>
      <c r="E11211">
        <v>0</v>
      </c>
      <c r="F11211" t="s">
        <v>7</v>
      </c>
      <c r="G11211" t="s">
        <v>11</v>
      </c>
      <c r="H11211" s="5">
        <f>MONTH(Tabela1[[#This Row],[data]])</f>
        <v>4</v>
      </c>
      <c r="I11211">
        <f>YEAR(Tabela1[[#This Row],[data]])</f>
        <v>2026</v>
      </c>
    </row>
    <row r="11212" spans="1:9" x14ac:dyDescent="0.25">
      <c r="A11212" t="s">
        <v>6</v>
      </c>
      <c r="B11212" s="1">
        <v>46125</v>
      </c>
      <c r="C11212">
        <v>3</v>
      </c>
      <c r="D11212">
        <v>217.98</v>
      </c>
      <c r="E11212">
        <v>0</v>
      </c>
      <c r="F11212" t="s">
        <v>7</v>
      </c>
      <c r="G11212" t="s">
        <v>11</v>
      </c>
      <c r="H11212" s="5">
        <f>MONTH(Tabela1[[#This Row],[data]])</f>
        <v>4</v>
      </c>
      <c r="I11212">
        <f>YEAR(Tabela1[[#This Row],[data]])</f>
        <v>2026</v>
      </c>
    </row>
    <row r="11213" spans="1:9" x14ac:dyDescent="0.25">
      <c r="A11213" t="s">
        <v>6</v>
      </c>
      <c r="B11213" s="1">
        <v>46125</v>
      </c>
      <c r="C11213">
        <v>4</v>
      </c>
      <c r="D11213">
        <v>213.78</v>
      </c>
      <c r="E11213">
        <v>0</v>
      </c>
      <c r="F11213" t="s">
        <v>7</v>
      </c>
      <c r="G11213" t="s">
        <v>11</v>
      </c>
      <c r="H11213" s="5">
        <f>MONTH(Tabela1[[#This Row],[data]])</f>
        <v>4</v>
      </c>
      <c r="I11213">
        <f>YEAR(Tabela1[[#This Row],[data]])</f>
        <v>2026</v>
      </c>
    </row>
    <row r="11214" spans="1:9" x14ac:dyDescent="0.25">
      <c r="A11214" t="s">
        <v>6</v>
      </c>
      <c r="B11214" s="1">
        <v>46125</v>
      </c>
      <c r="C11214">
        <v>5</v>
      </c>
      <c r="D11214">
        <v>223.02</v>
      </c>
      <c r="E11214">
        <v>0</v>
      </c>
      <c r="F11214" t="s">
        <v>7</v>
      </c>
      <c r="G11214" t="s">
        <v>11</v>
      </c>
      <c r="H11214" s="5">
        <f>MONTH(Tabela1[[#This Row],[data]])</f>
        <v>4</v>
      </c>
      <c r="I11214">
        <f>YEAR(Tabela1[[#This Row],[data]])</f>
        <v>2026</v>
      </c>
    </row>
    <row r="11215" spans="1:9" x14ac:dyDescent="0.25">
      <c r="A11215" t="s">
        <v>6</v>
      </c>
      <c r="B11215" s="1">
        <v>46125</v>
      </c>
      <c r="C11215">
        <v>6</v>
      </c>
      <c r="D11215">
        <v>220.5</v>
      </c>
      <c r="E11215">
        <v>0</v>
      </c>
      <c r="F11215" t="s">
        <v>7</v>
      </c>
      <c r="G11215" t="s">
        <v>11</v>
      </c>
      <c r="H11215" s="5">
        <f>MONTH(Tabela1[[#This Row],[data]])</f>
        <v>4</v>
      </c>
      <c r="I11215">
        <f>YEAR(Tabela1[[#This Row],[data]])</f>
        <v>2026</v>
      </c>
    </row>
    <row r="11216" spans="1:9" x14ac:dyDescent="0.25">
      <c r="A11216" t="s">
        <v>6</v>
      </c>
      <c r="B11216" s="1">
        <v>46125</v>
      </c>
      <c r="C11216">
        <v>7</v>
      </c>
      <c r="D11216">
        <v>216.3</v>
      </c>
      <c r="E11216">
        <v>0</v>
      </c>
      <c r="F11216" t="s">
        <v>7</v>
      </c>
      <c r="G11216" t="s">
        <v>11</v>
      </c>
      <c r="H11216" s="5">
        <f>MONTH(Tabela1[[#This Row],[data]])</f>
        <v>4</v>
      </c>
      <c r="I11216">
        <f>YEAR(Tabela1[[#This Row],[data]])</f>
        <v>2026</v>
      </c>
    </row>
    <row r="11217" spans="1:9" x14ac:dyDescent="0.25">
      <c r="A11217" t="s">
        <v>6</v>
      </c>
      <c r="B11217" s="1">
        <v>46125</v>
      </c>
      <c r="C11217">
        <v>8</v>
      </c>
      <c r="D11217">
        <v>246.12</v>
      </c>
      <c r="E11217">
        <v>0</v>
      </c>
      <c r="F11217" t="s">
        <v>7</v>
      </c>
      <c r="G11217" t="s">
        <v>11</v>
      </c>
      <c r="H11217" s="5">
        <f>MONTH(Tabela1[[#This Row],[data]])</f>
        <v>4</v>
      </c>
      <c r="I11217">
        <f>YEAR(Tabela1[[#This Row],[data]])</f>
        <v>2026</v>
      </c>
    </row>
    <row r="11218" spans="1:9" x14ac:dyDescent="0.25">
      <c r="A11218" t="s">
        <v>6</v>
      </c>
      <c r="B11218" s="1">
        <v>46125</v>
      </c>
      <c r="C11218">
        <v>9</v>
      </c>
      <c r="D11218">
        <v>340.62</v>
      </c>
      <c r="E11218">
        <v>0</v>
      </c>
      <c r="F11218" t="s">
        <v>7</v>
      </c>
      <c r="G11218" t="s">
        <v>11</v>
      </c>
      <c r="H11218" s="5">
        <f>MONTH(Tabela1[[#This Row],[data]])</f>
        <v>4</v>
      </c>
      <c r="I11218">
        <f>YEAR(Tabela1[[#This Row],[data]])</f>
        <v>2026</v>
      </c>
    </row>
    <row r="11219" spans="1:9" x14ac:dyDescent="0.25">
      <c r="A11219" t="s">
        <v>6</v>
      </c>
      <c r="B11219" s="1">
        <v>46125</v>
      </c>
      <c r="C11219">
        <v>10</v>
      </c>
      <c r="D11219">
        <v>425.46</v>
      </c>
      <c r="E11219">
        <v>9.66</v>
      </c>
      <c r="F11219" t="s">
        <v>7</v>
      </c>
      <c r="G11219" t="s">
        <v>11</v>
      </c>
      <c r="H11219" s="5">
        <f>MONTH(Tabela1[[#This Row],[data]])</f>
        <v>4</v>
      </c>
      <c r="I11219">
        <f>YEAR(Tabela1[[#This Row],[data]])</f>
        <v>2026</v>
      </c>
    </row>
    <row r="11220" spans="1:9" x14ac:dyDescent="0.25">
      <c r="A11220" t="s">
        <v>6</v>
      </c>
      <c r="B11220" s="1">
        <v>46125</v>
      </c>
      <c r="C11220">
        <v>11</v>
      </c>
      <c r="D11220">
        <v>702.24</v>
      </c>
      <c r="E11220">
        <v>123.06</v>
      </c>
      <c r="F11220" t="s">
        <v>7</v>
      </c>
      <c r="G11220" t="s">
        <v>11</v>
      </c>
      <c r="H11220" s="5">
        <f>MONTH(Tabela1[[#This Row],[data]])</f>
        <v>4</v>
      </c>
      <c r="I11220">
        <f>YEAR(Tabela1[[#This Row],[data]])</f>
        <v>2026</v>
      </c>
    </row>
    <row r="11221" spans="1:9" x14ac:dyDescent="0.25">
      <c r="A11221" t="s">
        <v>6</v>
      </c>
      <c r="B11221" s="1">
        <v>46125</v>
      </c>
      <c r="C11221">
        <v>12</v>
      </c>
      <c r="D11221">
        <v>822.36</v>
      </c>
      <c r="E11221">
        <v>193.62</v>
      </c>
      <c r="F11221" t="s">
        <v>7</v>
      </c>
      <c r="G11221" t="s">
        <v>11</v>
      </c>
      <c r="H11221" s="5">
        <f>MONTH(Tabela1[[#This Row],[data]])</f>
        <v>4</v>
      </c>
      <c r="I11221">
        <f>YEAR(Tabela1[[#This Row],[data]])</f>
        <v>2026</v>
      </c>
    </row>
    <row r="11222" spans="1:9" x14ac:dyDescent="0.25">
      <c r="A11222" t="s">
        <v>6</v>
      </c>
      <c r="B11222" s="1">
        <v>46125</v>
      </c>
      <c r="C11222">
        <v>13</v>
      </c>
      <c r="D11222">
        <v>789.18</v>
      </c>
      <c r="E11222">
        <v>182.28</v>
      </c>
      <c r="F11222" t="s">
        <v>7</v>
      </c>
      <c r="G11222" t="s">
        <v>11</v>
      </c>
      <c r="H11222" s="5">
        <f>MONTH(Tabela1[[#This Row],[data]])</f>
        <v>4</v>
      </c>
      <c r="I11222">
        <f>YEAR(Tabela1[[#This Row],[data]])</f>
        <v>2026</v>
      </c>
    </row>
    <row r="11223" spans="1:9" x14ac:dyDescent="0.25">
      <c r="A11223" t="s">
        <v>6</v>
      </c>
      <c r="B11223" s="1">
        <v>46125</v>
      </c>
      <c r="C11223">
        <v>14</v>
      </c>
      <c r="D11223">
        <v>803.46</v>
      </c>
      <c r="E11223">
        <v>189.84</v>
      </c>
      <c r="F11223" t="s">
        <v>7</v>
      </c>
      <c r="G11223" t="s">
        <v>11</v>
      </c>
      <c r="H11223" s="5">
        <f>MONTH(Tabela1[[#This Row],[data]])</f>
        <v>4</v>
      </c>
      <c r="I11223">
        <f>YEAR(Tabela1[[#This Row],[data]])</f>
        <v>2026</v>
      </c>
    </row>
    <row r="11224" spans="1:9" x14ac:dyDescent="0.25">
      <c r="A11224" t="s">
        <v>6</v>
      </c>
      <c r="B11224" s="1">
        <v>46125</v>
      </c>
      <c r="C11224">
        <v>15</v>
      </c>
      <c r="D11224">
        <v>803.46</v>
      </c>
      <c r="E11224">
        <v>182.28</v>
      </c>
      <c r="F11224" t="s">
        <v>7</v>
      </c>
      <c r="G11224" t="s">
        <v>11</v>
      </c>
      <c r="H11224" s="5">
        <f>MONTH(Tabela1[[#This Row],[data]])</f>
        <v>4</v>
      </c>
      <c r="I11224">
        <f>YEAR(Tabela1[[#This Row],[data]])</f>
        <v>2026</v>
      </c>
    </row>
    <row r="11225" spans="1:9" x14ac:dyDescent="0.25">
      <c r="A11225" t="s">
        <v>6</v>
      </c>
      <c r="B11225" s="1">
        <v>46125</v>
      </c>
      <c r="C11225">
        <v>16</v>
      </c>
      <c r="D11225">
        <v>821.52</v>
      </c>
      <c r="E11225">
        <v>189</v>
      </c>
      <c r="F11225" t="s">
        <v>7</v>
      </c>
      <c r="G11225" t="s">
        <v>11</v>
      </c>
      <c r="H11225" s="5">
        <f>MONTH(Tabela1[[#This Row],[data]])</f>
        <v>4</v>
      </c>
      <c r="I11225">
        <f>YEAR(Tabela1[[#This Row],[data]])</f>
        <v>2026</v>
      </c>
    </row>
    <row r="11226" spans="1:9" x14ac:dyDescent="0.25">
      <c r="A11226" t="s">
        <v>6</v>
      </c>
      <c r="B11226" s="1">
        <v>46125</v>
      </c>
      <c r="C11226">
        <v>17</v>
      </c>
      <c r="D11226">
        <v>816.06</v>
      </c>
      <c r="E11226">
        <v>217.56</v>
      </c>
      <c r="F11226" t="s">
        <v>7</v>
      </c>
      <c r="G11226" t="s">
        <v>11</v>
      </c>
      <c r="H11226" s="5">
        <f>MONTH(Tabela1[[#This Row],[data]])</f>
        <v>4</v>
      </c>
      <c r="I11226">
        <f>YEAR(Tabela1[[#This Row],[data]])</f>
        <v>2026</v>
      </c>
    </row>
    <row r="11227" spans="1:9" x14ac:dyDescent="0.25">
      <c r="A11227" t="s">
        <v>6</v>
      </c>
      <c r="B11227" s="1">
        <v>46125</v>
      </c>
      <c r="C11227">
        <v>18</v>
      </c>
      <c r="D11227">
        <v>763.14</v>
      </c>
      <c r="E11227">
        <v>172.2</v>
      </c>
      <c r="F11227" t="s">
        <v>7</v>
      </c>
      <c r="G11227" t="s">
        <v>11</v>
      </c>
      <c r="H11227" s="5">
        <f>MONTH(Tabela1[[#This Row],[data]])</f>
        <v>4</v>
      </c>
      <c r="I11227">
        <f>YEAR(Tabela1[[#This Row],[data]])</f>
        <v>2026</v>
      </c>
    </row>
    <row r="11228" spans="1:9" x14ac:dyDescent="0.25">
      <c r="A11228" t="s">
        <v>6</v>
      </c>
      <c r="B11228" s="1">
        <v>46125</v>
      </c>
      <c r="C11228">
        <v>19</v>
      </c>
      <c r="D11228">
        <v>753.06</v>
      </c>
      <c r="E11228">
        <v>157.08000000000001</v>
      </c>
      <c r="F11228" t="s">
        <v>7</v>
      </c>
      <c r="G11228" t="s">
        <v>11</v>
      </c>
      <c r="H11228" s="5">
        <f>MONTH(Tabela1[[#This Row],[data]])</f>
        <v>4</v>
      </c>
      <c r="I11228">
        <f>YEAR(Tabela1[[#This Row],[data]])</f>
        <v>2026</v>
      </c>
    </row>
    <row r="11229" spans="1:9" x14ac:dyDescent="0.25">
      <c r="A11229" t="s">
        <v>6</v>
      </c>
      <c r="B11229" s="1">
        <v>46125</v>
      </c>
      <c r="C11229">
        <v>20</v>
      </c>
      <c r="D11229">
        <v>743.82</v>
      </c>
      <c r="E11229">
        <v>163.38</v>
      </c>
      <c r="F11229" t="s">
        <v>7</v>
      </c>
      <c r="G11229" t="s">
        <v>11</v>
      </c>
      <c r="H11229" s="5">
        <f>MONTH(Tabela1[[#This Row],[data]])</f>
        <v>4</v>
      </c>
      <c r="I11229">
        <f>YEAR(Tabela1[[#This Row],[data]])</f>
        <v>2026</v>
      </c>
    </row>
    <row r="11230" spans="1:9" x14ac:dyDescent="0.25">
      <c r="A11230" t="s">
        <v>6</v>
      </c>
      <c r="B11230" s="1">
        <v>46125</v>
      </c>
      <c r="C11230">
        <v>21</v>
      </c>
      <c r="D11230">
        <v>731.64</v>
      </c>
      <c r="E11230">
        <v>157.08000000000001</v>
      </c>
      <c r="F11230" t="s">
        <v>7</v>
      </c>
      <c r="G11230" t="s">
        <v>11</v>
      </c>
      <c r="H11230" s="5">
        <f>MONTH(Tabela1[[#This Row],[data]])</f>
        <v>4</v>
      </c>
      <c r="I11230">
        <f>YEAR(Tabela1[[#This Row],[data]])</f>
        <v>2026</v>
      </c>
    </row>
    <row r="11231" spans="1:9" x14ac:dyDescent="0.25">
      <c r="A11231" t="s">
        <v>6</v>
      </c>
      <c r="B11231" s="1">
        <v>46125</v>
      </c>
      <c r="C11231">
        <v>22</v>
      </c>
      <c r="D11231">
        <v>708.54</v>
      </c>
      <c r="E11231">
        <v>139.86000000000001</v>
      </c>
      <c r="F11231" t="s">
        <v>7</v>
      </c>
      <c r="G11231" t="s">
        <v>11</v>
      </c>
      <c r="H11231" s="5">
        <f>MONTH(Tabela1[[#This Row],[data]])</f>
        <v>4</v>
      </c>
      <c r="I11231">
        <f>YEAR(Tabela1[[#This Row],[data]])</f>
        <v>2026</v>
      </c>
    </row>
    <row r="11232" spans="1:9" x14ac:dyDescent="0.25">
      <c r="A11232" t="s">
        <v>6</v>
      </c>
      <c r="B11232" s="1">
        <v>46125</v>
      </c>
      <c r="C11232">
        <v>23</v>
      </c>
      <c r="D11232">
        <v>390.18</v>
      </c>
      <c r="E11232">
        <v>13.44</v>
      </c>
      <c r="F11232" t="s">
        <v>7</v>
      </c>
      <c r="G11232" t="s">
        <v>11</v>
      </c>
      <c r="H11232" s="5">
        <f>MONTH(Tabela1[[#This Row],[data]])</f>
        <v>4</v>
      </c>
      <c r="I11232">
        <f>YEAR(Tabela1[[#This Row],[data]])</f>
        <v>2026</v>
      </c>
    </row>
    <row r="11233" spans="1:9" x14ac:dyDescent="0.25">
      <c r="A11233" t="s">
        <v>6</v>
      </c>
      <c r="B11233" s="1">
        <v>46125</v>
      </c>
      <c r="C11233">
        <v>24</v>
      </c>
      <c r="D11233">
        <v>273</v>
      </c>
      <c r="E11233">
        <v>0</v>
      </c>
      <c r="F11233" t="s">
        <v>7</v>
      </c>
      <c r="G11233" t="s">
        <v>11</v>
      </c>
      <c r="H11233" s="5">
        <f>MONTH(Tabela1[[#This Row],[data]])</f>
        <v>4</v>
      </c>
      <c r="I11233">
        <f>YEAR(Tabela1[[#This Row],[data]])</f>
        <v>2026</v>
      </c>
    </row>
    <row r="11234" spans="1:9" x14ac:dyDescent="0.25">
      <c r="A11234" t="s">
        <v>6</v>
      </c>
      <c r="B11234" s="1">
        <v>46126</v>
      </c>
      <c r="C11234">
        <v>1</v>
      </c>
      <c r="D11234">
        <v>254.94</v>
      </c>
      <c r="E11234">
        <v>0</v>
      </c>
      <c r="F11234" t="s">
        <v>7</v>
      </c>
      <c r="G11234" t="s">
        <v>11</v>
      </c>
      <c r="H11234" s="5">
        <f>MONTH(Tabela1[[#This Row],[data]])</f>
        <v>4</v>
      </c>
      <c r="I11234">
        <f>YEAR(Tabela1[[#This Row],[data]])</f>
        <v>2026</v>
      </c>
    </row>
    <row r="11235" spans="1:9" x14ac:dyDescent="0.25">
      <c r="A11235" t="s">
        <v>6</v>
      </c>
      <c r="B11235" s="1">
        <v>46126</v>
      </c>
      <c r="C11235">
        <v>2</v>
      </c>
      <c r="D11235">
        <v>236.88</v>
      </c>
      <c r="E11235">
        <v>0</v>
      </c>
      <c r="F11235" t="s">
        <v>7</v>
      </c>
      <c r="G11235" t="s">
        <v>11</v>
      </c>
      <c r="H11235" s="5">
        <f>MONTH(Tabela1[[#This Row],[data]])</f>
        <v>4</v>
      </c>
      <c r="I11235">
        <f>YEAR(Tabela1[[#This Row],[data]])</f>
        <v>2026</v>
      </c>
    </row>
    <row r="11236" spans="1:9" x14ac:dyDescent="0.25">
      <c r="A11236" t="s">
        <v>6</v>
      </c>
      <c r="B11236" s="1">
        <v>46126</v>
      </c>
      <c r="C11236">
        <v>3</v>
      </c>
      <c r="D11236">
        <v>233.94</v>
      </c>
      <c r="E11236">
        <v>0</v>
      </c>
      <c r="F11236" t="s">
        <v>7</v>
      </c>
      <c r="G11236" t="s">
        <v>11</v>
      </c>
      <c r="H11236" s="5">
        <f>MONTH(Tabela1[[#This Row],[data]])</f>
        <v>4</v>
      </c>
      <c r="I11236">
        <f>YEAR(Tabela1[[#This Row],[data]])</f>
        <v>2026</v>
      </c>
    </row>
    <row r="11237" spans="1:9" x14ac:dyDescent="0.25">
      <c r="A11237" t="s">
        <v>6</v>
      </c>
      <c r="B11237" s="1">
        <v>46126</v>
      </c>
      <c r="C11237">
        <v>4</v>
      </c>
      <c r="D11237">
        <v>228.06</v>
      </c>
      <c r="E11237">
        <v>0</v>
      </c>
      <c r="F11237" t="s">
        <v>7</v>
      </c>
      <c r="G11237" t="s">
        <v>11</v>
      </c>
      <c r="H11237" s="5">
        <f>MONTH(Tabela1[[#This Row],[data]])</f>
        <v>4</v>
      </c>
      <c r="I11237">
        <f>YEAR(Tabela1[[#This Row],[data]])</f>
        <v>2026</v>
      </c>
    </row>
    <row r="11238" spans="1:9" x14ac:dyDescent="0.25">
      <c r="A11238" t="s">
        <v>6</v>
      </c>
      <c r="B11238" s="1">
        <v>46126</v>
      </c>
      <c r="C11238">
        <v>5</v>
      </c>
      <c r="D11238">
        <v>234.78</v>
      </c>
      <c r="E11238">
        <v>0</v>
      </c>
      <c r="F11238" t="s">
        <v>7</v>
      </c>
      <c r="G11238" t="s">
        <v>11</v>
      </c>
      <c r="H11238" s="5">
        <f>MONTH(Tabela1[[#This Row],[data]])</f>
        <v>4</v>
      </c>
      <c r="I11238">
        <f>YEAR(Tabela1[[#This Row],[data]])</f>
        <v>2026</v>
      </c>
    </row>
    <row r="11239" spans="1:9" x14ac:dyDescent="0.25">
      <c r="A11239" t="s">
        <v>6</v>
      </c>
      <c r="B11239" s="1">
        <v>46126</v>
      </c>
      <c r="C11239">
        <v>6</v>
      </c>
      <c r="D11239">
        <v>228.9</v>
      </c>
      <c r="E11239">
        <v>0</v>
      </c>
      <c r="F11239" t="s">
        <v>7</v>
      </c>
      <c r="G11239" t="s">
        <v>11</v>
      </c>
      <c r="H11239" s="5">
        <f>MONTH(Tabela1[[#This Row],[data]])</f>
        <v>4</v>
      </c>
      <c r="I11239">
        <f>YEAR(Tabela1[[#This Row],[data]])</f>
        <v>2026</v>
      </c>
    </row>
    <row r="11240" spans="1:9" x14ac:dyDescent="0.25">
      <c r="A11240" t="s">
        <v>6</v>
      </c>
      <c r="B11240" s="1">
        <v>46126</v>
      </c>
      <c r="C11240">
        <v>7</v>
      </c>
      <c r="D11240">
        <v>226.38</v>
      </c>
      <c r="E11240">
        <v>0</v>
      </c>
      <c r="F11240" t="s">
        <v>7</v>
      </c>
      <c r="G11240" t="s">
        <v>11</v>
      </c>
      <c r="H11240" s="5">
        <f>MONTH(Tabela1[[#This Row],[data]])</f>
        <v>4</v>
      </c>
      <c r="I11240">
        <f>YEAR(Tabela1[[#This Row],[data]])</f>
        <v>2026</v>
      </c>
    </row>
    <row r="11241" spans="1:9" x14ac:dyDescent="0.25">
      <c r="A11241" t="s">
        <v>6</v>
      </c>
      <c r="B11241" s="1">
        <v>46126</v>
      </c>
      <c r="C11241">
        <v>8</v>
      </c>
      <c r="D11241">
        <v>236.04</v>
      </c>
      <c r="E11241">
        <v>0</v>
      </c>
      <c r="F11241" t="s">
        <v>7</v>
      </c>
      <c r="G11241" t="s">
        <v>11</v>
      </c>
      <c r="H11241" s="5">
        <f>MONTH(Tabela1[[#This Row],[data]])</f>
        <v>4</v>
      </c>
      <c r="I11241">
        <f>YEAR(Tabela1[[#This Row],[data]])</f>
        <v>2026</v>
      </c>
    </row>
    <row r="11242" spans="1:9" x14ac:dyDescent="0.25">
      <c r="A11242" t="s">
        <v>6</v>
      </c>
      <c r="B11242" s="1">
        <v>46126</v>
      </c>
      <c r="C11242">
        <v>9</v>
      </c>
      <c r="D11242">
        <v>363.72</v>
      </c>
      <c r="E11242">
        <v>2.94</v>
      </c>
      <c r="F11242" t="s">
        <v>7</v>
      </c>
      <c r="G11242" t="s">
        <v>11</v>
      </c>
      <c r="H11242" s="5">
        <f>MONTH(Tabela1[[#This Row],[data]])</f>
        <v>4</v>
      </c>
      <c r="I11242">
        <f>YEAR(Tabela1[[#This Row],[data]])</f>
        <v>2026</v>
      </c>
    </row>
    <row r="11243" spans="1:9" x14ac:dyDescent="0.25">
      <c r="A11243" t="s">
        <v>6</v>
      </c>
      <c r="B11243" s="1">
        <v>46126</v>
      </c>
      <c r="C11243">
        <v>10</v>
      </c>
      <c r="D11243">
        <v>511.14</v>
      </c>
      <c r="E11243">
        <v>51.24</v>
      </c>
      <c r="F11243" t="s">
        <v>7</v>
      </c>
      <c r="G11243" t="s">
        <v>11</v>
      </c>
      <c r="H11243" s="5">
        <f>MONTH(Tabela1[[#This Row],[data]])</f>
        <v>4</v>
      </c>
      <c r="I11243">
        <f>YEAR(Tabela1[[#This Row],[data]])</f>
        <v>2026</v>
      </c>
    </row>
    <row r="11244" spans="1:9" x14ac:dyDescent="0.25">
      <c r="A11244" t="s">
        <v>6</v>
      </c>
      <c r="B11244" s="1">
        <v>46126</v>
      </c>
      <c r="C11244">
        <v>11</v>
      </c>
      <c r="D11244">
        <v>751.8</v>
      </c>
      <c r="E11244">
        <v>167.16</v>
      </c>
      <c r="F11244" t="s">
        <v>7</v>
      </c>
      <c r="G11244" t="s">
        <v>11</v>
      </c>
      <c r="H11244" s="5">
        <f>MONTH(Tabela1[[#This Row],[data]])</f>
        <v>4</v>
      </c>
      <c r="I11244">
        <f>YEAR(Tabela1[[#This Row],[data]])</f>
        <v>2026</v>
      </c>
    </row>
    <row r="11245" spans="1:9" x14ac:dyDescent="0.25">
      <c r="A11245" t="s">
        <v>6</v>
      </c>
      <c r="B11245" s="1">
        <v>46126</v>
      </c>
      <c r="C11245">
        <v>12</v>
      </c>
      <c r="D11245">
        <v>800.94</v>
      </c>
      <c r="E11245">
        <v>187.32</v>
      </c>
      <c r="F11245" t="s">
        <v>7</v>
      </c>
      <c r="G11245" t="s">
        <v>11</v>
      </c>
      <c r="H11245" s="5">
        <f>MONTH(Tabela1[[#This Row],[data]])</f>
        <v>4</v>
      </c>
      <c r="I11245">
        <f>YEAR(Tabela1[[#This Row],[data]])</f>
        <v>2026</v>
      </c>
    </row>
    <row r="11246" spans="1:9" x14ac:dyDescent="0.25">
      <c r="A11246" t="s">
        <v>6</v>
      </c>
      <c r="B11246" s="1">
        <v>46126</v>
      </c>
      <c r="C11246">
        <v>13</v>
      </c>
      <c r="D11246">
        <v>854.7</v>
      </c>
      <c r="E11246">
        <v>220.08</v>
      </c>
      <c r="F11246" t="s">
        <v>7</v>
      </c>
      <c r="G11246" t="s">
        <v>11</v>
      </c>
      <c r="H11246" s="5">
        <f>MONTH(Tabela1[[#This Row],[data]])</f>
        <v>4</v>
      </c>
      <c r="I11246">
        <f>YEAR(Tabela1[[#This Row],[data]])</f>
        <v>2026</v>
      </c>
    </row>
    <row r="11247" spans="1:9" x14ac:dyDescent="0.25">
      <c r="A11247" t="s">
        <v>6</v>
      </c>
      <c r="B11247" s="1">
        <v>46126</v>
      </c>
      <c r="C11247">
        <v>14</v>
      </c>
      <c r="D11247">
        <v>842.52</v>
      </c>
      <c r="E11247">
        <v>190.68</v>
      </c>
      <c r="F11247" t="s">
        <v>7</v>
      </c>
      <c r="G11247" t="s">
        <v>11</v>
      </c>
      <c r="H11247" s="5">
        <f>MONTH(Tabela1[[#This Row],[data]])</f>
        <v>4</v>
      </c>
      <c r="I11247">
        <f>YEAR(Tabela1[[#This Row],[data]])</f>
        <v>2026</v>
      </c>
    </row>
    <row r="11248" spans="1:9" x14ac:dyDescent="0.25">
      <c r="A11248" t="s">
        <v>6</v>
      </c>
      <c r="B11248" s="1">
        <v>46126</v>
      </c>
      <c r="C11248">
        <v>15</v>
      </c>
      <c r="D11248">
        <v>868.56</v>
      </c>
      <c r="E11248">
        <v>212.1</v>
      </c>
      <c r="F11248" t="s">
        <v>7</v>
      </c>
      <c r="G11248" t="s">
        <v>11</v>
      </c>
      <c r="H11248" s="5">
        <f>MONTH(Tabela1[[#This Row],[data]])</f>
        <v>4</v>
      </c>
      <c r="I11248">
        <f>YEAR(Tabela1[[#This Row],[data]])</f>
        <v>2026</v>
      </c>
    </row>
    <row r="11249" spans="1:9" x14ac:dyDescent="0.25">
      <c r="A11249" t="s">
        <v>6</v>
      </c>
      <c r="B11249" s="1">
        <v>46126</v>
      </c>
      <c r="C11249">
        <v>16</v>
      </c>
      <c r="D11249">
        <v>852.18</v>
      </c>
      <c r="E11249">
        <v>194.04</v>
      </c>
      <c r="F11249" t="s">
        <v>7</v>
      </c>
      <c r="G11249" t="s">
        <v>11</v>
      </c>
      <c r="H11249" s="5">
        <f>MONTH(Tabela1[[#This Row],[data]])</f>
        <v>4</v>
      </c>
      <c r="I11249">
        <f>YEAR(Tabela1[[#This Row],[data]])</f>
        <v>2026</v>
      </c>
    </row>
    <row r="11250" spans="1:9" x14ac:dyDescent="0.25">
      <c r="A11250" t="s">
        <v>6</v>
      </c>
      <c r="B11250" s="1">
        <v>46126</v>
      </c>
      <c r="C11250">
        <v>17</v>
      </c>
      <c r="D11250">
        <v>850.92</v>
      </c>
      <c r="E11250">
        <v>226.38</v>
      </c>
      <c r="F11250" t="s">
        <v>7</v>
      </c>
      <c r="G11250" t="s">
        <v>11</v>
      </c>
      <c r="H11250" s="5">
        <f>MONTH(Tabela1[[#This Row],[data]])</f>
        <v>4</v>
      </c>
      <c r="I11250">
        <f>YEAR(Tabela1[[#This Row],[data]])</f>
        <v>2026</v>
      </c>
    </row>
    <row r="11251" spans="1:9" x14ac:dyDescent="0.25">
      <c r="A11251" t="s">
        <v>6</v>
      </c>
      <c r="B11251" s="1">
        <v>46126</v>
      </c>
      <c r="C11251">
        <v>18</v>
      </c>
      <c r="D11251">
        <v>808.5</v>
      </c>
      <c r="E11251">
        <v>187.74</v>
      </c>
      <c r="F11251" t="s">
        <v>7</v>
      </c>
      <c r="G11251" t="s">
        <v>11</v>
      </c>
      <c r="H11251" s="5">
        <f>MONTH(Tabela1[[#This Row],[data]])</f>
        <v>4</v>
      </c>
      <c r="I11251">
        <f>YEAR(Tabela1[[#This Row],[data]])</f>
        <v>2026</v>
      </c>
    </row>
    <row r="11252" spans="1:9" x14ac:dyDescent="0.25">
      <c r="A11252" t="s">
        <v>6</v>
      </c>
      <c r="B11252" s="1">
        <v>46126</v>
      </c>
      <c r="C11252">
        <v>19</v>
      </c>
      <c r="D11252">
        <v>765.66</v>
      </c>
      <c r="E11252">
        <v>167.16</v>
      </c>
      <c r="F11252" t="s">
        <v>7</v>
      </c>
      <c r="G11252" t="s">
        <v>11</v>
      </c>
      <c r="H11252" s="5">
        <f>MONTH(Tabela1[[#This Row],[data]])</f>
        <v>4</v>
      </c>
      <c r="I11252">
        <f>YEAR(Tabela1[[#This Row],[data]])</f>
        <v>2026</v>
      </c>
    </row>
    <row r="11253" spans="1:9" x14ac:dyDescent="0.25">
      <c r="A11253" t="s">
        <v>6</v>
      </c>
      <c r="B11253" s="1">
        <v>46126</v>
      </c>
      <c r="C11253">
        <v>20</v>
      </c>
      <c r="D11253">
        <v>761.04</v>
      </c>
      <c r="E11253">
        <v>179.34</v>
      </c>
      <c r="F11253" t="s">
        <v>7</v>
      </c>
      <c r="G11253" t="s">
        <v>11</v>
      </c>
      <c r="H11253" s="5">
        <f>MONTH(Tabela1[[#This Row],[data]])</f>
        <v>4</v>
      </c>
      <c r="I11253">
        <f>YEAR(Tabela1[[#This Row],[data]])</f>
        <v>2026</v>
      </c>
    </row>
    <row r="11254" spans="1:9" x14ac:dyDescent="0.25">
      <c r="A11254" t="s">
        <v>6</v>
      </c>
      <c r="B11254" s="1">
        <v>46126</v>
      </c>
      <c r="C11254">
        <v>21</v>
      </c>
      <c r="D11254">
        <v>740.46</v>
      </c>
      <c r="E11254">
        <v>145.74</v>
      </c>
      <c r="F11254" t="s">
        <v>7</v>
      </c>
      <c r="G11254" t="s">
        <v>11</v>
      </c>
      <c r="H11254" s="5">
        <f>MONTH(Tabela1[[#This Row],[data]])</f>
        <v>4</v>
      </c>
      <c r="I11254">
        <f>YEAR(Tabela1[[#This Row],[data]])</f>
        <v>2026</v>
      </c>
    </row>
    <row r="11255" spans="1:9" x14ac:dyDescent="0.25">
      <c r="A11255" t="s">
        <v>6</v>
      </c>
      <c r="B11255" s="1">
        <v>46126</v>
      </c>
      <c r="C11255">
        <v>22</v>
      </c>
      <c r="D11255">
        <v>700.14</v>
      </c>
      <c r="E11255">
        <v>126</v>
      </c>
      <c r="F11255" t="s">
        <v>7</v>
      </c>
      <c r="G11255" t="s">
        <v>11</v>
      </c>
      <c r="H11255" s="5">
        <f>MONTH(Tabela1[[#This Row],[data]])</f>
        <v>4</v>
      </c>
      <c r="I11255">
        <f>YEAR(Tabela1[[#This Row],[data]])</f>
        <v>2026</v>
      </c>
    </row>
    <row r="11256" spans="1:9" x14ac:dyDescent="0.25">
      <c r="A11256" t="s">
        <v>6</v>
      </c>
      <c r="B11256" s="1">
        <v>46126</v>
      </c>
      <c r="C11256">
        <v>23</v>
      </c>
      <c r="D11256">
        <v>372.96</v>
      </c>
      <c r="E11256">
        <v>12.18</v>
      </c>
      <c r="F11256" t="s">
        <v>7</v>
      </c>
      <c r="G11256" t="s">
        <v>11</v>
      </c>
      <c r="H11256" s="5">
        <f>MONTH(Tabela1[[#This Row],[data]])</f>
        <v>4</v>
      </c>
      <c r="I11256">
        <f>YEAR(Tabela1[[#This Row],[data]])</f>
        <v>2026</v>
      </c>
    </row>
    <row r="11257" spans="1:9" x14ac:dyDescent="0.25">
      <c r="A11257" t="s">
        <v>6</v>
      </c>
      <c r="B11257" s="1">
        <v>46126</v>
      </c>
      <c r="C11257">
        <v>24</v>
      </c>
      <c r="D11257">
        <v>262.08</v>
      </c>
      <c r="E11257">
        <v>0</v>
      </c>
      <c r="F11257" t="s">
        <v>7</v>
      </c>
      <c r="G11257" t="s">
        <v>11</v>
      </c>
      <c r="H11257" s="5">
        <f>MONTH(Tabela1[[#This Row],[data]])</f>
        <v>4</v>
      </c>
      <c r="I11257">
        <f>YEAR(Tabela1[[#This Row],[data]])</f>
        <v>2026</v>
      </c>
    </row>
    <row r="11258" spans="1:9" x14ac:dyDescent="0.25">
      <c r="A11258" t="s">
        <v>6</v>
      </c>
      <c r="B11258" s="1">
        <v>46127</v>
      </c>
      <c r="C11258">
        <v>1</v>
      </c>
      <c r="D11258">
        <v>247.38</v>
      </c>
      <c r="E11258">
        <v>0</v>
      </c>
      <c r="F11258" t="s">
        <v>7</v>
      </c>
      <c r="G11258" t="s">
        <v>11</v>
      </c>
      <c r="H11258" s="5">
        <f>MONTH(Tabela1[[#This Row],[data]])</f>
        <v>4</v>
      </c>
      <c r="I11258">
        <f>YEAR(Tabela1[[#This Row],[data]])</f>
        <v>2026</v>
      </c>
    </row>
    <row r="11259" spans="1:9" x14ac:dyDescent="0.25">
      <c r="A11259" t="s">
        <v>6</v>
      </c>
      <c r="B11259" s="1">
        <v>46127</v>
      </c>
      <c r="C11259">
        <v>2</v>
      </c>
      <c r="D11259">
        <v>231</v>
      </c>
      <c r="E11259">
        <v>0</v>
      </c>
      <c r="F11259" t="s">
        <v>7</v>
      </c>
      <c r="G11259" t="s">
        <v>11</v>
      </c>
      <c r="H11259" s="5">
        <f>MONTH(Tabela1[[#This Row],[data]])</f>
        <v>4</v>
      </c>
      <c r="I11259">
        <f>YEAR(Tabela1[[#This Row],[data]])</f>
        <v>2026</v>
      </c>
    </row>
    <row r="11260" spans="1:9" x14ac:dyDescent="0.25">
      <c r="A11260" t="s">
        <v>6</v>
      </c>
      <c r="B11260" s="1">
        <v>46127</v>
      </c>
      <c r="C11260">
        <v>3</v>
      </c>
      <c r="D11260">
        <v>225.96</v>
      </c>
      <c r="E11260">
        <v>0</v>
      </c>
      <c r="F11260" t="s">
        <v>7</v>
      </c>
      <c r="G11260" t="s">
        <v>11</v>
      </c>
      <c r="H11260" s="5">
        <f>MONTH(Tabela1[[#This Row],[data]])</f>
        <v>4</v>
      </c>
      <c r="I11260">
        <f>YEAR(Tabela1[[#This Row],[data]])</f>
        <v>2026</v>
      </c>
    </row>
    <row r="11261" spans="1:9" x14ac:dyDescent="0.25">
      <c r="A11261" t="s">
        <v>6</v>
      </c>
      <c r="B11261" s="1">
        <v>46127</v>
      </c>
      <c r="C11261">
        <v>4</v>
      </c>
      <c r="D11261">
        <v>224.28</v>
      </c>
      <c r="E11261">
        <v>0</v>
      </c>
      <c r="F11261" t="s">
        <v>7</v>
      </c>
      <c r="G11261" t="s">
        <v>11</v>
      </c>
      <c r="H11261" s="5">
        <f>MONTH(Tabela1[[#This Row],[data]])</f>
        <v>4</v>
      </c>
      <c r="I11261">
        <f>YEAR(Tabela1[[#This Row],[data]])</f>
        <v>2026</v>
      </c>
    </row>
    <row r="11262" spans="1:9" x14ac:dyDescent="0.25">
      <c r="A11262" t="s">
        <v>6</v>
      </c>
      <c r="B11262" s="1">
        <v>46127</v>
      </c>
      <c r="C11262">
        <v>5</v>
      </c>
      <c r="D11262">
        <v>230.16</v>
      </c>
      <c r="E11262">
        <v>0</v>
      </c>
      <c r="F11262" t="s">
        <v>7</v>
      </c>
      <c r="G11262" t="s">
        <v>11</v>
      </c>
      <c r="H11262" s="5">
        <f>MONTH(Tabela1[[#This Row],[data]])</f>
        <v>4</v>
      </c>
      <c r="I11262">
        <f>YEAR(Tabela1[[#This Row],[data]])</f>
        <v>2026</v>
      </c>
    </row>
    <row r="11263" spans="1:9" x14ac:dyDescent="0.25">
      <c r="A11263" t="s">
        <v>6</v>
      </c>
      <c r="B11263" s="1">
        <v>46127</v>
      </c>
      <c r="C11263">
        <v>6</v>
      </c>
      <c r="D11263">
        <v>225.96</v>
      </c>
      <c r="E11263">
        <v>0</v>
      </c>
      <c r="F11263" t="s">
        <v>7</v>
      </c>
      <c r="G11263" t="s">
        <v>11</v>
      </c>
      <c r="H11263" s="5">
        <f>MONTH(Tabela1[[#This Row],[data]])</f>
        <v>4</v>
      </c>
      <c r="I11263">
        <f>YEAR(Tabela1[[#This Row],[data]])</f>
        <v>2026</v>
      </c>
    </row>
    <row r="11264" spans="1:9" x14ac:dyDescent="0.25">
      <c r="A11264" t="s">
        <v>6</v>
      </c>
      <c r="B11264" s="1">
        <v>46127</v>
      </c>
      <c r="C11264">
        <v>7</v>
      </c>
      <c r="D11264">
        <v>217.98</v>
      </c>
      <c r="E11264">
        <v>0</v>
      </c>
      <c r="F11264" t="s">
        <v>7</v>
      </c>
      <c r="G11264" t="s">
        <v>11</v>
      </c>
      <c r="H11264" s="5">
        <f>MONTH(Tabela1[[#This Row],[data]])</f>
        <v>4</v>
      </c>
      <c r="I11264">
        <f>YEAR(Tabela1[[#This Row],[data]])</f>
        <v>2026</v>
      </c>
    </row>
    <row r="11265" spans="1:9" x14ac:dyDescent="0.25">
      <c r="A11265" t="s">
        <v>6</v>
      </c>
      <c r="B11265" s="1">
        <v>46127</v>
      </c>
      <c r="C11265">
        <v>8</v>
      </c>
      <c r="D11265">
        <v>231.42</v>
      </c>
      <c r="E11265">
        <v>0</v>
      </c>
      <c r="F11265" t="s">
        <v>7</v>
      </c>
      <c r="G11265" t="s">
        <v>11</v>
      </c>
      <c r="H11265" s="5">
        <f>MONTH(Tabela1[[#This Row],[data]])</f>
        <v>4</v>
      </c>
      <c r="I11265">
        <f>YEAR(Tabela1[[#This Row],[data]])</f>
        <v>2026</v>
      </c>
    </row>
    <row r="11266" spans="1:9" x14ac:dyDescent="0.25">
      <c r="A11266" t="s">
        <v>6</v>
      </c>
      <c r="B11266" s="1">
        <v>46127</v>
      </c>
      <c r="C11266">
        <v>9</v>
      </c>
      <c r="D11266">
        <v>336</v>
      </c>
      <c r="E11266">
        <v>0.84</v>
      </c>
      <c r="F11266" t="s">
        <v>7</v>
      </c>
      <c r="G11266" t="s">
        <v>11</v>
      </c>
      <c r="H11266" s="5">
        <f>MONTH(Tabela1[[#This Row],[data]])</f>
        <v>4</v>
      </c>
      <c r="I11266">
        <f>YEAR(Tabela1[[#This Row],[data]])</f>
        <v>2026</v>
      </c>
    </row>
    <row r="11267" spans="1:9" x14ac:dyDescent="0.25">
      <c r="A11267" t="s">
        <v>6</v>
      </c>
      <c r="B11267" s="1">
        <v>46127</v>
      </c>
      <c r="C11267">
        <v>10</v>
      </c>
      <c r="D11267">
        <v>430.92</v>
      </c>
      <c r="E11267">
        <v>19.32</v>
      </c>
      <c r="F11267" t="s">
        <v>7</v>
      </c>
      <c r="G11267" t="s">
        <v>11</v>
      </c>
      <c r="H11267" s="5">
        <f>MONTH(Tabela1[[#This Row],[data]])</f>
        <v>4</v>
      </c>
      <c r="I11267">
        <f>YEAR(Tabela1[[#This Row],[data]])</f>
        <v>2026</v>
      </c>
    </row>
    <row r="11268" spans="1:9" x14ac:dyDescent="0.25">
      <c r="A11268" t="s">
        <v>6</v>
      </c>
      <c r="B11268" s="1">
        <v>46127</v>
      </c>
      <c r="C11268">
        <v>11</v>
      </c>
      <c r="D11268">
        <v>809.34</v>
      </c>
      <c r="E11268">
        <v>189.42</v>
      </c>
      <c r="F11268" t="s">
        <v>7</v>
      </c>
      <c r="G11268" t="s">
        <v>11</v>
      </c>
      <c r="H11268" s="5">
        <f>MONTH(Tabela1[[#This Row],[data]])</f>
        <v>4</v>
      </c>
      <c r="I11268">
        <f>YEAR(Tabela1[[#This Row],[data]])</f>
        <v>2026</v>
      </c>
    </row>
    <row r="11269" spans="1:9" x14ac:dyDescent="0.25">
      <c r="A11269" t="s">
        <v>6</v>
      </c>
      <c r="B11269" s="1">
        <v>46127</v>
      </c>
      <c r="C11269">
        <v>12</v>
      </c>
      <c r="D11269">
        <v>851.76</v>
      </c>
      <c r="E11269">
        <v>212.52</v>
      </c>
      <c r="F11269" t="s">
        <v>7</v>
      </c>
      <c r="G11269" t="s">
        <v>11</v>
      </c>
      <c r="H11269" s="5">
        <f>MONTH(Tabela1[[#This Row],[data]])</f>
        <v>4</v>
      </c>
      <c r="I11269">
        <f>YEAR(Tabela1[[#This Row],[data]])</f>
        <v>2026</v>
      </c>
    </row>
    <row r="11270" spans="1:9" x14ac:dyDescent="0.25">
      <c r="A11270" t="s">
        <v>6</v>
      </c>
      <c r="B11270" s="1">
        <v>46127</v>
      </c>
      <c r="C11270">
        <v>13</v>
      </c>
      <c r="D11270">
        <v>832.02</v>
      </c>
      <c r="E11270">
        <v>210</v>
      </c>
      <c r="F11270" t="s">
        <v>7</v>
      </c>
      <c r="G11270" t="s">
        <v>11</v>
      </c>
      <c r="H11270" s="5">
        <f>MONTH(Tabela1[[#This Row],[data]])</f>
        <v>4</v>
      </c>
      <c r="I11270">
        <f>YEAR(Tabela1[[#This Row],[data]])</f>
        <v>2026</v>
      </c>
    </row>
    <row r="11271" spans="1:9" x14ac:dyDescent="0.25">
      <c r="A11271" t="s">
        <v>6</v>
      </c>
      <c r="B11271" s="1">
        <v>46127</v>
      </c>
      <c r="C11271">
        <v>14</v>
      </c>
      <c r="D11271">
        <v>830.34</v>
      </c>
      <c r="E11271">
        <v>187.74</v>
      </c>
      <c r="F11271" t="s">
        <v>7</v>
      </c>
      <c r="G11271" t="s">
        <v>11</v>
      </c>
      <c r="H11271" s="5">
        <f>MONTH(Tabela1[[#This Row],[data]])</f>
        <v>4</v>
      </c>
      <c r="I11271">
        <f>YEAR(Tabela1[[#This Row],[data]])</f>
        <v>2026</v>
      </c>
    </row>
    <row r="11272" spans="1:9" x14ac:dyDescent="0.25">
      <c r="A11272" t="s">
        <v>6</v>
      </c>
      <c r="B11272" s="1">
        <v>46127</v>
      </c>
      <c r="C11272">
        <v>15</v>
      </c>
      <c r="D11272">
        <v>837.48</v>
      </c>
      <c r="E11272">
        <v>193.2</v>
      </c>
      <c r="F11272" t="s">
        <v>7</v>
      </c>
      <c r="G11272" t="s">
        <v>11</v>
      </c>
      <c r="H11272" s="5">
        <f>MONTH(Tabela1[[#This Row],[data]])</f>
        <v>4</v>
      </c>
      <c r="I11272">
        <f>YEAR(Tabela1[[#This Row],[data]])</f>
        <v>2026</v>
      </c>
    </row>
    <row r="11273" spans="1:9" x14ac:dyDescent="0.25">
      <c r="A11273" t="s">
        <v>6</v>
      </c>
      <c r="B11273" s="1">
        <v>46127</v>
      </c>
      <c r="C11273">
        <v>16</v>
      </c>
      <c r="D11273">
        <v>822.78</v>
      </c>
      <c r="E11273">
        <v>186.9</v>
      </c>
      <c r="F11273" t="s">
        <v>7</v>
      </c>
      <c r="G11273" t="s">
        <v>11</v>
      </c>
      <c r="H11273" s="5">
        <f>MONTH(Tabela1[[#This Row],[data]])</f>
        <v>4</v>
      </c>
      <c r="I11273">
        <f>YEAR(Tabela1[[#This Row],[data]])</f>
        <v>2026</v>
      </c>
    </row>
    <row r="11274" spans="1:9" x14ac:dyDescent="0.25">
      <c r="A11274" t="s">
        <v>6</v>
      </c>
      <c r="B11274" s="1">
        <v>46127</v>
      </c>
      <c r="C11274">
        <v>17</v>
      </c>
      <c r="D11274">
        <v>824.88</v>
      </c>
      <c r="E11274">
        <v>213.78</v>
      </c>
      <c r="F11274" t="s">
        <v>7</v>
      </c>
      <c r="G11274" t="s">
        <v>11</v>
      </c>
      <c r="H11274" s="5">
        <f>MONTH(Tabela1[[#This Row],[data]])</f>
        <v>4</v>
      </c>
      <c r="I11274">
        <f>YEAR(Tabela1[[#This Row],[data]])</f>
        <v>2026</v>
      </c>
    </row>
    <row r="11275" spans="1:9" x14ac:dyDescent="0.25">
      <c r="A11275" t="s">
        <v>6</v>
      </c>
      <c r="B11275" s="1">
        <v>46127</v>
      </c>
      <c r="C11275">
        <v>18</v>
      </c>
      <c r="D11275">
        <v>784.98</v>
      </c>
      <c r="E11275">
        <v>171.36</v>
      </c>
      <c r="F11275" t="s">
        <v>7</v>
      </c>
      <c r="G11275" t="s">
        <v>11</v>
      </c>
      <c r="H11275" s="5">
        <f>MONTH(Tabela1[[#This Row],[data]])</f>
        <v>4</v>
      </c>
      <c r="I11275">
        <f>YEAR(Tabela1[[#This Row],[data]])</f>
        <v>2026</v>
      </c>
    </row>
    <row r="11276" spans="1:9" x14ac:dyDescent="0.25">
      <c r="A11276" t="s">
        <v>6</v>
      </c>
      <c r="B11276" s="1">
        <v>46127</v>
      </c>
      <c r="C11276">
        <v>19</v>
      </c>
      <c r="D11276">
        <v>768.6</v>
      </c>
      <c r="E11276">
        <v>151.19999999999999</v>
      </c>
      <c r="F11276" t="s">
        <v>7</v>
      </c>
      <c r="G11276" t="s">
        <v>11</v>
      </c>
      <c r="H11276" s="5">
        <f>MONTH(Tabela1[[#This Row],[data]])</f>
        <v>4</v>
      </c>
      <c r="I11276">
        <f>YEAR(Tabela1[[#This Row],[data]])</f>
        <v>2026</v>
      </c>
    </row>
    <row r="11277" spans="1:9" x14ac:dyDescent="0.25">
      <c r="A11277" t="s">
        <v>6</v>
      </c>
      <c r="B11277" s="1">
        <v>46127</v>
      </c>
      <c r="C11277">
        <v>20</v>
      </c>
      <c r="D11277">
        <v>763.14</v>
      </c>
      <c r="E11277">
        <v>167.58</v>
      </c>
      <c r="F11277" t="s">
        <v>7</v>
      </c>
      <c r="G11277" t="s">
        <v>11</v>
      </c>
      <c r="H11277" s="5">
        <f>MONTH(Tabela1[[#This Row],[data]])</f>
        <v>4</v>
      </c>
      <c r="I11277">
        <f>YEAR(Tabela1[[#This Row],[data]])</f>
        <v>2026</v>
      </c>
    </row>
    <row r="11278" spans="1:9" x14ac:dyDescent="0.25">
      <c r="A11278" t="s">
        <v>6</v>
      </c>
      <c r="B11278" s="1">
        <v>46127</v>
      </c>
      <c r="C11278">
        <v>21</v>
      </c>
      <c r="D11278">
        <v>745.5</v>
      </c>
      <c r="E11278">
        <v>144.06</v>
      </c>
      <c r="F11278" t="s">
        <v>7</v>
      </c>
      <c r="G11278" t="s">
        <v>11</v>
      </c>
      <c r="H11278" s="5">
        <f>MONTH(Tabela1[[#This Row],[data]])</f>
        <v>4</v>
      </c>
      <c r="I11278">
        <f>YEAR(Tabela1[[#This Row],[data]])</f>
        <v>2026</v>
      </c>
    </row>
    <row r="11279" spans="1:9" x14ac:dyDescent="0.25">
      <c r="A11279" t="s">
        <v>6</v>
      </c>
      <c r="B11279" s="1">
        <v>46127</v>
      </c>
      <c r="C11279">
        <v>22</v>
      </c>
      <c r="D11279">
        <v>717.78</v>
      </c>
      <c r="E11279">
        <v>139.44</v>
      </c>
      <c r="F11279" t="s">
        <v>7</v>
      </c>
      <c r="G11279" t="s">
        <v>11</v>
      </c>
      <c r="H11279" s="5">
        <f>MONTH(Tabela1[[#This Row],[data]])</f>
        <v>4</v>
      </c>
      <c r="I11279">
        <f>YEAR(Tabela1[[#This Row],[data]])</f>
        <v>2026</v>
      </c>
    </row>
    <row r="11280" spans="1:9" x14ac:dyDescent="0.25">
      <c r="A11280" t="s">
        <v>6</v>
      </c>
      <c r="B11280" s="1">
        <v>46127</v>
      </c>
      <c r="C11280">
        <v>23</v>
      </c>
      <c r="D11280">
        <v>433.44</v>
      </c>
      <c r="E11280">
        <v>26.88</v>
      </c>
      <c r="F11280" t="s">
        <v>7</v>
      </c>
      <c r="G11280" t="s">
        <v>11</v>
      </c>
      <c r="H11280" s="5">
        <f>MONTH(Tabela1[[#This Row],[data]])</f>
        <v>4</v>
      </c>
      <c r="I11280">
        <f>YEAR(Tabela1[[#This Row],[data]])</f>
        <v>2026</v>
      </c>
    </row>
    <row r="11281" spans="1:9" x14ac:dyDescent="0.25">
      <c r="A11281" t="s">
        <v>6</v>
      </c>
      <c r="B11281" s="1">
        <v>46127</v>
      </c>
      <c r="C11281">
        <v>24</v>
      </c>
      <c r="D11281">
        <v>255.78</v>
      </c>
      <c r="E11281">
        <v>0</v>
      </c>
      <c r="F11281" t="s">
        <v>7</v>
      </c>
      <c r="G11281" t="s">
        <v>11</v>
      </c>
      <c r="H11281" s="5">
        <f>MONTH(Tabela1[[#This Row],[data]])</f>
        <v>4</v>
      </c>
      <c r="I11281">
        <f>YEAR(Tabela1[[#This Row],[data]])</f>
        <v>2026</v>
      </c>
    </row>
    <row r="11282" spans="1:9" x14ac:dyDescent="0.25">
      <c r="A11282" t="s">
        <v>6</v>
      </c>
      <c r="B11282" s="1">
        <v>46128</v>
      </c>
      <c r="C11282">
        <v>1</v>
      </c>
      <c r="D11282">
        <v>236.46</v>
      </c>
      <c r="E11282">
        <v>0</v>
      </c>
      <c r="F11282" t="s">
        <v>7</v>
      </c>
      <c r="G11282" t="s">
        <v>11</v>
      </c>
      <c r="H11282" s="5">
        <f>MONTH(Tabela1[[#This Row],[data]])</f>
        <v>4</v>
      </c>
      <c r="I11282">
        <f>YEAR(Tabela1[[#This Row],[data]])</f>
        <v>2026</v>
      </c>
    </row>
    <row r="11283" spans="1:9" x14ac:dyDescent="0.25">
      <c r="A11283" t="s">
        <v>6</v>
      </c>
      <c r="B11283" s="1">
        <v>46128</v>
      </c>
      <c r="C11283">
        <v>2</v>
      </c>
      <c r="D11283">
        <v>227.64</v>
      </c>
      <c r="E11283">
        <v>0</v>
      </c>
      <c r="F11283" t="s">
        <v>7</v>
      </c>
      <c r="G11283" t="s">
        <v>11</v>
      </c>
      <c r="H11283" s="5">
        <f>MONTH(Tabela1[[#This Row],[data]])</f>
        <v>4</v>
      </c>
      <c r="I11283">
        <f>YEAR(Tabela1[[#This Row],[data]])</f>
        <v>2026</v>
      </c>
    </row>
    <row r="11284" spans="1:9" x14ac:dyDescent="0.25">
      <c r="A11284" t="s">
        <v>6</v>
      </c>
      <c r="B11284" s="1">
        <v>46128</v>
      </c>
      <c r="C11284">
        <v>3</v>
      </c>
      <c r="D11284">
        <v>221.76</v>
      </c>
      <c r="E11284">
        <v>0</v>
      </c>
      <c r="F11284" t="s">
        <v>7</v>
      </c>
      <c r="G11284" t="s">
        <v>11</v>
      </c>
      <c r="H11284" s="5">
        <f>MONTH(Tabela1[[#This Row],[data]])</f>
        <v>4</v>
      </c>
      <c r="I11284">
        <f>YEAR(Tabela1[[#This Row],[data]])</f>
        <v>2026</v>
      </c>
    </row>
    <row r="11285" spans="1:9" x14ac:dyDescent="0.25">
      <c r="A11285" t="s">
        <v>6</v>
      </c>
      <c r="B11285" s="1">
        <v>46128</v>
      </c>
      <c r="C11285">
        <v>4</v>
      </c>
      <c r="D11285">
        <v>220.92</v>
      </c>
      <c r="E11285">
        <v>0</v>
      </c>
      <c r="F11285" t="s">
        <v>7</v>
      </c>
      <c r="G11285" t="s">
        <v>11</v>
      </c>
      <c r="H11285" s="5">
        <f>MONTH(Tabela1[[#This Row],[data]])</f>
        <v>4</v>
      </c>
      <c r="I11285">
        <f>YEAR(Tabela1[[#This Row],[data]])</f>
        <v>2026</v>
      </c>
    </row>
    <row r="11286" spans="1:9" x14ac:dyDescent="0.25">
      <c r="A11286" t="s">
        <v>6</v>
      </c>
      <c r="B11286" s="1">
        <v>46128</v>
      </c>
      <c r="C11286">
        <v>5</v>
      </c>
      <c r="D11286">
        <v>228.48</v>
      </c>
      <c r="E11286">
        <v>0</v>
      </c>
      <c r="F11286" t="s">
        <v>7</v>
      </c>
      <c r="G11286" t="s">
        <v>11</v>
      </c>
      <c r="H11286" s="5">
        <f>MONTH(Tabela1[[#This Row],[data]])</f>
        <v>4</v>
      </c>
      <c r="I11286">
        <f>YEAR(Tabela1[[#This Row],[data]])</f>
        <v>2026</v>
      </c>
    </row>
    <row r="11287" spans="1:9" x14ac:dyDescent="0.25">
      <c r="A11287" t="s">
        <v>6</v>
      </c>
      <c r="B11287" s="1">
        <v>46128</v>
      </c>
      <c r="C11287">
        <v>6</v>
      </c>
      <c r="D11287">
        <v>217.14</v>
      </c>
      <c r="E11287">
        <v>0</v>
      </c>
      <c r="F11287" t="s">
        <v>7</v>
      </c>
      <c r="G11287" t="s">
        <v>11</v>
      </c>
      <c r="H11287" s="5">
        <f>MONTH(Tabela1[[#This Row],[data]])</f>
        <v>4</v>
      </c>
      <c r="I11287">
        <f>YEAR(Tabela1[[#This Row],[data]])</f>
        <v>2026</v>
      </c>
    </row>
    <row r="11288" spans="1:9" x14ac:dyDescent="0.25">
      <c r="A11288" t="s">
        <v>6</v>
      </c>
      <c r="B11288" s="1">
        <v>46128</v>
      </c>
      <c r="C11288">
        <v>7</v>
      </c>
      <c r="D11288">
        <v>223.44</v>
      </c>
      <c r="E11288">
        <v>0</v>
      </c>
      <c r="F11288" t="s">
        <v>7</v>
      </c>
      <c r="G11288" t="s">
        <v>11</v>
      </c>
      <c r="H11288" s="5">
        <f>MONTH(Tabela1[[#This Row],[data]])</f>
        <v>4</v>
      </c>
      <c r="I11288">
        <f>YEAR(Tabela1[[#This Row],[data]])</f>
        <v>2026</v>
      </c>
    </row>
    <row r="11289" spans="1:9" x14ac:dyDescent="0.25">
      <c r="A11289" t="s">
        <v>6</v>
      </c>
      <c r="B11289" s="1">
        <v>46128</v>
      </c>
      <c r="C11289">
        <v>8</v>
      </c>
      <c r="D11289">
        <v>245.7</v>
      </c>
      <c r="E11289">
        <v>0</v>
      </c>
      <c r="F11289" t="s">
        <v>7</v>
      </c>
      <c r="G11289" t="s">
        <v>11</v>
      </c>
      <c r="H11289" s="5">
        <f>MONTH(Tabela1[[#This Row],[data]])</f>
        <v>4</v>
      </c>
      <c r="I11289">
        <f>YEAR(Tabela1[[#This Row],[data]])</f>
        <v>2026</v>
      </c>
    </row>
    <row r="11290" spans="1:9" x14ac:dyDescent="0.25">
      <c r="A11290" t="s">
        <v>6</v>
      </c>
      <c r="B11290" s="1">
        <v>46128</v>
      </c>
      <c r="C11290">
        <v>9</v>
      </c>
      <c r="D11290">
        <v>324.24</v>
      </c>
      <c r="E11290">
        <v>0</v>
      </c>
      <c r="F11290" t="s">
        <v>7</v>
      </c>
      <c r="G11290" t="s">
        <v>11</v>
      </c>
      <c r="H11290" s="5">
        <f>MONTH(Tabela1[[#This Row],[data]])</f>
        <v>4</v>
      </c>
      <c r="I11290">
        <f>YEAR(Tabela1[[#This Row],[data]])</f>
        <v>2026</v>
      </c>
    </row>
    <row r="11291" spans="1:9" x14ac:dyDescent="0.25">
      <c r="A11291" t="s">
        <v>6</v>
      </c>
      <c r="B11291" s="1">
        <v>46128</v>
      </c>
      <c r="C11291">
        <v>10</v>
      </c>
      <c r="D11291">
        <v>409.92</v>
      </c>
      <c r="E11291">
        <v>4.2</v>
      </c>
      <c r="F11291" t="s">
        <v>7</v>
      </c>
      <c r="G11291" t="s">
        <v>11</v>
      </c>
      <c r="H11291" s="5">
        <f>MONTH(Tabela1[[#This Row],[data]])</f>
        <v>4</v>
      </c>
      <c r="I11291">
        <f>YEAR(Tabela1[[#This Row],[data]])</f>
        <v>2026</v>
      </c>
    </row>
    <row r="11292" spans="1:9" x14ac:dyDescent="0.25">
      <c r="A11292" t="s">
        <v>6</v>
      </c>
      <c r="B11292" s="1">
        <v>46128</v>
      </c>
      <c r="C11292">
        <v>11</v>
      </c>
      <c r="D11292">
        <v>622.86</v>
      </c>
      <c r="E11292">
        <v>84.42</v>
      </c>
      <c r="F11292" t="s">
        <v>7</v>
      </c>
      <c r="G11292" t="s">
        <v>11</v>
      </c>
      <c r="H11292" s="5">
        <f>MONTH(Tabela1[[#This Row],[data]])</f>
        <v>4</v>
      </c>
      <c r="I11292">
        <f>YEAR(Tabela1[[#This Row],[data]])</f>
        <v>2026</v>
      </c>
    </row>
    <row r="11293" spans="1:9" x14ac:dyDescent="0.25">
      <c r="A11293" t="s">
        <v>6</v>
      </c>
      <c r="B11293" s="1">
        <v>46128</v>
      </c>
      <c r="C11293">
        <v>12</v>
      </c>
      <c r="D11293">
        <v>710.22</v>
      </c>
      <c r="E11293">
        <v>127.68</v>
      </c>
      <c r="F11293" t="s">
        <v>7</v>
      </c>
      <c r="G11293" t="s">
        <v>11</v>
      </c>
      <c r="H11293" s="5">
        <f>MONTH(Tabela1[[#This Row],[data]])</f>
        <v>4</v>
      </c>
      <c r="I11293">
        <f>YEAR(Tabela1[[#This Row],[data]])</f>
        <v>2026</v>
      </c>
    </row>
    <row r="11294" spans="1:9" x14ac:dyDescent="0.25">
      <c r="A11294" t="s">
        <v>6</v>
      </c>
      <c r="B11294" s="1">
        <v>46128</v>
      </c>
      <c r="C11294">
        <v>13</v>
      </c>
      <c r="D11294">
        <v>929.04</v>
      </c>
      <c r="E11294">
        <v>217.56</v>
      </c>
      <c r="F11294" t="s">
        <v>7</v>
      </c>
      <c r="G11294" t="s">
        <v>11</v>
      </c>
      <c r="H11294" s="5">
        <f>MONTH(Tabela1[[#This Row],[data]])</f>
        <v>4</v>
      </c>
      <c r="I11294">
        <f>YEAR(Tabela1[[#This Row],[data]])</f>
        <v>2026</v>
      </c>
    </row>
    <row r="11295" spans="1:9" x14ac:dyDescent="0.25">
      <c r="A11295" t="s">
        <v>6</v>
      </c>
      <c r="B11295" s="1">
        <v>46128</v>
      </c>
      <c r="C11295">
        <v>14</v>
      </c>
      <c r="D11295">
        <v>952.56</v>
      </c>
      <c r="E11295">
        <v>244.86</v>
      </c>
      <c r="F11295" t="s">
        <v>7</v>
      </c>
      <c r="G11295" t="s">
        <v>11</v>
      </c>
      <c r="H11295" s="5">
        <f>MONTH(Tabela1[[#This Row],[data]])</f>
        <v>4</v>
      </c>
      <c r="I11295">
        <f>YEAR(Tabela1[[#This Row],[data]])</f>
        <v>2026</v>
      </c>
    </row>
    <row r="11296" spans="1:9" x14ac:dyDescent="0.25">
      <c r="A11296" t="s">
        <v>6</v>
      </c>
      <c r="B11296" s="1">
        <v>46128</v>
      </c>
      <c r="C11296">
        <v>15</v>
      </c>
      <c r="D11296">
        <v>897.54</v>
      </c>
      <c r="E11296">
        <v>246.54</v>
      </c>
      <c r="F11296" t="s">
        <v>7</v>
      </c>
      <c r="G11296" t="s">
        <v>11</v>
      </c>
      <c r="H11296" s="5">
        <f>MONTH(Tabela1[[#This Row],[data]])</f>
        <v>4</v>
      </c>
      <c r="I11296">
        <f>YEAR(Tabela1[[#This Row],[data]])</f>
        <v>2026</v>
      </c>
    </row>
    <row r="11297" spans="1:9" x14ac:dyDescent="0.25">
      <c r="A11297" t="s">
        <v>6</v>
      </c>
      <c r="B11297" s="1">
        <v>46128</v>
      </c>
      <c r="C11297">
        <v>16</v>
      </c>
      <c r="D11297">
        <v>797.58</v>
      </c>
      <c r="E11297">
        <v>170.52</v>
      </c>
      <c r="F11297" t="s">
        <v>7</v>
      </c>
      <c r="G11297" t="s">
        <v>11</v>
      </c>
      <c r="H11297" s="5">
        <f>MONTH(Tabela1[[#This Row],[data]])</f>
        <v>4</v>
      </c>
      <c r="I11297">
        <f>YEAR(Tabela1[[#This Row],[data]])</f>
        <v>2026</v>
      </c>
    </row>
    <row r="11298" spans="1:9" x14ac:dyDescent="0.25">
      <c r="A11298" t="s">
        <v>6</v>
      </c>
      <c r="B11298" s="1">
        <v>46128</v>
      </c>
      <c r="C11298">
        <v>17</v>
      </c>
      <c r="D11298">
        <v>907.62</v>
      </c>
      <c r="E11298">
        <v>229.32</v>
      </c>
      <c r="F11298" t="s">
        <v>7</v>
      </c>
      <c r="G11298" t="s">
        <v>11</v>
      </c>
      <c r="H11298" s="5">
        <f>MONTH(Tabela1[[#This Row],[data]])</f>
        <v>4</v>
      </c>
      <c r="I11298">
        <f>YEAR(Tabela1[[#This Row],[data]])</f>
        <v>2026</v>
      </c>
    </row>
    <row r="11299" spans="1:9" x14ac:dyDescent="0.25">
      <c r="A11299" t="s">
        <v>6</v>
      </c>
      <c r="B11299" s="1">
        <v>46128</v>
      </c>
      <c r="C11299">
        <v>18</v>
      </c>
      <c r="D11299">
        <v>860.16</v>
      </c>
      <c r="E11299">
        <v>206.64</v>
      </c>
      <c r="F11299" t="s">
        <v>7</v>
      </c>
      <c r="G11299" t="s">
        <v>11</v>
      </c>
      <c r="H11299" s="5">
        <f>MONTH(Tabela1[[#This Row],[data]])</f>
        <v>4</v>
      </c>
      <c r="I11299">
        <f>YEAR(Tabela1[[#This Row],[data]])</f>
        <v>2026</v>
      </c>
    </row>
    <row r="11300" spans="1:9" x14ac:dyDescent="0.25">
      <c r="A11300" t="s">
        <v>6</v>
      </c>
      <c r="B11300" s="1">
        <v>46128</v>
      </c>
      <c r="C11300">
        <v>19</v>
      </c>
      <c r="D11300">
        <v>818.16</v>
      </c>
      <c r="E11300">
        <v>165.9</v>
      </c>
      <c r="F11300" t="s">
        <v>7</v>
      </c>
      <c r="G11300" t="s">
        <v>11</v>
      </c>
      <c r="H11300" s="5">
        <f>MONTH(Tabela1[[#This Row],[data]])</f>
        <v>4</v>
      </c>
      <c r="I11300">
        <f>YEAR(Tabela1[[#This Row],[data]])</f>
        <v>2026</v>
      </c>
    </row>
    <row r="11301" spans="1:9" x14ac:dyDescent="0.25">
      <c r="A11301" t="s">
        <v>6</v>
      </c>
      <c r="B11301" s="1">
        <v>46128</v>
      </c>
      <c r="C11301">
        <v>20</v>
      </c>
      <c r="D11301">
        <v>802.62</v>
      </c>
      <c r="E11301">
        <v>188.58</v>
      </c>
      <c r="F11301" t="s">
        <v>7</v>
      </c>
      <c r="G11301" t="s">
        <v>11</v>
      </c>
      <c r="H11301" s="5">
        <f>MONTH(Tabela1[[#This Row],[data]])</f>
        <v>4</v>
      </c>
      <c r="I11301">
        <f>YEAR(Tabela1[[#This Row],[data]])</f>
        <v>2026</v>
      </c>
    </row>
    <row r="11302" spans="1:9" x14ac:dyDescent="0.25">
      <c r="A11302" t="s">
        <v>6</v>
      </c>
      <c r="B11302" s="1">
        <v>46128</v>
      </c>
      <c r="C11302">
        <v>21</v>
      </c>
      <c r="D11302">
        <v>788.76</v>
      </c>
      <c r="E11302">
        <v>178.92</v>
      </c>
      <c r="F11302" t="s">
        <v>7</v>
      </c>
      <c r="G11302" t="s">
        <v>11</v>
      </c>
      <c r="H11302" s="5">
        <f>MONTH(Tabela1[[#This Row],[data]])</f>
        <v>4</v>
      </c>
      <c r="I11302">
        <f>YEAR(Tabela1[[#This Row],[data]])</f>
        <v>2026</v>
      </c>
    </row>
    <row r="11303" spans="1:9" x14ac:dyDescent="0.25">
      <c r="A11303" t="s">
        <v>6</v>
      </c>
      <c r="B11303" s="1">
        <v>46128</v>
      </c>
      <c r="C11303">
        <v>22</v>
      </c>
      <c r="D11303">
        <v>755.16</v>
      </c>
      <c r="E11303">
        <v>158.76</v>
      </c>
      <c r="F11303" t="s">
        <v>7</v>
      </c>
      <c r="G11303" t="s">
        <v>11</v>
      </c>
      <c r="H11303" s="5">
        <f>MONTH(Tabela1[[#This Row],[data]])</f>
        <v>4</v>
      </c>
      <c r="I11303">
        <f>YEAR(Tabela1[[#This Row],[data]])</f>
        <v>2026</v>
      </c>
    </row>
    <row r="11304" spans="1:9" x14ac:dyDescent="0.25">
      <c r="A11304" t="s">
        <v>6</v>
      </c>
      <c r="B11304" s="1">
        <v>46128</v>
      </c>
      <c r="C11304">
        <v>23</v>
      </c>
      <c r="D11304">
        <v>448.98</v>
      </c>
      <c r="E11304">
        <v>25.62</v>
      </c>
      <c r="F11304" t="s">
        <v>7</v>
      </c>
      <c r="G11304" t="s">
        <v>11</v>
      </c>
      <c r="H11304" s="5">
        <f>MONTH(Tabela1[[#This Row],[data]])</f>
        <v>4</v>
      </c>
      <c r="I11304">
        <f>YEAR(Tabela1[[#This Row],[data]])</f>
        <v>2026</v>
      </c>
    </row>
    <row r="11305" spans="1:9" x14ac:dyDescent="0.25">
      <c r="A11305" t="s">
        <v>6</v>
      </c>
      <c r="B11305" s="1">
        <v>46128</v>
      </c>
      <c r="C11305">
        <v>24</v>
      </c>
      <c r="D11305">
        <v>256.2</v>
      </c>
      <c r="E11305">
        <v>0</v>
      </c>
      <c r="F11305" t="s">
        <v>7</v>
      </c>
      <c r="G11305" t="s">
        <v>11</v>
      </c>
      <c r="H11305" s="5">
        <f>MONTH(Tabela1[[#This Row],[data]])</f>
        <v>4</v>
      </c>
      <c r="I11305">
        <f>YEAR(Tabela1[[#This Row],[data]])</f>
        <v>2026</v>
      </c>
    </row>
    <row r="11306" spans="1:9" x14ac:dyDescent="0.25">
      <c r="A11306" t="s">
        <v>6</v>
      </c>
      <c r="B11306" s="1">
        <v>46129</v>
      </c>
      <c r="C11306">
        <v>1</v>
      </c>
      <c r="D11306">
        <v>236.04</v>
      </c>
      <c r="E11306">
        <v>0</v>
      </c>
      <c r="F11306" t="s">
        <v>7</v>
      </c>
      <c r="G11306" t="s">
        <v>11</v>
      </c>
      <c r="H11306" s="5">
        <f>MONTH(Tabela1[[#This Row],[data]])</f>
        <v>4</v>
      </c>
      <c r="I11306">
        <f>YEAR(Tabela1[[#This Row],[data]])</f>
        <v>2026</v>
      </c>
    </row>
    <row r="11307" spans="1:9" x14ac:dyDescent="0.25">
      <c r="A11307" t="s">
        <v>6</v>
      </c>
      <c r="B11307" s="1">
        <v>46129</v>
      </c>
      <c r="C11307">
        <v>2</v>
      </c>
      <c r="D11307">
        <v>225.12</v>
      </c>
      <c r="E11307">
        <v>0</v>
      </c>
      <c r="F11307" t="s">
        <v>7</v>
      </c>
      <c r="G11307" t="s">
        <v>11</v>
      </c>
      <c r="H11307" s="5">
        <f>MONTH(Tabela1[[#This Row],[data]])</f>
        <v>4</v>
      </c>
      <c r="I11307">
        <f>YEAR(Tabela1[[#This Row],[data]])</f>
        <v>2026</v>
      </c>
    </row>
    <row r="11308" spans="1:9" x14ac:dyDescent="0.25">
      <c r="A11308" t="s">
        <v>6</v>
      </c>
      <c r="B11308" s="1">
        <v>46129</v>
      </c>
      <c r="C11308">
        <v>3</v>
      </c>
      <c r="D11308">
        <v>220.92</v>
      </c>
      <c r="E11308">
        <v>0</v>
      </c>
      <c r="F11308" t="s">
        <v>7</v>
      </c>
      <c r="G11308" t="s">
        <v>11</v>
      </c>
      <c r="H11308" s="5">
        <f>MONTH(Tabela1[[#This Row],[data]])</f>
        <v>4</v>
      </c>
      <c r="I11308">
        <f>YEAR(Tabela1[[#This Row],[data]])</f>
        <v>2026</v>
      </c>
    </row>
    <row r="11309" spans="1:9" x14ac:dyDescent="0.25">
      <c r="A11309" t="s">
        <v>6</v>
      </c>
      <c r="B11309" s="1">
        <v>46129</v>
      </c>
      <c r="C11309">
        <v>4</v>
      </c>
      <c r="D11309">
        <v>220.5</v>
      </c>
      <c r="E11309">
        <v>0</v>
      </c>
      <c r="F11309" t="s">
        <v>7</v>
      </c>
      <c r="G11309" t="s">
        <v>11</v>
      </c>
      <c r="H11309" s="5">
        <f>MONTH(Tabela1[[#This Row],[data]])</f>
        <v>4</v>
      </c>
      <c r="I11309">
        <f>YEAR(Tabela1[[#This Row],[data]])</f>
        <v>2026</v>
      </c>
    </row>
    <row r="11310" spans="1:9" x14ac:dyDescent="0.25">
      <c r="A11310" t="s">
        <v>6</v>
      </c>
      <c r="B11310" s="1">
        <v>46129</v>
      </c>
      <c r="C11310">
        <v>5</v>
      </c>
      <c r="D11310">
        <v>225.54</v>
      </c>
      <c r="E11310">
        <v>0</v>
      </c>
      <c r="F11310" t="s">
        <v>7</v>
      </c>
      <c r="G11310" t="s">
        <v>11</v>
      </c>
      <c r="H11310" s="5">
        <f>MONTH(Tabela1[[#This Row],[data]])</f>
        <v>4</v>
      </c>
      <c r="I11310">
        <f>YEAR(Tabela1[[#This Row],[data]])</f>
        <v>2026</v>
      </c>
    </row>
    <row r="11311" spans="1:9" x14ac:dyDescent="0.25">
      <c r="A11311" t="s">
        <v>6</v>
      </c>
      <c r="B11311" s="1">
        <v>46129</v>
      </c>
      <c r="C11311">
        <v>6</v>
      </c>
      <c r="D11311">
        <v>220.92</v>
      </c>
      <c r="E11311">
        <v>0</v>
      </c>
      <c r="F11311" t="s">
        <v>7</v>
      </c>
      <c r="G11311" t="s">
        <v>11</v>
      </c>
      <c r="H11311" s="5">
        <f>MONTH(Tabela1[[#This Row],[data]])</f>
        <v>4</v>
      </c>
      <c r="I11311">
        <f>YEAR(Tabela1[[#This Row],[data]])</f>
        <v>2026</v>
      </c>
    </row>
    <row r="11312" spans="1:9" x14ac:dyDescent="0.25">
      <c r="A11312" t="s">
        <v>6</v>
      </c>
      <c r="B11312" s="1">
        <v>46129</v>
      </c>
      <c r="C11312">
        <v>7</v>
      </c>
      <c r="D11312">
        <v>221.76</v>
      </c>
      <c r="E11312">
        <v>0</v>
      </c>
      <c r="F11312" t="s">
        <v>7</v>
      </c>
      <c r="G11312" t="s">
        <v>11</v>
      </c>
      <c r="H11312" s="5">
        <f>MONTH(Tabela1[[#This Row],[data]])</f>
        <v>4</v>
      </c>
      <c r="I11312">
        <f>YEAR(Tabela1[[#This Row],[data]])</f>
        <v>2026</v>
      </c>
    </row>
    <row r="11313" spans="1:9" x14ac:dyDescent="0.25">
      <c r="A11313" t="s">
        <v>6</v>
      </c>
      <c r="B11313" s="1">
        <v>46129</v>
      </c>
      <c r="C11313">
        <v>8</v>
      </c>
      <c r="D11313">
        <v>232.68</v>
      </c>
      <c r="E11313">
        <v>0</v>
      </c>
      <c r="F11313" t="s">
        <v>7</v>
      </c>
      <c r="G11313" t="s">
        <v>11</v>
      </c>
      <c r="H11313" s="5">
        <f>MONTH(Tabela1[[#This Row],[data]])</f>
        <v>4</v>
      </c>
      <c r="I11313">
        <f>YEAR(Tabela1[[#This Row],[data]])</f>
        <v>2026</v>
      </c>
    </row>
    <row r="11314" spans="1:9" x14ac:dyDescent="0.25">
      <c r="A11314" t="s">
        <v>6</v>
      </c>
      <c r="B11314" s="1">
        <v>46129</v>
      </c>
      <c r="C11314">
        <v>9</v>
      </c>
      <c r="D11314">
        <v>342.72</v>
      </c>
      <c r="E11314">
        <v>0</v>
      </c>
      <c r="F11314" t="s">
        <v>7</v>
      </c>
      <c r="G11314" t="s">
        <v>11</v>
      </c>
      <c r="H11314" s="5">
        <f>MONTH(Tabela1[[#This Row],[data]])</f>
        <v>4</v>
      </c>
      <c r="I11314">
        <f>YEAR(Tabela1[[#This Row],[data]])</f>
        <v>2026</v>
      </c>
    </row>
    <row r="11315" spans="1:9" x14ac:dyDescent="0.25">
      <c r="A11315" t="s">
        <v>6</v>
      </c>
      <c r="B11315" s="1">
        <v>46129</v>
      </c>
      <c r="C11315">
        <v>10</v>
      </c>
      <c r="D11315">
        <v>439.32</v>
      </c>
      <c r="E11315">
        <v>30.24</v>
      </c>
      <c r="F11315" t="s">
        <v>7</v>
      </c>
      <c r="G11315" t="s">
        <v>11</v>
      </c>
      <c r="H11315" s="5">
        <f>MONTH(Tabela1[[#This Row],[data]])</f>
        <v>4</v>
      </c>
      <c r="I11315">
        <f>YEAR(Tabela1[[#This Row],[data]])</f>
        <v>2026</v>
      </c>
    </row>
    <row r="11316" spans="1:9" x14ac:dyDescent="0.25">
      <c r="A11316" t="s">
        <v>6</v>
      </c>
      <c r="B11316" s="1">
        <v>46129</v>
      </c>
      <c r="C11316">
        <v>11</v>
      </c>
      <c r="D11316">
        <v>840.84</v>
      </c>
      <c r="E11316">
        <v>183.96</v>
      </c>
      <c r="F11316" t="s">
        <v>7</v>
      </c>
      <c r="G11316" t="s">
        <v>11</v>
      </c>
      <c r="H11316" s="5">
        <f>MONTH(Tabela1[[#This Row],[data]])</f>
        <v>4</v>
      </c>
      <c r="I11316">
        <f>YEAR(Tabela1[[#This Row],[data]])</f>
        <v>2026</v>
      </c>
    </row>
    <row r="11317" spans="1:9" x14ac:dyDescent="0.25">
      <c r="A11317" t="s">
        <v>6</v>
      </c>
      <c r="B11317" s="1">
        <v>46129</v>
      </c>
      <c r="C11317">
        <v>12</v>
      </c>
      <c r="D11317">
        <v>884.52</v>
      </c>
      <c r="E11317">
        <v>219.24</v>
      </c>
      <c r="F11317" t="s">
        <v>7</v>
      </c>
      <c r="G11317" t="s">
        <v>11</v>
      </c>
      <c r="H11317" s="5">
        <f>MONTH(Tabela1[[#This Row],[data]])</f>
        <v>4</v>
      </c>
      <c r="I11317">
        <f>YEAR(Tabela1[[#This Row],[data]])</f>
        <v>2026</v>
      </c>
    </row>
    <row r="11318" spans="1:9" x14ac:dyDescent="0.25">
      <c r="A11318" t="s">
        <v>6</v>
      </c>
      <c r="B11318" s="1">
        <v>46129</v>
      </c>
      <c r="C11318">
        <v>13</v>
      </c>
      <c r="D11318">
        <v>887.88</v>
      </c>
      <c r="E11318">
        <v>202.44</v>
      </c>
      <c r="F11318" t="s">
        <v>7</v>
      </c>
      <c r="G11318" t="s">
        <v>11</v>
      </c>
      <c r="H11318" s="5">
        <f>MONTH(Tabela1[[#This Row],[data]])</f>
        <v>4</v>
      </c>
      <c r="I11318">
        <f>YEAR(Tabela1[[#This Row],[data]])</f>
        <v>2026</v>
      </c>
    </row>
    <row r="11319" spans="1:9" x14ac:dyDescent="0.25">
      <c r="A11319" t="s">
        <v>6</v>
      </c>
      <c r="B11319" s="1">
        <v>46129</v>
      </c>
      <c r="C11319">
        <v>14</v>
      </c>
      <c r="D11319">
        <v>916.44</v>
      </c>
      <c r="E11319">
        <v>197.82</v>
      </c>
      <c r="F11319" t="s">
        <v>7</v>
      </c>
      <c r="G11319" t="s">
        <v>11</v>
      </c>
      <c r="H11319" s="5">
        <f>MONTH(Tabela1[[#This Row],[data]])</f>
        <v>4</v>
      </c>
      <c r="I11319">
        <f>YEAR(Tabela1[[#This Row],[data]])</f>
        <v>2026</v>
      </c>
    </row>
    <row r="11320" spans="1:9" x14ac:dyDescent="0.25">
      <c r="A11320" t="s">
        <v>6</v>
      </c>
      <c r="B11320" s="1">
        <v>46129</v>
      </c>
      <c r="C11320">
        <v>15</v>
      </c>
      <c r="D11320">
        <v>900.9</v>
      </c>
      <c r="E11320">
        <v>208.32</v>
      </c>
      <c r="F11320" t="s">
        <v>7</v>
      </c>
      <c r="G11320" t="s">
        <v>11</v>
      </c>
      <c r="H11320" s="5">
        <f>MONTH(Tabela1[[#This Row],[data]])</f>
        <v>4</v>
      </c>
      <c r="I11320">
        <f>YEAR(Tabela1[[#This Row],[data]])</f>
        <v>2026</v>
      </c>
    </row>
    <row r="11321" spans="1:9" x14ac:dyDescent="0.25">
      <c r="A11321" t="s">
        <v>6</v>
      </c>
      <c r="B11321" s="1">
        <v>46129</v>
      </c>
      <c r="C11321">
        <v>16</v>
      </c>
      <c r="D11321">
        <v>907.2</v>
      </c>
      <c r="E11321">
        <v>227.22</v>
      </c>
      <c r="F11321" t="s">
        <v>7</v>
      </c>
      <c r="G11321" t="s">
        <v>11</v>
      </c>
      <c r="H11321" s="5">
        <f>MONTH(Tabela1[[#This Row],[data]])</f>
        <v>4</v>
      </c>
      <c r="I11321">
        <f>YEAR(Tabela1[[#This Row],[data]])</f>
        <v>2026</v>
      </c>
    </row>
    <row r="11322" spans="1:9" x14ac:dyDescent="0.25">
      <c r="A11322" t="s">
        <v>6</v>
      </c>
      <c r="B11322" s="1">
        <v>46129</v>
      </c>
      <c r="C11322">
        <v>17</v>
      </c>
      <c r="D11322">
        <v>871.5</v>
      </c>
      <c r="E11322">
        <v>204.96</v>
      </c>
      <c r="F11322" t="s">
        <v>7</v>
      </c>
      <c r="G11322" t="s">
        <v>11</v>
      </c>
      <c r="H11322" s="5">
        <f>MONTH(Tabela1[[#This Row],[data]])</f>
        <v>4</v>
      </c>
      <c r="I11322">
        <f>YEAR(Tabela1[[#This Row],[data]])</f>
        <v>2026</v>
      </c>
    </row>
    <row r="11323" spans="1:9" x14ac:dyDescent="0.25">
      <c r="A11323" t="s">
        <v>6</v>
      </c>
      <c r="B11323" s="1">
        <v>46129</v>
      </c>
      <c r="C11323">
        <v>18</v>
      </c>
      <c r="D11323">
        <v>858.9</v>
      </c>
      <c r="E11323">
        <v>190.68</v>
      </c>
      <c r="F11323" t="s">
        <v>7</v>
      </c>
      <c r="G11323" t="s">
        <v>11</v>
      </c>
      <c r="H11323" s="5">
        <f>MONTH(Tabela1[[#This Row],[data]])</f>
        <v>4</v>
      </c>
      <c r="I11323">
        <f>YEAR(Tabela1[[#This Row],[data]])</f>
        <v>2026</v>
      </c>
    </row>
    <row r="11324" spans="1:9" x14ac:dyDescent="0.25">
      <c r="A11324" t="s">
        <v>6</v>
      </c>
      <c r="B11324" s="1">
        <v>46129</v>
      </c>
      <c r="C11324">
        <v>19</v>
      </c>
      <c r="D11324">
        <v>842.1</v>
      </c>
      <c r="E11324">
        <v>177.66</v>
      </c>
      <c r="F11324" t="s">
        <v>7</v>
      </c>
      <c r="G11324" t="s">
        <v>11</v>
      </c>
      <c r="H11324" s="5">
        <f>MONTH(Tabela1[[#This Row],[data]])</f>
        <v>4</v>
      </c>
      <c r="I11324">
        <f>YEAR(Tabela1[[#This Row],[data]])</f>
        <v>2026</v>
      </c>
    </row>
    <row r="11325" spans="1:9" x14ac:dyDescent="0.25">
      <c r="A11325" t="s">
        <v>6</v>
      </c>
      <c r="B11325" s="1">
        <v>46129</v>
      </c>
      <c r="C11325">
        <v>20</v>
      </c>
      <c r="D11325">
        <v>828.24</v>
      </c>
      <c r="E11325">
        <v>194.46</v>
      </c>
      <c r="F11325" t="s">
        <v>7</v>
      </c>
      <c r="G11325" t="s">
        <v>11</v>
      </c>
      <c r="H11325" s="5">
        <f>MONTH(Tabela1[[#This Row],[data]])</f>
        <v>4</v>
      </c>
      <c r="I11325">
        <f>YEAR(Tabela1[[#This Row],[data]])</f>
        <v>2026</v>
      </c>
    </row>
    <row r="11326" spans="1:9" x14ac:dyDescent="0.25">
      <c r="A11326" t="s">
        <v>6</v>
      </c>
      <c r="B11326" s="1">
        <v>46129</v>
      </c>
      <c r="C11326">
        <v>21</v>
      </c>
      <c r="D11326">
        <v>756</v>
      </c>
      <c r="E11326">
        <v>128.52000000000001</v>
      </c>
      <c r="F11326" t="s">
        <v>7</v>
      </c>
      <c r="G11326" t="s">
        <v>11</v>
      </c>
      <c r="H11326" s="5">
        <f>MONTH(Tabela1[[#This Row],[data]])</f>
        <v>4</v>
      </c>
      <c r="I11326">
        <f>YEAR(Tabela1[[#This Row],[data]])</f>
        <v>2026</v>
      </c>
    </row>
    <row r="11327" spans="1:9" x14ac:dyDescent="0.25">
      <c r="A11327" t="s">
        <v>6</v>
      </c>
      <c r="B11327" s="1">
        <v>46129</v>
      </c>
      <c r="C11327">
        <v>22</v>
      </c>
      <c r="D11327">
        <v>604.38</v>
      </c>
      <c r="E11327">
        <v>39.479999999999997</v>
      </c>
      <c r="F11327" t="s">
        <v>7</v>
      </c>
      <c r="G11327" t="s">
        <v>11</v>
      </c>
      <c r="H11327" s="5">
        <f>MONTH(Tabela1[[#This Row],[data]])</f>
        <v>4</v>
      </c>
      <c r="I11327">
        <f>YEAR(Tabela1[[#This Row],[data]])</f>
        <v>2026</v>
      </c>
    </row>
    <row r="11328" spans="1:9" x14ac:dyDescent="0.25">
      <c r="A11328" t="s">
        <v>6</v>
      </c>
      <c r="B11328" s="1">
        <v>46129</v>
      </c>
      <c r="C11328">
        <v>23</v>
      </c>
      <c r="D11328">
        <v>383.04</v>
      </c>
      <c r="E11328">
        <v>1.68</v>
      </c>
      <c r="F11328" t="s">
        <v>7</v>
      </c>
      <c r="G11328" t="s">
        <v>11</v>
      </c>
      <c r="H11328" s="5">
        <f>MONTH(Tabela1[[#This Row],[data]])</f>
        <v>4</v>
      </c>
      <c r="I11328">
        <f>YEAR(Tabela1[[#This Row],[data]])</f>
        <v>2026</v>
      </c>
    </row>
    <row r="11329" spans="1:9" x14ac:dyDescent="0.25">
      <c r="A11329" t="s">
        <v>6</v>
      </c>
      <c r="B11329" s="1">
        <v>46129</v>
      </c>
      <c r="C11329">
        <v>24</v>
      </c>
      <c r="D11329">
        <v>275.94</v>
      </c>
      <c r="E11329">
        <v>0</v>
      </c>
      <c r="F11329" t="s">
        <v>7</v>
      </c>
      <c r="G11329" t="s">
        <v>11</v>
      </c>
      <c r="H11329" s="5">
        <f>MONTH(Tabela1[[#This Row],[data]])</f>
        <v>4</v>
      </c>
      <c r="I11329">
        <f>YEAR(Tabela1[[#This Row],[data]])</f>
        <v>2026</v>
      </c>
    </row>
    <row r="11330" spans="1:9" x14ac:dyDescent="0.25">
      <c r="A11330" t="s">
        <v>6</v>
      </c>
      <c r="B11330" s="1">
        <v>46130</v>
      </c>
      <c r="C11330">
        <v>1</v>
      </c>
      <c r="D11330">
        <v>236.88</v>
      </c>
      <c r="E11330">
        <v>0</v>
      </c>
      <c r="F11330" t="s">
        <v>7</v>
      </c>
      <c r="G11330" t="s">
        <v>11</v>
      </c>
      <c r="H11330" s="5">
        <f>MONTH(Tabela1[[#This Row],[data]])</f>
        <v>4</v>
      </c>
      <c r="I11330">
        <f>YEAR(Tabela1[[#This Row],[data]])</f>
        <v>2026</v>
      </c>
    </row>
    <row r="11331" spans="1:9" x14ac:dyDescent="0.25">
      <c r="A11331" t="s">
        <v>6</v>
      </c>
      <c r="B11331" s="1">
        <v>46130</v>
      </c>
      <c r="C11331">
        <v>2</v>
      </c>
      <c r="D11331">
        <v>228.48</v>
      </c>
      <c r="E11331">
        <v>0</v>
      </c>
      <c r="F11331" t="s">
        <v>7</v>
      </c>
      <c r="G11331" t="s">
        <v>11</v>
      </c>
      <c r="H11331" s="5">
        <f>MONTH(Tabela1[[#This Row],[data]])</f>
        <v>4</v>
      </c>
      <c r="I11331">
        <f>YEAR(Tabela1[[#This Row],[data]])</f>
        <v>2026</v>
      </c>
    </row>
    <row r="11332" spans="1:9" x14ac:dyDescent="0.25">
      <c r="A11332" t="s">
        <v>6</v>
      </c>
      <c r="B11332" s="1">
        <v>46130</v>
      </c>
      <c r="C11332">
        <v>3</v>
      </c>
      <c r="D11332">
        <v>224.7</v>
      </c>
      <c r="E11332">
        <v>0</v>
      </c>
      <c r="F11332" t="s">
        <v>7</v>
      </c>
      <c r="G11332" t="s">
        <v>11</v>
      </c>
      <c r="H11332" s="5">
        <f>MONTH(Tabela1[[#This Row],[data]])</f>
        <v>4</v>
      </c>
      <c r="I11332">
        <f>YEAR(Tabela1[[#This Row],[data]])</f>
        <v>2026</v>
      </c>
    </row>
    <row r="11333" spans="1:9" x14ac:dyDescent="0.25">
      <c r="A11333" t="s">
        <v>6</v>
      </c>
      <c r="B11333" s="1">
        <v>46130</v>
      </c>
      <c r="C11333">
        <v>4</v>
      </c>
      <c r="D11333">
        <v>223.86</v>
      </c>
      <c r="E11333">
        <v>0</v>
      </c>
      <c r="F11333" t="s">
        <v>7</v>
      </c>
      <c r="G11333" t="s">
        <v>11</v>
      </c>
      <c r="H11333" s="5">
        <f>MONTH(Tabela1[[#This Row],[data]])</f>
        <v>4</v>
      </c>
      <c r="I11333">
        <f>YEAR(Tabela1[[#This Row],[data]])</f>
        <v>2026</v>
      </c>
    </row>
    <row r="11334" spans="1:9" x14ac:dyDescent="0.25">
      <c r="A11334" t="s">
        <v>6</v>
      </c>
      <c r="B11334" s="1">
        <v>46130</v>
      </c>
      <c r="C11334">
        <v>5</v>
      </c>
      <c r="D11334">
        <v>232.26</v>
      </c>
      <c r="E11334">
        <v>0</v>
      </c>
      <c r="F11334" t="s">
        <v>7</v>
      </c>
      <c r="G11334" t="s">
        <v>11</v>
      </c>
      <c r="H11334" s="5">
        <f>MONTH(Tabela1[[#This Row],[data]])</f>
        <v>4</v>
      </c>
      <c r="I11334">
        <f>YEAR(Tabela1[[#This Row],[data]])</f>
        <v>2026</v>
      </c>
    </row>
    <row r="11335" spans="1:9" x14ac:dyDescent="0.25">
      <c r="A11335" t="s">
        <v>6</v>
      </c>
      <c r="B11335" s="1">
        <v>46130</v>
      </c>
      <c r="C11335">
        <v>6</v>
      </c>
      <c r="D11335">
        <v>229.32</v>
      </c>
      <c r="E11335">
        <v>0</v>
      </c>
      <c r="F11335" t="s">
        <v>7</v>
      </c>
      <c r="G11335" t="s">
        <v>11</v>
      </c>
      <c r="H11335" s="5">
        <f>MONTH(Tabela1[[#This Row],[data]])</f>
        <v>4</v>
      </c>
      <c r="I11335">
        <f>YEAR(Tabela1[[#This Row],[data]])</f>
        <v>2026</v>
      </c>
    </row>
    <row r="11336" spans="1:9" x14ac:dyDescent="0.25">
      <c r="A11336" t="s">
        <v>6</v>
      </c>
      <c r="B11336" s="1">
        <v>46130</v>
      </c>
      <c r="C11336">
        <v>7</v>
      </c>
      <c r="D11336">
        <v>220.92</v>
      </c>
      <c r="E11336">
        <v>0</v>
      </c>
      <c r="F11336" t="s">
        <v>7</v>
      </c>
      <c r="G11336" t="s">
        <v>11</v>
      </c>
      <c r="H11336" s="5">
        <f>MONTH(Tabela1[[#This Row],[data]])</f>
        <v>4</v>
      </c>
      <c r="I11336">
        <f>YEAR(Tabela1[[#This Row],[data]])</f>
        <v>2026</v>
      </c>
    </row>
    <row r="11337" spans="1:9" x14ac:dyDescent="0.25">
      <c r="A11337" t="s">
        <v>6</v>
      </c>
      <c r="B11337" s="1">
        <v>46130</v>
      </c>
      <c r="C11337">
        <v>8</v>
      </c>
      <c r="D11337">
        <v>231.84</v>
      </c>
      <c r="E11337">
        <v>0</v>
      </c>
      <c r="F11337" t="s">
        <v>7</v>
      </c>
      <c r="G11337" t="s">
        <v>11</v>
      </c>
      <c r="H11337" s="5">
        <f>MONTH(Tabela1[[#This Row],[data]])</f>
        <v>4</v>
      </c>
      <c r="I11337">
        <f>YEAR(Tabela1[[#This Row],[data]])</f>
        <v>2026</v>
      </c>
    </row>
    <row r="11338" spans="1:9" x14ac:dyDescent="0.25">
      <c r="A11338" t="s">
        <v>6</v>
      </c>
      <c r="B11338" s="1">
        <v>46130</v>
      </c>
      <c r="C11338">
        <v>9</v>
      </c>
      <c r="D11338">
        <v>341.88</v>
      </c>
      <c r="E11338">
        <v>0</v>
      </c>
      <c r="F11338" t="s">
        <v>7</v>
      </c>
      <c r="G11338" t="s">
        <v>11</v>
      </c>
      <c r="H11338" s="5">
        <f>MONTH(Tabela1[[#This Row],[data]])</f>
        <v>4</v>
      </c>
      <c r="I11338">
        <f>YEAR(Tabela1[[#This Row],[data]])</f>
        <v>2026</v>
      </c>
    </row>
    <row r="11339" spans="1:9" x14ac:dyDescent="0.25">
      <c r="A11339" t="s">
        <v>6</v>
      </c>
      <c r="B11339" s="1">
        <v>46130</v>
      </c>
      <c r="C11339">
        <v>10</v>
      </c>
      <c r="D11339">
        <v>637.55999999999995</v>
      </c>
      <c r="E11339">
        <v>83.58</v>
      </c>
      <c r="F11339" t="s">
        <v>7</v>
      </c>
      <c r="G11339" t="s">
        <v>11</v>
      </c>
      <c r="H11339" s="5">
        <f>MONTH(Tabela1[[#This Row],[data]])</f>
        <v>4</v>
      </c>
      <c r="I11339">
        <f>YEAR(Tabela1[[#This Row],[data]])</f>
        <v>2026</v>
      </c>
    </row>
    <row r="11340" spans="1:9" x14ac:dyDescent="0.25">
      <c r="A11340" t="s">
        <v>6</v>
      </c>
      <c r="B11340" s="1">
        <v>46130</v>
      </c>
      <c r="C11340">
        <v>11</v>
      </c>
      <c r="D11340">
        <v>821.1</v>
      </c>
      <c r="E11340">
        <v>157.08000000000001</v>
      </c>
      <c r="F11340" t="s">
        <v>7</v>
      </c>
      <c r="G11340" t="s">
        <v>11</v>
      </c>
      <c r="H11340" s="5">
        <f>MONTH(Tabela1[[#This Row],[data]])</f>
        <v>4</v>
      </c>
      <c r="I11340">
        <f>YEAR(Tabela1[[#This Row],[data]])</f>
        <v>2026</v>
      </c>
    </row>
    <row r="11341" spans="1:9" x14ac:dyDescent="0.25">
      <c r="A11341" t="s">
        <v>6</v>
      </c>
      <c r="B11341" s="1">
        <v>46130</v>
      </c>
      <c r="C11341">
        <v>12</v>
      </c>
      <c r="D11341">
        <v>869.82</v>
      </c>
      <c r="E11341">
        <v>194.46</v>
      </c>
      <c r="F11341" t="s">
        <v>7</v>
      </c>
      <c r="G11341" t="s">
        <v>11</v>
      </c>
      <c r="H11341" s="5">
        <f>MONTH(Tabela1[[#This Row],[data]])</f>
        <v>4</v>
      </c>
      <c r="I11341">
        <f>YEAR(Tabela1[[#This Row],[data]])</f>
        <v>2026</v>
      </c>
    </row>
    <row r="11342" spans="1:9" x14ac:dyDescent="0.25">
      <c r="A11342" t="s">
        <v>6</v>
      </c>
      <c r="B11342" s="1">
        <v>46130</v>
      </c>
      <c r="C11342">
        <v>13</v>
      </c>
      <c r="D11342">
        <v>882</v>
      </c>
      <c r="E11342">
        <v>211.26</v>
      </c>
      <c r="F11342" t="s">
        <v>7</v>
      </c>
      <c r="G11342" t="s">
        <v>11</v>
      </c>
      <c r="H11342" s="5">
        <f>MONTH(Tabela1[[#This Row],[data]])</f>
        <v>4</v>
      </c>
      <c r="I11342">
        <f>YEAR(Tabela1[[#This Row],[data]])</f>
        <v>2026</v>
      </c>
    </row>
    <row r="11343" spans="1:9" x14ac:dyDescent="0.25">
      <c r="A11343" t="s">
        <v>6</v>
      </c>
      <c r="B11343" s="1">
        <v>46130</v>
      </c>
      <c r="C11343">
        <v>14</v>
      </c>
      <c r="D11343">
        <v>908.46</v>
      </c>
      <c r="E11343">
        <v>203.7</v>
      </c>
      <c r="F11343" t="s">
        <v>7</v>
      </c>
      <c r="G11343" t="s">
        <v>11</v>
      </c>
      <c r="H11343" s="5">
        <f>MONTH(Tabela1[[#This Row],[data]])</f>
        <v>4</v>
      </c>
      <c r="I11343">
        <f>YEAR(Tabela1[[#This Row],[data]])</f>
        <v>2026</v>
      </c>
    </row>
    <row r="11344" spans="1:9" x14ac:dyDescent="0.25">
      <c r="A11344" t="s">
        <v>6</v>
      </c>
      <c r="B11344" s="1">
        <v>46130</v>
      </c>
      <c r="C11344">
        <v>15</v>
      </c>
      <c r="D11344">
        <v>901.74</v>
      </c>
      <c r="E11344">
        <v>194.04</v>
      </c>
      <c r="F11344" t="s">
        <v>7</v>
      </c>
      <c r="G11344" t="s">
        <v>11</v>
      </c>
      <c r="H11344" s="5">
        <f>MONTH(Tabela1[[#This Row],[data]])</f>
        <v>4</v>
      </c>
      <c r="I11344">
        <f>YEAR(Tabela1[[#This Row],[data]])</f>
        <v>2026</v>
      </c>
    </row>
    <row r="11345" spans="1:9" x14ac:dyDescent="0.25">
      <c r="A11345" t="s">
        <v>6</v>
      </c>
      <c r="B11345" s="1">
        <v>46130</v>
      </c>
      <c r="C11345">
        <v>16</v>
      </c>
      <c r="D11345">
        <v>908.88</v>
      </c>
      <c r="E11345">
        <v>207.48</v>
      </c>
      <c r="F11345" t="s">
        <v>7</v>
      </c>
      <c r="G11345" t="s">
        <v>11</v>
      </c>
      <c r="H11345" s="5">
        <f>MONTH(Tabela1[[#This Row],[data]])</f>
        <v>4</v>
      </c>
      <c r="I11345">
        <f>YEAR(Tabela1[[#This Row],[data]])</f>
        <v>2026</v>
      </c>
    </row>
    <row r="11346" spans="1:9" x14ac:dyDescent="0.25">
      <c r="A11346" t="s">
        <v>6</v>
      </c>
      <c r="B11346" s="1">
        <v>46130</v>
      </c>
      <c r="C11346">
        <v>17</v>
      </c>
      <c r="D11346">
        <v>873.6</v>
      </c>
      <c r="E11346">
        <v>195.3</v>
      </c>
      <c r="F11346" t="s">
        <v>7</v>
      </c>
      <c r="G11346" t="s">
        <v>11</v>
      </c>
      <c r="H11346" s="5">
        <f>MONTH(Tabela1[[#This Row],[data]])</f>
        <v>4</v>
      </c>
      <c r="I11346">
        <f>YEAR(Tabela1[[#This Row],[data]])</f>
        <v>2026</v>
      </c>
    </row>
    <row r="11347" spans="1:9" x14ac:dyDescent="0.25">
      <c r="A11347" t="s">
        <v>6</v>
      </c>
      <c r="B11347" s="1">
        <v>46130</v>
      </c>
      <c r="C11347">
        <v>18</v>
      </c>
      <c r="D11347">
        <v>877.38</v>
      </c>
      <c r="E11347">
        <v>192.36</v>
      </c>
      <c r="F11347" t="s">
        <v>7</v>
      </c>
      <c r="G11347" t="s">
        <v>11</v>
      </c>
      <c r="H11347" s="5">
        <f>MONTH(Tabela1[[#This Row],[data]])</f>
        <v>4</v>
      </c>
      <c r="I11347">
        <f>YEAR(Tabela1[[#This Row],[data]])</f>
        <v>2026</v>
      </c>
    </row>
    <row r="11348" spans="1:9" x14ac:dyDescent="0.25">
      <c r="A11348" t="s">
        <v>6</v>
      </c>
      <c r="B11348" s="1">
        <v>46130</v>
      </c>
      <c r="C11348">
        <v>19</v>
      </c>
      <c r="D11348">
        <v>881.58</v>
      </c>
      <c r="E11348">
        <v>186.48</v>
      </c>
      <c r="F11348" t="s">
        <v>7</v>
      </c>
      <c r="G11348" t="s">
        <v>11</v>
      </c>
      <c r="H11348" s="5">
        <f>MONTH(Tabela1[[#This Row],[data]])</f>
        <v>4</v>
      </c>
      <c r="I11348">
        <f>YEAR(Tabela1[[#This Row],[data]])</f>
        <v>2026</v>
      </c>
    </row>
    <row r="11349" spans="1:9" x14ac:dyDescent="0.25">
      <c r="A11349" t="s">
        <v>6</v>
      </c>
      <c r="B11349" s="1">
        <v>46130</v>
      </c>
      <c r="C11349">
        <v>20</v>
      </c>
      <c r="D11349">
        <v>857.64</v>
      </c>
      <c r="E11349">
        <v>186.06</v>
      </c>
      <c r="F11349" t="s">
        <v>7</v>
      </c>
      <c r="G11349" t="s">
        <v>11</v>
      </c>
      <c r="H11349" s="5">
        <f>MONTH(Tabela1[[#This Row],[data]])</f>
        <v>4</v>
      </c>
      <c r="I11349">
        <f>YEAR(Tabela1[[#This Row],[data]])</f>
        <v>2026</v>
      </c>
    </row>
    <row r="11350" spans="1:9" x14ac:dyDescent="0.25">
      <c r="A11350" t="s">
        <v>6</v>
      </c>
      <c r="B11350" s="1">
        <v>46130</v>
      </c>
      <c r="C11350">
        <v>21</v>
      </c>
      <c r="D11350">
        <v>858.06</v>
      </c>
      <c r="E11350">
        <v>197.82</v>
      </c>
      <c r="F11350" t="s">
        <v>7</v>
      </c>
      <c r="G11350" t="s">
        <v>11</v>
      </c>
      <c r="H11350" s="5">
        <f>MONTH(Tabela1[[#This Row],[data]])</f>
        <v>4</v>
      </c>
      <c r="I11350">
        <f>YEAR(Tabela1[[#This Row],[data]])</f>
        <v>2026</v>
      </c>
    </row>
    <row r="11351" spans="1:9" x14ac:dyDescent="0.25">
      <c r="A11351" t="s">
        <v>6</v>
      </c>
      <c r="B11351" s="1">
        <v>46130</v>
      </c>
      <c r="C11351">
        <v>22</v>
      </c>
      <c r="D11351">
        <v>740.46</v>
      </c>
      <c r="E11351">
        <v>117.18</v>
      </c>
      <c r="F11351" t="s">
        <v>7</v>
      </c>
      <c r="G11351" t="s">
        <v>11</v>
      </c>
      <c r="H11351" s="5">
        <f>MONTH(Tabela1[[#This Row],[data]])</f>
        <v>4</v>
      </c>
      <c r="I11351">
        <f>YEAR(Tabela1[[#This Row],[data]])</f>
        <v>2026</v>
      </c>
    </row>
    <row r="11352" spans="1:9" x14ac:dyDescent="0.25">
      <c r="A11352" t="s">
        <v>6</v>
      </c>
      <c r="B11352" s="1">
        <v>46130</v>
      </c>
      <c r="C11352">
        <v>23</v>
      </c>
      <c r="D11352">
        <v>380.94</v>
      </c>
      <c r="E11352">
        <v>0.84</v>
      </c>
      <c r="F11352" t="s">
        <v>7</v>
      </c>
      <c r="G11352" t="s">
        <v>11</v>
      </c>
      <c r="H11352" s="5">
        <f>MONTH(Tabela1[[#This Row],[data]])</f>
        <v>4</v>
      </c>
      <c r="I11352">
        <f>YEAR(Tabela1[[#This Row],[data]])</f>
        <v>2026</v>
      </c>
    </row>
    <row r="11353" spans="1:9" x14ac:dyDescent="0.25">
      <c r="A11353" t="s">
        <v>6</v>
      </c>
      <c r="B11353" s="1">
        <v>46130</v>
      </c>
      <c r="C11353">
        <v>24</v>
      </c>
      <c r="D11353">
        <v>273.83999999999997</v>
      </c>
      <c r="E11353">
        <v>0</v>
      </c>
      <c r="F11353" t="s">
        <v>7</v>
      </c>
      <c r="G11353" t="s">
        <v>11</v>
      </c>
      <c r="H11353" s="5">
        <f>MONTH(Tabela1[[#This Row],[data]])</f>
        <v>4</v>
      </c>
      <c r="I11353">
        <f>YEAR(Tabela1[[#This Row],[data]])</f>
        <v>2026</v>
      </c>
    </row>
    <row r="11354" spans="1:9" x14ac:dyDescent="0.25">
      <c r="A11354" t="s">
        <v>6</v>
      </c>
      <c r="B11354" s="1">
        <v>46131</v>
      </c>
      <c r="C11354">
        <v>1</v>
      </c>
      <c r="D11354">
        <v>244.86</v>
      </c>
      <c r="E11354">
        <v>0</v>
      </c>
      <c r="F11354" t="s">
        <v>7</v>
      </c>
      <c r="G11354" t="s">
        <v>11</v>
      </c>
      <c r="H11354" s="5">
        <f>MONTH(Tabela1[[#This Row],[data]])</f>
        <v>4</v>
      </c>
      <c r="I11354">
        <f>YEAR(Tabela1[[#This Row],[data]])</f>
        <v>2026</v>
      </c>
    </row>
    <row r="11355" spans="1:9" x14ac:dyDescent="0.25">
      <c r="A11355" t="s">
        <v>6</v>
      </c>
      <c r="B11355" s="1">
        <v>46131</v>
      </c>
      <c r="C11355">
        <v>2</v>
      </c>
      <c r="D11355">
        <v>223.02</v>
      </c>
      <c r="E11355">
        <v>0</v>
      </c>
      <c r="F11355" t="s">
        <v>7</v>
      </c>
      <c r="G11355" t="s">
        <v>11</v>
      </c>
      <c r="H11355" s="5">
        <f>MONTH(Tabela1[[#This Row],[data]])</f>
        <v>4</v>
      </c>
      <c r="I11355">
        <f>YEAR(Tabela1[[#This Row],[data]])</f>
        <v>2026</v>
      </c>
    </row>
    <row r="11356" spans="1:9" x14ac:dyDescent="0.25">
      <c r="A11356" t="s">
        <v>6</v>
      </c>
      <c r="B11356" s="1">
        <v>46131</v>
      </c>
      <c r="C11356">
        <v>3</v>
      </c>
      <c r="D11356">
        <v>221.76</v>
      </c>
      <c r="E11356">
        <v>0</v>
      </c>
      <c r="F11356" t="s">
        <v>7</v>
      </c>
      <c r="G11356" t="s">
        <v>11</v>
      </c>
      <c r="H11356" s="5">
        <f>MONTH(Tabela1[[#This Row],[data]])</f>
        <v>4</v>
      </c>
      <c r="I11356">
        <f>YEAR(Tabela1[[#This Row],[data]])</f>
        <v>2026</v>
      </c>
    </row>
    <row r="11357" spans="1:9" x14ac:dyDescent="0.25">
      <c r="A11357" t="s">
        <v>6</v>
      </c>
      <c r="B11357" s="1">
        <v>46131</v>
      </c>
      <c r="C11357">
        <v>4</v>
      </c>
      <c r="D11357">
        <v>218.4</v>
      </c>
      <c r="E11357">
        <v>0</v>
      </c>
      <c r="F11357" t="s">
        <v>7</v>
      </c>
      <c r="G11357" t="s">
        <v>11</v>
      </c>
      <c r="H11357" s="5">
        <f>MONTH(Tabela1[[#This Row],[data]])</f>
        <v>4</v>
      </c>
      <c r="I11357">
        <f>YEAR(Tabela1[[#This Row],[data]])</f>
        <v>2026</v>
      </c>
    </row>
    <row r="11358" spans="1:9" x14ac:dyDescent="0.25">
      <c r="A11358" t="s">
        <v>6</v>
      </c>
      <c r="B11358" s="1">
        <v>46131</v>
      </c>
      <c r="C11358">
        <v>5</v>
      </c>
      <c r="D11358">
        <v>227.64</v>
      </c>
      <c r="E11358">
        <v>0</v>
      </c>
      <c r="F11358" t="s">
        <v>7</v>
      </c>
      <c r="G11358" t="s">
        <v>11</v>
      </c>
      <c r="H11358" s="5">
        <f>MONTH(Tabela1[[#This Row],[data]])</f>
        <v>4</v>
      </c>
      <c r="I11358">
        <f>YEAR(Tabela1[[#This Row],[data]])</f>
        <v>2026</v>
      </c>
    </row>
    <row r="11359" spans="1:9" x14ac:dyDescent="0.25">
      <c r="A11359" t="s">
        <v>6</v>
      </c>
      <c r="B11359" s="1">
        <v>46131</v>
      </c>
      <c r="C11359">
        <v>6</v>
      </c>
      <c r="D11359">
        <v>223.86</v>
      </c>
      <c r="E11359">
        <v>0</v>
      </c>
      <c r="F11359" t="s">
        <v>7</v>
      </c>
      <c r="G11359" t="s">
        <v>11</v>
      </c>
      <c r="H11359" s="5">
        <f>MONTH(Tabela1[[#This Row],[data]])</f>
        <v>4</v>
      </c>
      <c r="I11359">
        <f>YEAR(Tabela1[[#This Row],[data]])</f>
        <v>2026</v>
      </c>
    </row>
    <row r="11360" spans="1:9" x14ac:dyDescent="0.25">
      <c r="A11360" t="s">
        <v>6</v>
      </c>
      <c r="B11360" s="1">
        <v>46131</v>
      </c>
      <c r="C11360">
        <v>7</v>
      </c>
      <c r="D11360">
        <v>209.16</v>
      </c>
      <c r="E11360">
        <v>0</v>
      </c>
      <c r="F11360" t="s">
        <v>7</v>
      </c>
      <c r="G11360" t="s">
        <v>11</v>
      </c>
      <c r="H11360" s="5">
        <f>MONTH(Tabela1[[#This Row],[data]])</f>
        <v>4</v>
      </c>
      <c r="I11360">
        <f>YEAR(Tabela1[[#This Row],[data]])</f>
        <v>2026</v>
      </c>
    </row>
    <row r="11361" spans="1:9" x14ac:dyDescent="0.25">
      <c r="A11361" t="s">
        <v>6</v>
      </c>
      <c r="B11361" s="1">
        <v>46131</v>
      </c>
      <c r="C11361">
        <v>8</v>
      </c>
      <c r="D11361">
        <v>197.4</v>
      </c>
      <c r="E11361">
        <v>0</v>
      </c>
      <c r="F11361" t="s">
        <v>7</v>
      </c>
      <c r="G11361" t="s">
        <v>11</v>
      </c>
      <c r="H11361" s="5">
        <f>MONTH(Tabela1[[#This Row],[data]])</f>
        <v>4</v>
      </c>
      <c r="I11361">
        <f>YEAR(Tabela1[[#This Row],[data]])</f>
        <v>2026</v>
      </c>
    </row>
    <row r="11362" spans="1:9" x14ac:dyDescent="0.25">
      <c r="A11362" t="s">
        <v>6</v>
      </c>
      <c r="B11362" s="1">
        <v>46131</v>
      </c>
      <c r="C11362">
        <v>9</v>
      </c>
      <c r="D11362">
        <v>243.18</v>
      </c>
      <c r="E11362">
        <v>0</v>
      </c>
      <c r="F11362" t="s">
        <v>7</v>
      </c>
      <c r="G11362" t="s">
        <v>11</v>
      </c>
      <c r="H11362" s="5">
        <f>MONTH(Tabela1[[#This Row],[data]])</f>
        <v>4</v>
      </c>
      <c r="I11362">
        <f>YEAR(Tabela1[[#This Row],[data]])</f>
        <v>2026</v>
      </c>
    </row>
    <row r="11363" spans="1:9" x14ac:dyDescent="0.25">
      <c r="A11363" t="s">
        <v>6</v>
      </c>
      <c r="B11363" s="1">
        <v>46131</v>
      </c>
      <c r="C11363">
        <v>10</v>
      </c>
      <c r="D11363">
        <v>303.66000000000003</v>
      </c>
      <c r="E11363">
        <v>0.42</v>
      </c>
      <c r="F11363" t="s">
        <v>7</v>
      </c>
      <c r="G11363" t="s">
        <v>11</v>
      </c>
      <c r="H11363" s="5">
        <f>MONTH(Tabela1[[#This Row],[data]])</f>
        <v>4</v>
      </c>
      <c r="I11363">
        <f>YEAR(Tabela1[[#This Row],[data]])</f>
        <v>2026</v>
      </c>
    </row>
    <row r="11364" spans="1:9" x14ac:dyDescent="0.25">
      <c r="A11364" t="s">
        <v>6</v>
      </c>
      <c r="B11364" s="1">
        <v>46131</v>
      </c>
      <c r="C11364">
        <v>11</v>
      </c>
      <c r="D11364">
        <v>388.08</v>
      </c>
      <c r="E11364">
        <v>10.08</v>
      </c>
      <c r="F11364" t="s">
        <v>7</v>
      </c>
      <c r="G11364" t="s">
        <v>11</v>
      </c>
      <c r="H11364" s="5">
        <f>MONTH(Tabela1[[#This Row],[data]])</f>
        <v>4</v>
      </c>
      <c r="I11364">
        <f>YEAR(Tabela1[[#This Row],[data]])</f>
        <v>2026</v>
      </c>
    </row>
    <row r="11365" spans="1:9" x14ac:dyDescent="0.25">
      <c r="A11365" t="s">
        <v>6</v>
      </c>
      <c r="B11365" s="1">
        <v>46131</v>
      </c>
      <c r="C11365">
        <v>12</v>
      </c>
      <c r="D11365">
        <v>637.55999999999995</v>
      </c>
      <c r="E11365">
        <v>97.86</v>
      </c>
      <c r="F11365" t="s">
        <v>7</v>
      </c>
      <c r="G11365" t="s">
        <v>11</v>
      </c>
      <c r="H11365" s="5">
        <f>MONTH(Tabela1[[#This Row],[data]])</f>
        <v>4</v>
      </c>
      <c r="I11365">
        <f>YEAR(Tabela1[[#This Row],[data]])</f>
        <v>2026</v>
      </c>
    </row>
    <row r="11366" spans="1:9" x14ac:dyDescent="0.25">
      <c r="A11366" t="s">
        <v>6</v>
      </c>
      <c r="B11366" s="1">
        <v>46131</v>
      </c>
      <c r="C11366">
        <v>13</v>
      </c>
      <c r="D11366">
        <v>827.4</v>
      </c>
      <c r="E11366">
        <v>168.84</v>
      </c>
      <c r="F11366" t="s">
        <v>7</v>
      </c>
      <c r="G11366" t="s">
        <v>11</v>
      </c>
      <c r="H11366" s="5">
        <f>MONTH(Tabela1[[#This Row],[data]])</f>
        <v>4</v>
      </c>
      <c r="I11366">
        <f>YEAR(Tabela1[[#This Row],[data]])</f>
        <v>2026</v>
      </c>
    </row>
    <row r="11367" spans="1:9" x14ac:dyDescent="0.25">
      <c r="A11367" t="s">
        <v>6</v>
      </c>
      <c r="B11367" s="1">
        <v>46131</v>
      </c>
      <c r="C11367">
        <v>14</v>
      </c>
      <c r="D11367">
        <v>835.8</v>
      </c>
      <c r="E11367">
        <v>175.14</v>
      </c>
      <c r="F11367" t="s">
        <v>7</v>
      </c>
      <c r="G11367" t="s">
        <v>11</v>
      </c>
      <c r="H11367" s="5">
        <f>MONTH(Tabela1[[#This Row],[data]])</f>
        <v>4</v>
      </c>
      <c r="I11367">
        <f>YEAR(Tabela1[[#This Row],[data]])</f>
        <v>2026</v>
      </c>
    </row>
    <row r="11368" spans="1:9" x14ac:dyDescent="0.25">
      <c r="A11368" t="s">
        <v>6</v>
      </c>
      <c r="B11368" s="1">
        <v>46131</v>
      </c>
      <c r="C11368">
        <v>15</v>
      </c>
      <c r="D11368">
        <v>853.02</v>
      </c>
      <c r="E11368">
        <v>173.46</v>
      </c>
      <c r="F11368" t="s">
        <v>7</v>
      </c>
      <c r="G11368" t="s">
        <v>11</v>
      </c>
      <c r="H11368" s="5">
        <f>MONTH(Tabela1[[#This Row],[data]])</f>
        <v>4</v>
      </c>
      <c r="I11368">
        <f>YEAR(Tabela1[[#This Row],[data]])</f>
        <v>2026</v>
      </c>
    </row>
    <row r="11369" spans="1:9" x14ac:dyDescent="0.25">
      <c r="A11369" t="s">
        <v>6</v>
      </c>
      <c r="B11369" s="1">
        <v>46131</v>
      </c>
      <c r="C11369">
        <v>16</v>
      </c>
      <c r="D11369">
        <v>855.54</v>
      </c>
      <c r="E11369">
        <v>178.92</v>
      </c>
      <c r="F11369" t="s">
        <v>7</v>
      </c>
      <c r="G11369" t="s">
        <v>11</v>
      </c>
      <c r="H11369" s="5">
        <f>MONTH(Tabela1[[#This Row],[data]])</f>
        <v>4</v>
      </c>
      <c r="I11369">
        <f>YEAR(Tabela1[[#This Row],[data]])</f>
        <v>2026</v>
      </c>
    </row>
    <row r="11370" spans="1:9" x14ac:dyDescent="0.25">
      <c r="A11370" t="s">
        <v>6</v>
      </c>
      <c r="B11370" s="1">
        <v>46131</v>
      </c>
      <c r="C11370">
        <v>17</v>
      </c>
      <c r="D11370">
        <v>855.12</v>
      </c>
      <c r="E11370">
        <v>178.92</v>
      </c>
      <c r="F11370" t="s">
        <v>7</v>
      </c>
      <c r="G11370" t="s">
        <v>11</v>
      </c>
      <c r="H11370" s="5">
        <f>MONTH(Tabela1[[#This Row],[data]])</f>
        <v>4</v>
      </c>
      <c r="I11370">
        <f>YEAR(Tabela1[[#This Row],[data]])</f>
        <v>2026</v>
      </c>
    </row>
    <row r="11371" spans="1:9" x14ac:dyDescent="0.25">
      <c r="A11371" t="s">
        <v>6</v>
      </c>
      <c r="B11371" s="1">
        <v>46131</v>
      </c>
      <c r="C11371">
        <v>18</v>
      </c>
      <c r="D11371">
        <v>852.6</v>
      </c>
      <c r="E11371">
        <v>178.08</v>
      </c>
      <c r="F11371" t="s">
        <v>7</v>
      </c>
      <c r="G11371" t="s">
        <v>11</v>
      </c>
      <c r="H11371" s="5">
        <f>MONTH(Tabela1[[#This Row],[data]])</f>
        <v>4</v>
      </c>
      <c r="I11371">
        <f>YEAR(Tabela1[[#This Row],[data]])</f>
        <v>2026</v>
      </c>
    </row>
    <row r="11372" spans="1:9" x14ac:dyDescent="0.25">
      <c r="A11372" t="s">
        <v>6</v>
      </c>
      <c r="B11372" s="1">
        <v>46131</v>
      </c>
      <c r="C11372">
        <v>19</v>
      </c>
      <c r="D11372">
        <v>829.08</v>
      </c>
      <c r="E11372">
        <v>157.91999999999999</v>
      </c>
      <c r="F11372" t="s">
        <v>7</v>
      </c>
      <c r="G11372" t="s">
        <v>11</v>
      </c>
      <c r="H11372" s="5">
        <f>MONTH(Tabela1[[#This Row],[data]])</f>
        <v>4</v>
      </c>
      <c r="I11372">
        <f>YEAR(Tabela1[[#This Row],[data]])</f>
        <v>2026</v>
      </c>
    </row>
    <row r="11373" spans="1:9" x14ac:dyDescent="0.25">
      <c r="A11373" t="s">
        <v>6</v>
      </c>
      <c r="B11373" s="1">
        <v>46131</v>
      </c>
      <c r="C11373">
        <v>20</v>
      </c>
      <c r="D11373">
        <v>811.02</v>
      </c>
      <c r="E11373">
        <v>160.02000000000001</v>
      </c>
      <c r="F11373" t="s">
        <v>7</v>
      </c>
      <c r="G11373" t="s">
        <v>11</v>
      </c>
      <c r="H11373" s="5">
        <f>MONTH(Tabela1[[#This Row],[data]])</f>
        <v>4</v>
      </c>
      <c r="I11373">
        <f>YEAR(Tabela1[[#This Row],[data]])</f>
        <v>2026</v>
      </c>
    </row>
    <row r="11374" spans="1:9" x14ac:dyDescent="0.25">
      <c r="A11374" t="s">
        <v>6</v>
      </c>
      <c r="B11374" s="1">
        <v>46131</v>
      </c>
      <c r="C11374">
        <v>21</v>
      </c>
      <c r="D11374">
        <v>750.12</v>
      </c>
      <c r="E11374">
        <v>152.04</v>
      </c>
      <c r="F11374" t="s">
        <v>7</v>
      </c>
      <c r="G11374" t="s">
        <v>11</v>
      </c>
      <c r="H11374" s="5">
        <f>MONTH(Tabela1[[#This Row],[data]])</f>
        <v>4</v>
      </c>
      <c r="I11374">
        <f>YEAR(Tabela1[[#This Row],[data]])</f>
        <v>2026</v>
      </c>
    </row>
    <row r="11375" spans="1:9" x14ac:dyDescent="0.25">
      <c r="A11375" t="s">
        <v>6</v>
      </c>
      <c r="B11375" s="1">
        <v>46131</v>
      </c>
      <c r="C11375">
        <v>22</v>
      </c>
      <c r="D11375">
        <v>636.29999999999995</v>
      </c>
      <c r="E11375">
        <v>129.36000000000001</v>
      </c>
      <c r="F11375" t="s">
        <v>7</v>
      </c>
      <c r="G11375" t="s">
        <v>11</v>
      </c>
      <c r="H11375" s="5">
        <f>MONTH(Tabela1[[#This Row],[data]])</f>
        <v>4</v>
      </c>
      <c r="I11375">
        <f>YEAR(Tabela1[[#This Row],[data]])</f>
        <v>2026</v>
      </c>
    </row>
    <row r="11376" spans="1:9" x14ac:dyDescent="0.25">
      <c r="A11376" t="s">
        <v>6</v>
      </c>
      <c r="B11376" s="1">
        <v>46131</v>
      </c>
      <c r="C11376">
        <v>23</v>
      </c>
      <c r="D11376">
        <v>430.08</v>
      </c>
      <c r="E11376">
        <v>26.88</v>
      </c>
      <c r="F11376" t="s">
        <v>7</v>
      </c>
      <c r="G11376" t="s">
        <v>11</v>
      </c>
      <c r="H11376" s="5">
        <f>MONTH(Tabela1[[#This Row],[data]])</f>
        <v>4</v>
      </c>
      <c r="I11376">
        <f>YEAR(Tabela1[[#This Row],[data]])</f>
        <v>2026</v>
      </c>
    </row>
    <row r="11377" spans="1:9" x14ac:dyDescent="0.25">
      <c r="A11377" t="s">
        <v>6</v>
      </c>
      <c r="B11377" s="1">
        <v>46131</v>
      </c>
      <c r="C11377">
        <v>24</v>
      </c>
      <c r="D11377">
        <v>294.83999999999997</v>
      </c>
      <c r="E11377">
        <v>0</v>
      </c>
      <c r="F11377" t="s">
        <v>7</v>
      </c>
      <c r="G11377" t="s">
        <v>11</v>
      </c>
      <c r="H11377" s="5">
        <f>MONTH(Tabela1[[#This Row],[data]])</f>
        <v>4</v>
      </c>
      <c r="I11377">
        <f>YEAR(Tabela1[[#This Row],[data]])</f>
        <v>2026</v>
      </c>
    </row>
    <row r="11378" spans="1:9" x14ac:dyDescent="0.25">
      <c r="A11378" t="s">
        <v>6</v>
      </c>
      <c r="B11378" s="1">
        <v>46132</v>
      </c>
      <c r="C11378">
        <v>1</v>
      </c>
      <c r="D11378">
        <v>250.32</v>
      </c>
      <c r="E11378">
        <v>0</v>
      </c>
      <c r="F11378" t="s">
        <v>7</v>
      </c>
      <c r="G11378" t="s">
        <v>11</v>
      </c>
      <c r="H11378" s="5">
        <f>MONTH(Tabela1[[#This Row],[data]])</f>
        <v>4</v>
      </c>
      <c r="I11378">
        <f>YEAR(Tabela1[[#This Row],[data]])</f>
        <v>2026</v>
      </c>
    </row>
    <row r="11379" spans="1:9" x14ac:dyDescent="0.25">
      <c r="A11379" t="s">
        <v>6</v>
      </c>
      <c r="B11379" s="1">
        <v>46132</v>
      </c>
      <c r="C11379">
        <v>2</v>
      </c>
      <c r="D11379">
        <v>233.52</v>
      </c>
      <c r="E11379">
        <v>0</v>
      </c>
      <c r="F11379" t="s">
        <v>7</v>
      </c>
      <c r="G11379" t="s">
        <v>11</v>
      </c>
      <c r="H11379" s="5">
        <f>MONTH(Tabela1[[#This Row],[data]])</f>
        <v>4</v>
      </c>
      <c r="I11379">
        <f>YEAR(Tabela1[[#This Row],[data]])</f>
        <v>2026</v>
      </c>
    </row>
    <row r="11380" spans="1:9" x14ac:dyDescent="0.25">
      <c r="A11380" t="s">
        <v>6</v>
      </c>
      <c r="B11380" s="1">
        <v>46132</v>
      </c>
      <c r="C11380">
        <v>3</v>
      </c>
      <c r="D11380">
        <v>228.9</v>
      </c>
      <c r="E11380">
        <v>0</v>
      </c>
      <c r="F11380" t="s">
        <v>7</v>
      </c>
      <c r="G11380" t="s">
        <v>11</v>
      </c>
      <c r="H11380" s="5">
        <f>MONTH(Tabela1[[#This Row],[data]])</f>
        <v>4</v>
      </c>
      <c r="I11380">
        <f>YEAR(Tabela1[[#This Row],[data]])</f>
        <v>2026</v>
      </c>
    </row>
    <row r="11381" spans="1:9" x14ac:dyDescent="0.25">
      <c r="A11381" t="s">
        <v>6</v>
      </c>
      <c r="B11381" s="1">
        <v>46132</v>
      </c>
      <c r="C11381">
        <v>4</v>
      </c>
      <c r="D11381">
        <v>228.9</v>
      </c>
      <c r="E11381">
        <v>0</v>
      </c>
      <c r="F11381" t="s">
        <v>7</v>
      </c>
      <c r="G11381" t="s">
        <v>11</v>
      </c>
      <c r="H11381" s="5">
        <f>MONTH(Tabela1[[#This Row],[data]])</f>
        <v>4</v>
      </c>
      <c r="I11381">
        <f>YEAR(Tabela1[[#This Row],[data]])</f>
        <v>2026</v>
      </c>
    </row>
    <row r="11382" spans="1:9" x14ac:dyDescent="0.25">
      <c r="A11382" t="s">
        <v>6</v>
      </c>
      <c r="B11382" s="1">
        <v>46132</v>
      </c>
      <c r="C11382">
        <v>5</v>
      </c>
      <c r="D11382">
        <v>240.24</v>
      </c>
      <c r="E11382">
        <v>0</v>
      </c>
      <c r="F11382" t="s">
        <v>7</v>
      </c>
      <c r="G11382" t="s">
        <v>11</v>
      </c>
      <c r="H11382" s="5">
        <f>MONTH(Tabela1[[#This Row],[data]])</f>
        <v>4</v>
      </c>
      <c r="I11382">
        <f>YEAR(Tabela1[[#This Row],[data]])</f>
        <v>2026</v>
      </c>
    </row>
    <row r="11383" spans="1:9" x14ac:dyDescent="0.25">
      <c r="A11383" t="s">
        <v>6</v>
      </c>
      <c r="B11383" s="1">
        <v>46132</v>
      </c>
      <c r="C11383">
        <v>6</v>
      </c>
      <c r="D11383">
        <v>232.26</v>
      </c>
      <c r="E11383">
        <v>0</v>
      </c>
      <c r="F11383" t="s">
        <v>7</v>
      </c>
      <c r="G11383" t="s">
        <v>11</v>
      </c>
      <c r="H11383" s="5">
        <f>MONTH(Tabela1[[#This Row],[data]])</f>
        <v>4</v>
      </c>
      <c r="I11383">
        <f>YEAR(Tabela1[[#This Row],[data]])</f>
        <v>2026</v>
      </c>
    </row>
    <row r="11384" spans="1:9" x14ac:dyDescent="0.25">
      <c r="A11384" t="s">
        <v>6</v>
      </c>
      <c r="B11384" s="1">
        <v>46132</v>
      </c>
      <c r="C11384">
        <v>7</v>
      </c>
      <c r="D11384">
        <v>231</v>
      </c>
      <c r="E11384">
        <v>0</v>
      </c>
      <c r="F11384" t="s">
        <v>7</v>
      </c>
      <c r="G11384" t="s">
        <v>11</v>
      </c>
      <c r="H11384" s="5">
        <f>MONTH(Tabela1[[#This Row],[data]])</f>
        <v>4</v>
      </c>
      <c r="I11384">
        <f>YEAR(Tabela1[[#This Row],[data]])</f>
        <v>2026</v>
      </c>
    </row>
    <row r="11385" spans="1:9" x14ac:dyDescent="0.25">
      <c r="A11385" t="s">
        <v>6</v>
      </c>
      <c r="B11385" s="1">
        <v>46132</v>
      </c>
      <c r="C11385">
        <v>8</v>
      </c>
      <c r="D11385">
        <v>248.22</v>
      </c>
      <c r="E11385">
        <v>0</v>
      </c>
      <c r="F11385" t="s">
        <v>7</v>
      </c>
      <c r="G11385" t="s">
        <v>11</v>
      </c>
      <c r="H11385" s="5">
        <f>MONTH(Tabela1[[#This Row],[data]])</f>
        <v>4</v>
      </c>
      <c r="I11385">
        <f>YEAR(Tabela1[[#This Row],[data]])</f>
        <v>2026</v>
      </c>
    </row>
    <row r="11386" spans="1:9" x14ac:dyDescent="0.25">
      <c r="A11386" t="s">
        <v>6</v>
      </c>
      <c r="B11386" s="1">
        <v>46132</v>
      </c>
      <c r="C11386">
        <v>9</v>
      </c>
      <c r="D11386">
        <v>311.64</v>
      </c>
      <c r="E11386">
        <v>0</v>
      </c>
      <c r="F11386" t="s">
        <v>7</v>
      </c>
      <c r="G11386" t="s">
        <v>11</v>
      </c>
      <c r="H11386" s="5">
        <f>MONTH(Tabela1[[#This Row],[data]])</f>
        <v>4</v>
      </c>
      <c r="I11386">
        <f>YEAR(Tabela1[[#This Row],[data]])</f>
        <v>2026</v>
      </c>
    </row>
    <row r="11387" spans="1:9" x14ac:dyDescent="0.25">
      <c r="A11387" t="s">
        <v>6</v>
      </c>
      <c r="B11387" s="1">
        <v>46132</v>
      </c>
      <c r="C11387">
        <v>10</v>
      </c>
      <c r="D11387">
        <v>467.04</v>
      </c>
      <c r="E11387">
        <v>43.26</v>
      </c>
      <c r="F11387" t="s">
        <v>7</v>
      </c>
      <c r="G11387" t="s">
        <v>11</v>
      </c>
      <c r="H11387" s="5">
        <f>MONTH(Tabela1[[#This Row],[data]])</f>
        <v>4</v>
      </c>
      <c r="I11387">
        <f>YEAR(Tabela1[[#This Row],[data]])</f>
        <v>2026</v>
      </c>
    </row>
    <row r="11388" spans="1:9" x14ac:dyDescent="0.25">
      <c r="A11388" t="s">
        <v>6</v>
      </c>
      <c r="B11388" s="1">
        <v>46132</v>
      </c>
      <c r="C11388">
        <v>11</v>
      </c>
      <c r="D11388">
        <v>776.16</v>
      </c>
      <c r="E11388">
        <v>163.80000000000001</v>
      </c>
      <c r="F11388" t="s">
        <v>7</v>
      </c>
      <c r="G11388" t="s">
        <v>11</v>
      </c>
      <c r="H11388" s="5">
        <f>MONTH(Tabela1[[#This Row],[data]])</f>
        <v>4</v>
      </c>
      <c r="I11388">
        <f>YEAR(Tabela1[[#This Row],[data]])</f>
        <v>2026</v>
      </c>
    </row>
    <row r="11389" spans="1:9" x14ac:dyDescent="0.25">
      <c r="A11389" t="s">
        <v>6</v>
      </c>
      <c r="B11389" s="1">
        <v>46132</v>
      </c>
      <c r="C11389">
        <v>12</v>
      </c>
      <c r="D11389">
        <v>797.16</v>
      </c>
      <c r="E11389">
        <v>173.46</v>
      </c>
      <c r="F11389" t="s">
        <v>7</v>
      </c>
      <c r="G11389" t="s">
        <v>11</v>
      </c>
      <c r="H11389" s="5">
        <f>MONTH(Tabela1[[#This Row],[data]])</f>
        <v>4</v>
      </c>
      <c r="I11389">
        <f>YEAR(Tabela1[[#This Row],[data]])</f>
        <v>2026</v>
      </c>
    </row>
    <row r="11390" spans="1:9" x14ac:dyDescent="0.25">
      <c r="A11390" t="s">
        <v>6</v>
      </c>
      <c r="B11390" s="1">
        <v>46132</v>
      </c>
      <c r="C11390">
        <v>13</v>
      </c>
      <c r="D11390">
        <v>787.5</v>
      </c>
      <c r="E11390">
        <v>182.7</v>
      </c>
      <c r="F11390" t="s">
        <v>7</v>
      </c>
      <c r="G11390" t="s">
        <v>11</v>
      </c>
      <c r="H11390" s="5">
        <f>MONTH(Tabela1[[#This Row],[data]])</f>
        <v>4</v>
      </c>
      <c r="I11390">
        <f>YEAR(Tabela1[[#This Row],[data]])</f>
        <v>2026</v>
      </c>
    </row>
    <row r="11391" spans="1:9" x14ac:dyDescent="0.25">
      <c r="A11391" t="s">
        <v>6</v>
      </c>
      <c r="B11391" s="1">
        <v>46132</v>
      </c>
      <c r="C11391">
        <v>14</v>
      </c>
      <c r="D11391">
        <v>801.78</v>
      </c>
      <c r="E11391">
        <v>168.42</v>
      </c>
      <c r="F11391" t="s">
        <v>7</v>
      </c>
      <c r="G11391" t="s">
        <v>11</v>
      </c>
      <c r="H11391" s="5">
        <f>MONTH(Tabela1[[#This Row],[data]])</f>
        <v>4</v>
      </c>
      <c r="I11391">
        <f>YEAR(Tabela1[[#This Row],[data]])</f>
        <v>2026</v>
      </c>
    </row>
    <row r="11392" spans="1:9" x14ac:dyDescent="0.25">
      <c r="A11392" t="s">
        <v>6</v>
      </c>
      <c r="B11392" s="1">
        <v>46132</v>
      </c>
      <c r="C11392">
        <v>15</v>
      </c>
      <c r="D11392">
        <v>815.64</v>
      </c>
      <c r="E11392">
        <v>162.12</v>
      </c>
      <c r="F11392" t="s">
        <v>7</v>
      </c>
      <c r="G11392" t="s">
        <v>11</v>
      </c>
      <c r="H11392" s="5">
        <f>MONTH(Tabela1[[#This Row],[data]])</f>
        <v>4</v>
      </c>
      <c r="I11392">
        <f>YEAR(Tabela1[[#This Row],[data]])</f>
        <v>2026</v>
      </c>
    </row>
    <row r="11393" spans="1:9" x14ac:dyDescent="0.25">
      <c r="A11393" t="s">
        <v>6</v>
      </c>
      <c r="B11393" s="1">
        <v>46132</v>
      </c>
      <c r="C11393">
        <v>16</v>
      </c>
      <c r="D11393">
        <v>809.76</v>
      </c>
      <c r="E11393">
        <v>161.28</v>
      </c>
      <c r="F11393" t="s">
        <v>7</v>
      </c>
      <c r="G11393" t="s">
        <v>11</v>
      </c>
      <c r="H11393" s="5">
        <f>MONTH(Tabela1[[#This Row],[data]])</f>
        <v>4</v>
      </c>
      <c r="I11393">
        <f>YEAR(Tabela1[[#This Row],[data]])</f>
        <v>2026</v>
      </c>
    </row>
    <row r="11394" spans="1:9" x14ac:dyDescent="0.25">
      <c r="A11394" t="s">
        <v>6</v>
      </c>
      <c r="B11394" s="1">
        <v>46132</v>
      </c>
      <c r="C11394">
        <v>17</v>
      </c>
      <c r="D11394">
        <v>830.76</v>
      </c>
      <c r="E11394">
        <v>181.02</v>
      </c>
      <c r="F11394" t="s">
        <v>7</v>
      </c>
      <c r="G11394" t="s">
        <v>11</v>
      </c>
      <c r="H11394" s="5">
        <f>MONTH(Tabela1[[#This Row],[data]])</f>
        <v>4</v>
      </c>
      <c r="I11394">
        <f>YEAR(Tabela1[[#This Row],[data]])</f>
        <v>2026</v>
      </c>
    </row>
    <row r="11395" spans="1:9" x14ac:dyDescent="0.25">
      <c r="A11395" t="s">
        <v>6</v>
      </c>
      <c r="B11395" s="1">
        <v>46132</v>
      </c>
      <c r="C11395">
        <v>18</v>
      </c>
      <c r="D11395">
        <v>782.04</v>
      </c>
      <c r="E11395">
        <v>186.48</v>
      </c>
      <c r="F11395" t="s">
        <v>7</v>
      </c>
      <c r="G11395" t="s">
        <v>11</v>
      </c>
      <c r="H11395" s="5">
        <f>MONTH(Tabela1[[#This Row],[data]])</f>
        <v>4</v>
      </c>
      <c r="I11395">
        <f>YEAR(Tabela1[[#This Row],[data]])</f>
        <v>2026</v>
      </c>
    </row>
    <row r="11396" spans="1:9" x14ac:dyDescent="0.25">
      <c r="A11396" t="s">
        <v>6</v>
      </c>
      <c r="B11396" s="1">
        <v>46132</v>
      </c>
      <c r="C11396">
        <v>19</v>
      </c>
      <c r="D11396">
        <v>776.58</v>
      </c>
      <c r="E11396">
        <v>157.5</v>
      </c>
      <c r="F11396" t="s">
        <v>7</v>
      </c>
      <c r="G11396" t="s">
        <v>11</v>
      </c>
      <c r="H11396" s="5">
        <f>MONTH(Tabela1[[#This Row],[data]])</f>
        <v>4</v>
      </c>
      <c r="I11396">
        <f>YEAR(Tabela1[[#This Row],[data]])</f>
        <v>2026</v>
      </c>
    </row>
    <row r="11397" spans="1:9" x14ac:dyDescent="0.25">
      <c r="A11397" t="s">
        <v>6</v>
      </c>
      <c r="B11397" s="1">
        <v>46132</v>
      </c>
      <c r="C11397">
        <v>20</v>
      </c>
      <c r="D11397">
        <v>773.22</v>
      </c>
      <c r="E11397">
        <v>166.32</v>
      </c>
      <c r="F11397" t="s">
        <v>7</v>
      </c>
      <c r="G11397" t="s">
        <v>11</v>
      </c>
      <c r="H11397" s="5">
        <f>MONTH(Tabela1[[#This Row],[data]])</f>
        <v>4</v>
      </c>
      <c r="I11397">
        <f>YEAR(Tabela1[[#This Row],[data]])</f>
        <v>2026</v>
      </c>
    </row>
    <row r="11398" spans="1:9" x14ac:dyDescent="0.25">
      <c r="A11398" t="s">
        <v>6</v>
      </c>
      <c r="B11398" s="1">
        <v>46132</v>
      </c>
      <c r="C11398">
        <v>21</v>
      </c>
      <c r="D11398">
        <v>769.44</v>
      </c>
      <c r="E11398">
        <v>170.94</v>
      </c>
      <c r="F11398" t="s">
        <v>7</v>
      </c>
      <c r="G11398" t="s">
        <v>11</v>
      </c>
      <c r="H11398" s="5">
        <f>MONTH(Tabela1[[#This Row],[data]])</f>
        <v>4</v>
      </c>
      <c r="I11398">
        <f>YEAR(Tabela1[[#This Row],[data]])</f>
        <v>2026</v>
      </c>
    </row>
    <row r="11399" spans="1:9" x14ac:dyDescent="0.25">
      <c r="A11399" t="s">
        <v>6</v>
      </c>
      <c r="B11399" s="1">
        <v>46132</v>
      </c>
      <c r="C11399">
        <v>22</v>
      </c>
      <c r="D11399">
        <v>722.4</v>
      </c>
      <c r="E11399">
        <v>145.32</v>
      </c>
      <c r="F11399" t="s">
        <v>7</v>
      </c>
      <c r="G11399" t="s">
        <v>11</v>
      </c>
      <c r="H11399" s="5">
        <f>MONTH(Tabela1[[#This Row],[data]])</f>
        <v>4</v>
      </c>
      <c r="I11399">
        <f>YEAR(Tabela1[[#This Row],[data]])</f>
        <v>2026</v>
      </c>
    </row>
    <row r="11400" spans="1:9" x14ac:dyDescent="0.25">
      <c r="A11400" t="s">
        <v>6</v>
      </c>
      <c r="B11400" s="1">
        <v>46132</v>
      </c>
      <c r="C11400">
        <v>23</v>
      </c>
      <c r="D11400">
        <v>431.34</v>
      </c>
      <c r="E11400">
        <v>19.739999999999998</v>
      </c>
      <c r="F11400" t="s">
        <v>7</v>
      </c>
      <c r="G11400" t="s">
        <v>11</v>
      </c>
      <c r="H11400" s="5">
        <f>MONTH(Tabela1[[#This Row],[data]])</f>
        <v>4</v>
      </c>
      <c r="I11400">
        <f>YEAR(Tabela1[[#This Row],[data]])</f>
        <v>2026</v>
      </c>
    </row>
    <row r="11401" spans="1:9" x14ac:dyDescent="0.25">
      <c r="A11401" t="s">
        <v>6</v>
      </c>
      <c r="B11401" s="1">
        <v>46132</v>
      </c>
      <c r="C11401">
        <v>24</v>
      </c>
      <c r="D11401">
        <v>272.16000000000003</v>
      </c>
      <c r="E11401">
        <v>0</v>
      </c>
      <c r="F11401" t="s">
        <v>7</v>
      </c>
      <c r="G11401" t="s">
        <v>11</v>
      </c>
      <c r="H11401" s="5">
        <f>MONTH(Tabela1[[#This Row],[data]])</f>
        <v>4</v>
      </c>
      <c r="I11401">
        <f>YEAR(Tabela1[[#This Row],[data]])</f>
        <v>2026</v>
      </c>
    </row>
    <row r="11402" spans="1:9" x14ac:dyDescent="0.25">
      <c r="A11402" t="s">
        <v>6</v>
      </c>
      <c r="B11402" s="1">
        <v>46133</v>
      </c>
      <c r="C11402">
        <v>1</v>
      </c>
      <c r="D11402">
        <v>253.26</v>
      </c>
      <c r="E11402">
        <v>0</v>
      </c>
      <c r="F11402" t="s">
        <v>7</v>
      </c>
      <c r="G11402" t="s">
        <v>11</v>
      </c>
      <c r="H11402" s="5">
        <f>MONTH(Tabela1[[#This Row],[data]])</f>
        <v>4</v>
      </c>
      <c r="I11402">
        <f>YEAR(Tabela1[[#This Row],[data]])</f>
        <v>2026</v>
      </c>
    </row>
    <row r="11403" spans="1:9" x14ac:dyDescent="0.25">
      <c r="A11403" t="s">
        <v>6</v>
      </c>
      <c r="B11403" s="1">
        <v>46133</v>
      </c>
      <c r="C11403">
        <v>2</v>
      </c>
      <c r="D11403">
        <v>235.62</v>
      </c>
      <c r="E11403">
        <v>0</v>
      </c>
      <c r="F11403" t="s">
        <v>7</v>
      </c>
      <c r="G11403" t="s">
        <v>11</v>
      </c>
      <c r="H11403" s="5">
        <f>MONTH(Tabela1[[#This Row],[data]])</f>
        <v>4</v>
      </c>
      <c r="I11403">
        <f>YEAR(Tabela1[[#This Row],[data]])</f>
        <v>2026</v>
      </c>
    </row>
    <row r="11404" spans="1:9" x14ac:dyDescent="0.25">
      <c r="A11404" t="s">
        <v>6</v>
      </c>
      <c r="B11404" s="1">
        <v>46133</v>
      </c>
      <c r="C11404">
        <v>3</v>
      </c>
      <c r="D11404">
        <v>217.56</v>
      </c>
      <c r="E11404">
        <v>0</v>
      </c>
      <c r="F11404" t="s">
        <v>7</v>
      </c>
      <c r="G11404" t="s">
        <v>11</v>
      </c>
      <c r="H11404" s="5">
        <f>MONTH(Tabela1[[#This Row],[data]])</f>
        <v>4</v>
      </c>
      <c r="I11404">
        <f>YEAR(Tabela1[[#This Row],[data]])</f>
        <v>2026</v>
      </c>
    </row>
    <row r="11405" spans="1:9" x14ac:dyDescent="0.25">
      <c r="A11405" t="s">
        <v>6</v>
      </c>
      <c r="B11405" s="1">
        <v>46133</v>
      </c>
      <c r="C11405">
        <v>4</v>
      </c>
      <c r="D11405">
        <v>216.72</v>
      </c>
      <c r="E11405">
        <v>0</v>
      </c>
      <c r="F11405" t="s">
        <v>7</v>
      </c>
      <c r="G11405" t="s">
        <v>11</v>
      </c>
      <c r="H11405" s="5">
        <f>MONTH(Tabela1[[#This Row],[data]])</f>
        <v>4</v>
      </c>
      <c r="I11405">
        <f>YEAR(Tabela1[[#This Row],[data]])</f>
        <v>2026</v>
      </c>
    </row>
    <row r="11406" spans="1:9" x14ac:dyDescent="0.25">
      <c r="A11406" t="s">
        <v>6</v>
      </c>
      <c r="B11406" s="1">
        <v>46133</v>
      </c>
      <c r="C11406">
        <v>5</v>
      </c>
      <c r="D11406">
        <v>220.5</v>
      </c>
      <c r="E11406">
        <v>0</v>
      </c>
      <c r="F11406" t="s">
        <v>7</v>
      </c>
      <c r="G11406" t="s">
        <v>11</v>
      </c>
      <c r="H11406" s="5">
        <f>MONTH(Tabela1[[#This Row],[data]])</f>
        <v>4</v>
      </c>
      <c r="I11406">
        <f>YEAR(Tabela1[[#This Row],[data]])</f>
        <v>2026</v>
      </c>
    </row>
    <row r="11407" spans="1:9" x14ac:dyDescent="0.25">
      <c r="A11407" t="s">
        <v>6</v>
      </c>
      <c r="B11407" s="1">
        <v>46133</v>
      </c>
      <c r="C11407">
        <v>6</v>
      </c>
      <c r="D11407">
        <v>216.3</v>
      </c>
      <c r="E11407">
        <v>0</v>
      </c>
      <c r="F11407" t="s">
        <v>7</v>
      </c>
      <c r="G11407" t="s">
        <v>11</v>
      </c>
      <c r="H11407" s="5">
        <f>MONTH(Tabela1[[#This Row],[data]])</f>
        <v>4</v>
      </c>
      <c r="I11407">
        <f>YEAR(Tabela1[[#This Row],[data]])</f>
        <v>2026</v>
      </c>
    </row>
    <row r="11408" spans="1:9" x14ac:dyDescent="0.25">
      <c r="A11408" t="s">
        <v>6</v>
      </c>
      <c r="B11408" s="1">
        <v>46133</v>
      </c>
      <c r="C11408">
        <v>7</v>
      </c>
      <c r="D11408">
        <v>196.14</v>
      </c>
      <c r="E11408">
        <v>0</v>
      </c>
      <c r="F11408" t="s">
        <v>7</v>
      </c>
      <c r="G11408" t="s">
        <v>11</v>
      </c>
      <c r="H11408" s="5">
        <f>MONTH(Tabela1[[#This Row],[data]])</f>
        <v>4</v>
      </c>
      <c r="I11408">
        <f>YEAR(Tabela1[[#This Row],[data]])</f>
        <v>2026</v>
      </c>
    </row>
    <row r="11409" spans="1:9" x14ac:dyDescent="0.25">
      <c r="A11409" t="s">
        <v>6</v>
      </c>
      <c r="B11409" s="1">
        <v>46133</v>
      </c>
      <c r="C11409">
        <v>8</v>
      </c>
      <c r="D11409">
        <v>211.68</v>
      </c>
      <c r="E11409">
        <v>0</v>
      </c>
      <c r="F11409" t="s">
        <v>7</v>
      </c>
      <c r="G11409" t="s">
        <v>11</v>
      </c>
      <c r="H11409" s="5">
        <f>MONTH(Tabela1[[#This Row],[data]])</f>
        <v>4</v>
      </c>
      <c r="I11409">
        <f>YEAR(Tabela1[[#This Row],[data]])</f>
        <v>2026</v>
      </c>
    </row>
    <row r="11410" spans="1:9" x14ac:dyDescent="0.25">
      <c r="A11410" t="s">
        <v>6</v>
      </c>
      <c r="B11410" s="1">
        <v>46133</v>
      </c>
      <c r="C11410">
        <v>9</v>
      </c>
      <c r="D11410">
        <v>286.02</v>
      </c>
      <c r="E11410">
        <v>0</v>
      </c>
      <c r="F11410" t="s">
        <v>7</v>
      </c>
      <c r="G11410" t="s">
        <v>11</v>
      </c>
      <c r="H11410" s="5">
        <f>MONTH(Tabela1[[#This Row],[data]])</f>
        <v>4</v>
      </c>
      <c r="I11410">
        <f>YEAR(Tabela1[[#This Row],[data]])</f>
        <v>2026</v>
      </c>
    </row>
    <row r="11411" spans="1:9" x14ac:dyDescent="0.25">
      <c r="A11411" t="s">
        <v>6</v>
      </c>
      <c r="B11411" s="1">
        <v>46133</v>
      </c>
      <c r="C11411">
        <v>10</v>
      </c>
      <c r="D11411">
        <v>357.42</v>
      </c>
      <c r="E11411">
        <v>2.52</v>
      </c>
      <c r="F11411" t="s">
        <v>7</v>
      </c>
      <c r="G11411" t="s">
        <v>11</v>
      </c>
      <c r="H11411" s="5">
        <f>MONTH(Tabela1[[#This Row],[data]])</f>
        <v>4</v>
      </c>
      <c r="I11411">
        <f>YEAR(Tabela1[[#This Row],[data]])</f>
        <v>2026</v>
      </c>
    </row>
    <row r="11412" spans="1:9" x14ac:dyDescent="0.25">
      <c r="A11412" t="s">
        <v>6</v>
      </c>
      <c r="B11412" s="1">
        <v>46133</v>
      </c>
      <c r="C11412">
        <v>11</v>
      </c>
      <c r="D11412">
        <v>431.34</v>
      </c>
      <c r="E11412">
        <v>27.72</v>
      </c>
      <c r="F11412" t="s">
        <v>7</v>
      </c>
      <c r="G11412" t="s">
        <v>11</v>
      </c>
      <c r="H11412" s="5">
        <f>MONTH(Tabela1[[#This Row],[data]])</f>
        <v>4</v>
      </c>
      <c r="I11412">
        <f>YEAR(Tabela1[[#This Row],[data]])</f>
        <v>2026</v>
      </c>
    </row>
    <row r="11413" spans="1:9" x14ac:dyDescent="0.25">
      <c r="A11413" t="s">
        <v>6</v>
      </c>
      <c r="B11413" s="1">
        <v>46133</v>
      </c>
      <c r="C11413">
        <v>12</v>
      </c>
      <c r="D11413">
        <v>741.72</v>
      </c>
      <c r="E11413">
        <v>155.82</v>
      </c>
      <c r="F11413" t="s">
        <v>7</v>
      </c>
      <c r="G11413" t="s">
        <v>11</v>
      </c>
      <c r="H11413" s="5">
        <f>MONTH(Tabela1[[#This Row],[data]])</f>
        <v>4</v>
      </c>
      <c r="I11413">
        <f>YEAR(Tabela1[[#This Row],[data]])</f>
        <v>2026</v>
      </c>
    </row>
    <row r="11414" spans="1:9" x14ac:dyDescent="0.25">
      <c r="A11414" t="s">
        <v>6</v>
      </c>
      <c r="B11414" s="1">
        <v>46133</v>
      </c>
      <c r="C11414">
        <v>13</v>
      </c>
      <c r="D11414">
        <v>792.96</v>
      </c>
      <c r="E11414">
        <v>193.2</v>
      </c>
      <c r="F11414" t="s">
        <v>7</v>
      </c>
      <c r="G11414" t="s">
        <v>11</v>
      </c>
      <c r="H11414" s="5">
        <f>MONTH(Tabela1[[#This Row],[data]])</f>
        <v>4</v>
      </c>
      <c r="I11414">
        <f>YEAR(Tabela1[[#This Row],[data]])</f>
        <v>2026</v>
      </c>
    </row>
    <row r="11415" spans="1:9" x14ac:dyDescent="0.25">
      <c r="A11415" t="s">
        <v>6</v>
      </c>
      <c r="B11415" s="1">
        <v>46133</v>
      </c>
      <c r="C11415">
        <v>14</v>
      </c>
      <c r="D11415">
        <v>816.06</v>
      </c>
      <c r="E11415">
        <v>176.82</v>
      </c>
      <c r="F11415" t="s">
        <v>7</v>
      </c>
      <c r="G11415" t="s">
        <v>11</v>
      </c>
      <c r="H11415" s="5">
        <f>MONTH(Tabela1[[#This Row],[data]])</f>
        <v>4</v>
      </c>
      <c r="I11415">
        <f>YEAR(Tabela1[[#This Row],[data]])</f>
        <v>2026</v>
      </c>
    </row>
    <row r="11416" spans="1:9" x14ac:dyDescent="0.25">
      <c r="A11416" t="s">
        <v>6</v>
      </c>
      <c r="B11416" s="1">
        <v>46133</v>
      </c>
      <c r="C11416">
        <v>15</v>
      </c>
      <c r="D11416">
        <v>847.98</v>
      </c>
      <c r="E11416">
        <v>178.92</v>
      </c>
      <c r="F11416" t="s">
        <v>7</v>
      </c>
      <c r="G11416" t="s">
        <v>11</v>
      </c>
      <c r="H11416" s="5">
        <f>MONTH(Tabela1[[#This Row],[data]])</f>
        <v>4</v>
      </c>
      <c r="I11416">
        <f>YEAR(Tabela1[[#This Row],[data]])</f>
        <v>2026</v>
      </c>
    </row>
    <row r="11417" spans="1:9" x14ac:dyDescent="0.25">
      <c r="A11417" t="s">
        <v>6</v>
      </c>
      <c r="B11417" s="1">
        <v>46133</v>
      </c>
      <c r="C11417">
        <v>16</v>
      </c>
      <c r="D11417">
        <v>859.32</v>
      </c>
      <c r="E11417">
        <v>199.92</v>
      </c>
      <c r="F11417" t="s">
        <v>7</v>
      </c>
      <c r="G11417" t="s">
        <v>11</v>
      </c>
      <c r="H11417" s="5">
        <f>MONTH(Tabela1[[#This Row],[data]])</f>
        <v>4</v>
      </c>
      <c r="I11417">
        <f>YEAR(Tabela1[[#This Row],[data]])</f>
        <v>2026</v>
      </c>
    </row>
    <row r="11418" spans="1:9" x14ac:dyDescent="0.25">
      <c r="A11418" t="s">
        <v>6</v>
      </c>
      <c r="B11418" s="1">
        <v>46133</v>
      </c>
      <c r="C11418">
        <v>17</v>
      </c>
      <c r="D11418">
        <v>838.32</v>
      </c>
      <c r="E11418">
        <v>202.02</v>
      </c>
      <c r="F11418" t="s">
        <v>7</v>
      </c>
      <c r="G11418" t="s">
        <v>11</v>
      </c>
      <c r="H11418" s="5">
        <f>MONTH(Tabela1[[#This Row],[data]])</f>
        <v>4</v>
      </c>
      <c r="I11418">
        <f>YEAR(Tabela1[[#This Row],[data]])</f>
        <v>2026</v>
      </c>
    </row>
    <row r="11419" spans="1:9" x14ac:dyDescent="0.25">
      <c r="A11419" t="s">
        <v>6</v>
      </c>
      <c r="B11419" s="1">
        <v>46133</v>
      </c>
      <c r="C11419">
        <v>18</v>
      </c>
      <c r="D11419">
        <v>814.38</v>
      </c>
      <c r="E11419">
        <v>193.62</v>
      </c>
      <c r="F11419" t="s">
        <v>7</v>
      </c>
      <c r="G11419" t="s">
        <v>11</v>
      </c>
      <c r="H11419" s="5">
        <f>MONTH(Tabela1[[#This Row],[data]])</f>
        <v>4</v>
      </c>
      <c r="I11419">
        <f>YEAR(Tabela1[[#This Row],[data]])</f>
        <v>2026</v>
      </c>
    </row>
    <row r="11420" spans="1:9" x14ac:dyDescent="0.25">
      <c r="A11420" t="s">
        <v>6</v>
      </c>
      <c r="B11420" s="1">
        <v>46133</v>
      </c>
      <c r="C11420">
        <v>19</v>
      </c>
      <c r="D11420">
        <v>821.52</v>
      </c>
      <c r="E11420">
        <v>168.84</v>
      </c>
      <c r="F11420" t="s">
        <v>7</v>
      </c>
      <c r="G11420" t="s">
        <v>11</v>
      </c>
      <c r="H11420" s="5">
        <f>MONTH(Tabela1[[#This Row],[data]])</f>
        <v>4</v>
      </c>
      <c r="I11420">
        <f>YEAR(Tabela1[[#This Row],[data]])</f>
        <v>2026</v>
      </c>
    </row>
    <row r="11421" spans="1:9" x14ac:dyDescent="0.25">
      <c r="A11421" t="s">
        <v>6</v>
      </c>
      <c r="B11421" s="1">
        <v>46133</v>
      </c>
      <c r="C11421">
        <v>20</v>
      </c>
      <c r="D11421">
        <v>803.88</v>
      </c>
      <c r="E11421">
        <v>165.9</v>
      </c>
      <c r="F11421" t="s">
        <v>7</v>
      </c>
      <c r="G11421" t="s">
        <v>11</v>
      </c>
      <c r="H11421" s="5">
        <f>MONTH(Tabela1[[#This Row],[data]])</f>
        <v>4</v>
      </c>
      <c r="I11421">
        <f>YEAR(Tabela1[[#This Row],[data]])</f>
        <v>2026</v>
      </c>
    </row>
    <row r="11422" spans="1:9" x14ac:dyDescent="0.25">
      <c r="A11422" t="s">
        <v>6</v>
      </c>
      <c r="B11422" s="1">
        <v>46133</v>
      </c>
      <c r="C11422">
        <v>21</v>
      </c>
      <c r="D11422">
        <v>768.6</v>
      </c>
      <c r="E11422">
        <v>162.54</v>
      </c>
      <c r="F11422" t="s">
        <v>7</v>
      </c>
      <c r="G11422" t="s">
        <v>11</v>
      </c>
      <c r="H11422" s="5">
        <f>MONTH(Tabela1[[#This Row],[data]])</f>
        <v>4</v>
      </c>
      <c r="I11422">
        <f>YEAR(Tabela1[[#This Row],[data]])</f>
        <v>2026</v>
      </c>
    </row>
    <row r="11423" spans="1:9" x14ac:dyDescent="0.25">
      <c r="A11423" t="s">
        <v>6</v>
      </c>
      <c r="B11423" s="1">
        <v>46133</v>
      </c>
      <c r="C11423">
        <v>22</v>
      </c>
      <c r="D11423">
        <v>542.64</v>
      </c>
      <c r="E11423">
        <v>76.86</v>
      </c>
      <c r="F11423" t="s">
        <v>7</v>
      </c>
      <c r="G11423" t="s">
        <v>11</v>
      </c>
      <c r="H11423" s="5">
        <f>MONTH(Tabela1[[#This Row],[data]])</f>
        <v>4</v>
      </c>
      <c r="I11423">
        <f>YEAR(Tabela1[[#This Row],[data]])</f>
        <v>2026</v>
      </c>
    </row>
    <row r="11424" spans="1:9" x14ac:dyDescent="0.25">
      <c r="A11424" t="s">
        <v>6</v>
      </c>
      <c r="B11424" s="1">
        <v>46133</v>
      </c>
      <c r="C11424">
        <v>23</v>
      </c>
      <c r="D11424">
        <v>317.94</v>
      </c>
      <c r="E11424">
        <v>0</v>
      </c>
      <c r="F11424" t="s">
        <v>7</v>
      </c>
      <c r="G11424" t="s">
        <v>11</v>
      </c>
      <c r="H11424" s="5">
        <f>MONTH(Tabela1[[#This Row],[data]])</f>
        <v>4</v>
      </c>
      <c r="I11424">
        <f>YEAR(Tabela1[[#This Row],[data]])</f>
        <v>2026</v>
      </c>
    </row>
    <row r="11425" spans="1:9" x14ac:dyDescent="0.25">
      <c r="A11425" t="s">
        <v>6</v>
      </c>
      <c r="B11425" s="1">
        <v>46133</v>
      </c>
      <c r="C11425">
        <v>24</v>
      </c>
      <c r="D11425">
        <v>263.76</v>
      </c>
      <c r="E11425">
        <v>0</v>
      </c>
      <c r="F11425" t="s">
        <v>7</v>
      </c>
      <c r="G11425" t="s">
        <v>11</v>
      </c>
      <c r="H11425" s="5">
        <f>MONTH(Tabela1[[#This Row],[data]])</f>
        <v>4</v>
      </c>
      <c r="I11425">
        <f>YEAR(Tabela1[[#This Row],[data]])</f>
        <v>2026</v>
      </c>
    </row>
    <row r="11426" spans="1:9" x14ac:dyDescent="0.25">
      <c r="A11426" t="s">
        <v>6</v>
      </c>
      <c r="B11426" s="1">
        <v>46134</v>
      </c>
      <c r="C11426">
        <v>1</v>
      </c>
      <c r="D11426">
        <v>242.76</v>
      </c>
      <c r="E11426">
        <v>0</v>
      </c>
      <c r="F11426" t="s">
        <v>7</v>
      </c>
      <c r="G11426" t="s">
        <v>11</v>
      </c>
      <c r="H11426" s="5">
        <f>MONTH(Tabela1[[#This Row],[data]])</f>
        <v>4</v>
      </c>
      <c r="I11426">
        <f>YEAR(Tabela1[[#This Row],[data]])</f>
        <v>2026</v>
      </c>
    </row>
    <row r="11427" spans="1:9" x14ac:dyDescent="0.25">
      <c r="A11427" t="s">
        <v>6</v>
      </c>
      <c r="B11427" s="1">
        <v>46134</v>
      </c>
      <c r="C11427">
        <v>2</v>
      </c>
      <c r="D11427">
        <v>224.7</v>
      </c>
      <c r="E11427">
        <v>0</v>
      </c>
      <c r="F11427" t="s">
        <v>7</v>
      </c>
      <c r="G11427" t="s">
        <v>11</v>
      </c>
      <c r="H11427" s="5">
        <f>MONTH(Tabela1[[#This Row],[data]])</f>
        <v>4</v>
      </c>
      <c r="I11427">
        <f>YEAR(Tabela1[[#This Row],[data]])</f>
        <v>2026</v>
      </c>
    </row>
    <row r="11428" spans="1:9" x14ac:dyDescent="0.25">
      <c r="A11428" t="s">
        <v>6</v>
      </c>
      <c r="B11428" s="1">
        <v>46134</v>
      </c>
      <c r="C11428">
        <v>3</v>
      </c>
      <c r="D11428">
        <v>220.08</v>
      </c>
      <c r="E11428">
        <v>0</v>
      </c>
      <c r="F11428" t="s">
        <v>7</v>
      </c>
      <c r="G11428" t="s">
        <v>11</v>
      </c>
      <c r="H11428" s="5">
        <f>MONTH(Tabela1[[#This Row],[data]])</f>
        <v>4</v>
      </c>
      <c r="I11428">
        <f>YEAR(Tabela1[[#This Row],[data]])</f>
        <v>2026</v>
      </c>
    </row>
    <row r="11429" spans="1:9" x14ac:dyDescent="0.25">
      <c r="A11429" t="s">
        <v>6</v>
      </c>
      <c r="B11429" s="1">
        <v>46134</v>
      </c>
      <c r="C11429">
        <v>4</v>
      </c>
      <c r="D11429">
        <v>217.56</v>
      </c>
      <c r="E11429">
        <v>0</v>
      </c>
      <c r="F11429" t="s">
        <v>7</v>
      </c>
      <c r="G11429" t="s">
        <v>11</v>
      </c>
      <c r="H11429" s="5">
        <f>MONTH(Tabela1[[#This Row],[data]])</f>
        <v>4</v>
      </c>
      <c r="I11429">
        <f>YEAR(Tabela1[[#This Row],[data]])</f>
        <v>2026</v>
      </c>
    </row>
    <row r="11430" spans="1:9" x14ac:dyDescent="0.25">
      <c r="A11430" t="s">
        <v>6</v>
      </c>
      <c r="B11430" s="1">
        <v>46134</v>
      </c>
      <c r="C11430">
        <v>5</v>
      </c>
      <c r="D11430">
        <v>225.54</v>
      </c>
      <c r="E11430">
        <v>0</v>
      </c>
      <c r="F11430" t="s">
        <v>7</v>
      </c>
      <c r="G11430" t="s">
        <v>11</v>
      </c>
      <c r="H11430" s="5">
        <f>MONTH(Tabela1[[#This Row],[data]])</f>
        <v>4</v>
      </c>
      <c r="I11430">
        <f>YEAR(Tabela1[[#This Row],[data]])</f>
        <v>2026</v>
      </c>
    </row>
    <row r="11431" spans="1:9" x14ac:dyDescent="0.25">
      <c r="A11431" t="s">
        <v>6</v>
      </c>
      <c r="B11431" s="1">
        <v>46134</v>
      </c>
      <c r="C11431">
        <v>6</v>
      </c>
      <c r="D11431">
        <v>223.86</v>
      </c>
      <c r="E11431">
        <v>0</v>
      </c>
      <c r="F11431" t="s">
        <v>7</v>
      </c>
      <c r="G11431" t="s">
        <v>11</v>
      </c>
      <c r="H11431" s="5">
        <f>MONTH(Tabela1[[#This Row],[data]])</f>
        <v>4</v>
      </c>
      <c r="I11431">
        <f>YEAR(Tabela1[[#This Row],[data]])</f>
        <v>2026</v>
      </c>
    </row>
    <row r="11432" spans="1:9" x14ac:dyDescent="0.25">
      <c r="A11432" t="s">
        <v>6</v>
      </c>
      <c r="B11432" s="1">
        <v>46134</v>
      </c>
      <c r="C11432">
        <v>7</v>
      </c>
      <c r="D11432">
        <v>222.6</v>
      </c>
      <c r="E11432">
        <v>0</v>
      </c>
      <c r="F11432" t="s">
        <v>7</v>
      </c>
      <c r="G11432" t="s">
        <v>11</v>
      </c>
      <c r="H11432" s="5">
        <f>MONTH(Tabela1[[#This Row],[data]])</f>
        <v>4</v>
      </c>
      <c r="I11432">
        <f>YEAR(Tabela1[[#This Row],[data]])</f>
        <v>2026</v>
      </c>
    </row>
    <row r="11433" spans="1:9" x14ac:dyDescent="0.25">
      <c r="A11433" t="s">
        <v>6</v>
      </c>
      <c r="B11433" s="1">
        <v>46134</v>
      </c>
      <c r="C11433">
        <v>8</v>
      </c>
      <c r="D11433">
        <v>221.34</v>
      </c>
      <c r="E11433">
        <v>0</v>
      </c>
      <c r="F11433" t="s">
        <v>7</v>
      </c>
      <c r="G11433" t="s">
        <v>11</v>
      </c>
      <c r="H11433" s="5">
        <f>MONTH(Tabela1[[#This Row],[data]])</f>
        <v>4</v>
      </c>
      <c r="I11433">
        <f>YEAR(Tabela1[[#This Row],[data]])</f>
        <v>2026</v>
      </c>
    </row>
    <row r="11434" spans="1:9" x14ac:dyDescent="0.25">
      <c r="A11434" t="s">
        <v>6</v>
      </c>
      <c r="B11434" s="1">
        <v>46134</v>
      </c>
      <c r="C11434">
        <v>9</v>
      </c>
      <c r="D11434">
        <v>323.82</v>
      </c>
      <c r="E11434">
        <v>0</v>
      </c>
      <c r="F11434" t="s">
        <v>7</v>
      </c>
      <c r="G11434" t="s">
        <v>11</v>
      </c>
      <c r="H11434" s="5">
        <f>MONTH(Tabela1[[#This Row],[data]])</f>
        <v>4</v>
      </c>
      <c r="I11434">
        <f>YEAR(Tabela1[[#This Row],[data]])</f>
        <v>2026</v>
      </c>
    </row>
    <row r="11435" spans="1:9" x14ac:dyDescent="0.25">
      <c r="A11435" t="s">
        <v>6</v>
      </c>
      <c r="B11435" s="1">
        <v>46134</v>
      </c>
      <c r="C11435">
        <v>10</v>
      </c>
      <c r="D11435">
        <v>400.26</v>
      </c>
      <c r="E11435">
        <v>8.4</v>
      </c>
      <c r="F11435" t="s">
        <v>7</v>
      </c>
      <c r="G11435" t="s">
        <v>11</v>
      </c>
      <c r="H11435" s="5">
        <f>MONTH(Tabela1[[#This Row],[data]])</f>
        <v>4</v>
      </c>
      <c r="I11435">
        <f>YEAR(Tabela1[[#This Row],[data]])</f>
        <v>2026</v>
      </c>
    </row>
    <row r="11436" spans="1:9" x14ac:dyDescent="0.25">
      <c r="A11436" t="s">
        <v>6</v>
      </c>
      <c r="B11436" s="1">
        <v>46134</v>
      </c>
      <c r="C11436">
        <v>11</v>
      </c>
      <c r="D11436">
        <v>821.52</v>
      </c>
      <c r="E11436">
        <v>165.9</v>
      </c>
      <c r="F11436" t="s">
        <v>7</v>
      </c>
      <c r="G11436" t="s">
        <v>11</v>
      </c>
      <c r="H11436" s="5">
        <f>MONTH(Tabela1[[#This Row],[data]])</f>
        <v>4</v>
      </c>
      <c r="I11436">
        <f>YEAR(Tabela1[[#This Row],[data]])</f>
        <v>2026</v>
      </c>
    </row>
    <row r="11437" spans="1:9" x14ac:dyDescent="0.25">
      <c r="A11437" t="s">
        <v>6</v>
      </c>
      <c r="B11437" s="1">
        <v>46134</v>
      </c>
      <c r="C11437">
        <v>12</v>
      </c>
      <c r="D11437">
        <v>832.02</v>
      </c>
      <c r="E11437">
        <v>183.12</v>
      </c>
      <c r="F11437" t="s">
        <v>7</v>
      </c>
      <c r="G11437" t="s">
        <v>11</v>
      </c>
      <c r="H11437" s="5">
        <f>MONTH(Tabela1[[#This Row],[data]])</f>
        <v>4</v>
      </c>
      <c r="I11437">
        <f>YEAR(Tabela1[[#This Row],[data]])</f>
        <v>2026</v>
      </c>
    </row>
    <row r="11438" spans="1:9" x14ac:dyDescent="0.25">
      <c r="A11438" t="s">
        <v>6</v>
      </c>
      <c r="B11438" s="1">
        <v>46134</v>
      </c>
      <c r="C11438">
        <v>13</v>
      </c>
      <c r="D11438">
        <v>824.46</v>
      </c>
      <c r="E11438">
        <v>197.4</v>
      </c>
      <c r="F11438" t="s">
        <v>7</v>
      </c>
      <c r="G11438" t="s">
        <v>11</v>
      </c>
      <c r="H11438" s="5">
        <f>MONTH(Tabela1[[#This Row],[data]])</f>
        <v>4</v>
      </c>
      <c r="I11438">
        <f>YEAR(Tabela1[[#This Row],[data]])</f>
        <v>2026</v>
      </c>
    </row>
    <row r="11439" spans="1:9" x14ac:dyDescent="0.25">
      <c r="A11439" t="s">
        <v>6</v>
      </c>
      <c r="B11439" s="1">
        <v>46134</v>
      </c>
      <c r="C11439">
        <v>14</v>
      </c>
      <c r="D11439">
        <v>826.56</v>
      </c>
      <c r="E11439">
        <v>179.34</v>
      </c>
      <c r="F11439" t="s">
        <v>7</v>
      </c>
      <c r="G11439" t="s">
        <v>11</v>
      </c>
      <c r="H11439" s="5">
        <f>MONTH(Tabela1[[#This Row],[data]])</f>
        <v>4</v>
      </c>
      <c r="I11439">
        <f>YEAR(Tabela1[[#This Row],[data]])</f>
        <v>2026</v>
      </c>
    </row>
    <row r="11440" spans="1:9" x14ac:dyDescent="0.25">
      <c r="A11440" t="s">
        <v>6</v>
      </c>
      <c r="B11440" s="1">
        <v>46134</v>
      </c>
      <c r="C11440">
        <v>15</v>
      </c>
      <c r="D11440">
        <v>857.22</v>
      </c>
      <c r="E11440">
        <v>191.52</v>
      </c>
      <c r="F11440" t="s">
        <v>7</v>
      </c>
      <c r="G11440" t="s">
        <v>11</v>
      </c>
      <c r="H11440" s="5">
        <f>MONTH(Tabela1[[#This Row],[data]])</f>
        <v>4</v>
      </c>
      <c r="I11440">
        <f>YEAR(Tabela1[[#This Row],[data]])</f>
        <v>2026</v>
      </c>
    </row>
    <row r="11441" spans="1:9" x14ac:dyDescent="0.25">
      <c r="A11441" t="s">
        <v>6</v>
      </c>
      <c r="B11441" s="1">
        <v>46134</v>
      </c>
      <c r="C11441">
        <v>16</v>
      </c>
      <c r="D11441">
        <v>827.4</v>
      </c>
      <c r="E11441">
        <v>200.76</v>
      </c>
      <c r="F11441" t="s">
        <v>7</v>
      </c>
      <c r="G11441" t="s">
        <v>11</v>
      </c>
      <c r="H11441" s="5">
        <f>MONTH(Tabela1[[#This Row],[data]])</f>
        <v>4</v>
      </c>
      <c r="I11441">
        <f>YEAR(Tabela1[[#This Row],[data]])</f>
        <v>2026</v>
      </c>
    </row>
    <row r="11442" spans="1:9" x14ac:dyDescent="0.25">
      <c r="A11442" t="s">
        <v>6</v>
      </c>
      <c r="B11442" s="1">
        <v>46134</v>
      </c>
      <c r="C11442">
        <v>17</v>
      </c>
      <c r="D11442">
        <v>811.86</v>
      </c>
      <c r="E11442">
        <v>194.46</v>
      </c>
      <c r="F11442" t="s">
        <v>7</v>
      </c>
      <c r="G11442" t="s">
        <v>11</v>
      </c>
      <c r="H11442" s="5">
        <f>MONTH(Tabela1[[#This Row],[data]])</f>
        <v>4</v>
      </c>
      <c r="I11442">
        <f>YEAR(Tabela1[[#This Row],[data]])</f>
        <v>2026</v>
      </c>
    </row>
    <row r="11443" spans="1:9" x14ac:dyDescent="0.25">
      <c r="A11443" t="s">
        <v>6</v>
      </c>
      <c r="B11443" s="1">
        <v>46134</v>
      </c>
      <c r="C11443">
        <v>18</v>
      </c>
      <c r="D11443">
        <v>803.88</v>
      </c>
      <c r="E11443">
        <v>177.66</v>
      </c>
      <c r="F11443" t="s">
        <v>7</v>
      </c>
      <c r="G11443" t="s">
        <v>11</v>
      </c>
      <c r="H11443" s="5">
        <f>MONTH(Tabela1[[#This Row],[data]])</f>
        <v>4</v>
      </c>
      <c r="I11443">
        <f>YEAR(Tabela1[[#This Row],[data]])</f>
        <v>2026</v>
      </c>
    </row>
    <row r="11444" spans="1:9" x14ac:dyDescent="0.25">
      <c r="A11444" t="s">
        <v>6</v>
      </c>
      <c r="B11444" s="1">
        <v>46134</v>
      </c>
      <c r="C11444">
        <v>19</v>
      </c>
      <c r="D11444">
        <v>763.14</v>
      </c>
      <c r="E11444">
        <v>148.26</v>
      </c>
      <c r="F11444" t="s">
        <v>7</v>
      </c>
      <c r="G11444" t="s">
        <v>11</v>
      </c>
      <c r="H11444" s="5">
        <f>MONTH(Tabela1[[#This Row],[data]])</f>
        <v>4</v>
      </c>
      <c r="I11444">
        <f>YEAR(Tabela1[[#This Row],[data]])</f>
        <v>2026</v>
      </c>
    </row>
    <row r="11445" spans="1:9" x14ac:dyDescent="0.25">
      <c r="A11445" t="s">
        <v>6</v>
      </c>
      <c r="B11445" s="1">
        <v>46134</v>
      </c>
      <c r="C11445">
        <v>20</v>
      </c>
      <c r="D11445">
        <v>766.92</v>
      </c>
      <c r="E11445">
        <v>169.68</v>
      </c>
      <c r="F11445" t="s">
        <v>7</v>
      </c>
      <c r="G11445" t="s">
        <v>11</v>
      </c>
      <c r="H11445" s="5">
        <f>MONTH(Tabela1[[#This Row],[data]])</f>
        <v>4</v>
      </c>
      <c r="I11445">
        <f>YEAR(Tabela1[[#This Row],[data]])</f>
        <v>2026</v>
      </c>
    </row>
    <row r="11446" spans="1:9" x14ac:dyDescent="0.25">
      <c r="A11446" t="s">
        <v>6</v>
      </c>
      <c r="B11446" s="1">
        <v>46134</v>
      </c>
      <c r="C11446">
        <v>21</v>
      </c>
      <c r="D11446">
        <v>763.56</v>
      </c>
      <c r="E11446">
        <v>168.42</v>
      </c>
      <c r="F11446" t="s">
        <v>7</v>
      </c>
      <c r="G11446" t="s">
        <v>11</v>
      </c>
      <c r="H11446" s="5">
        <f>MONTH(Tabela1[[#This Row],[data]])</f>
        <v>4</v>
      </c>
      <c r="I11446">
        <f>YEAR(Tabela1[[#This Row],[data]])</f>
        <v>2026</v>
      </c>
    </row>
    <row r="11447" spans="1:9" x14ac:dyDescent="0.25">
      <c r="A11447" t="s">
        <v>6</v>
      </c>
      <c r="B11447" s="1">
        <v>46134</v>
      </c>
      <c r="C11447">
        <v>22</v>
      </c>
      <c r="D11447">
        <v>722.4</v>
      </c>
      <c r="E11447">
        <v>144.06</v>
      </c>
      <c r="F11447" t="s">
        <v>7</v>
      </c>
      <c r="G11447" t="s">
        <v>11</v>
      </c>
      <c r="H11447" s="5">
        <f>MONTH(Tabela1[[#This Row],[data]])</f>
        <v>4</v>
      </c>
      <c r="I11447">
        <f>YEAR(Tabela1[[#This Row],[data]])</f>
        <v>2026</v>
      </c>
    </row>
    <row r="11448" spans="1:9" x14ac:dyDescent="0.25">
      <c r="A11448" t="s">
        <v>6</v>
      </c>
      <c r="B11448" s="1">
        <v>46134</v>
      </c>
      <c r="C11448">
        <v>23</v>
      </c>
      <c r="D11448">
        <v>456.54</v>
      </c>
      <c r="E11448">
        <v>27.3</v>
      </c>
      <c r="F11448" t="s">
        <v>7</v>
      </c>
      <c r="G11448" t="s">
        <v>11</v>
      </c>
      <c r="H11448" s="5">
        <f>MONTH(Tabela1[[#This Row],[data]])</f>
        <v>4</v>
      </c>
      <c r="I11448">
        <f>YEAR(Tabela1[[#This Row],[data]])</f>
        <v>2026</v>
      </c>
    </row>
    <row r="11449" spans="1:9" x14ac:dyDescent="0.25">
      <c r="A11449" t="s">
        <v>6</v>
      </c>
      <c r="B11449" s="1">
        <v>46134</v>
      </c>
      <c r="C11449">
        <v>24</v>
      </c>
      <c r="D11449">
        <v>320.45999999999998</v>
      </c>
      <c r="E11449">
        <v>0</v>
      </c>
      <c r="F11449" t="s">
        <v>7</v>
      </c>
      <c r="G11449" t="s">
        <v>11</v>
      </c>
      <c r="H11449" s="5">
        <f>MONTH(Tabela1[[#This Row],[data]])</f>
        <v>4</v>
      </c>
      <c r="I11449">
        <f>YEAR(Tabela1[[#This Row],[data]])</f>
        <v>2026</v>
      </c>
    </row>
    <row r="11450" spans="1:9" x14ac:dyDescent="0.25">
      <c r="A11450" t="s">
        <v>6</v>
      </c>
      <c r="B11450" s="1">
        <v>46135</v>
      </c>
      <c r="C11450">
        <v>1</v>
      </c>
      <c r="D11450">
        <v>239.4</v>
      </c>
      <c r="E11450">
        <v>0</v>
      </c>
      <c r="F11450" t="s">
        <v>7</v>
      </c>
      <c r="G11450" t="s">
        <v>11</v>
      </c>
      <c r="H11450" s="5">
        <f>MONTH(Tabela1[[#This Row],[data]])</f>
        <v>4</v>
      </c>
      <c r="I11450">
        <f>YEAR(Tabela1[[#This Row],[data]])</f>
        <v>2026</v>
      </c>
    </row>
    <row r="11451" spans="1:9" x14ac:dyDescent="0.25">
      <c r="A11451" t="s">
        <v>6</v>
      </c>
      <c r="B11451" s="1">
        <v>46135</v>
      </c>
      <c r="C11451">
        <v>2</v>
      </c>
      <c r="D11451">
        <v>227.22</v>
      </c>
      <c r="E11451">
        <v>0</v>
      </c>
      <c r="F11451" t="s">
        <v>7</v>
      </c>
      <c r="G11451" t="s">
        <v>11</v>
      </c>
      <c r="H11451" s="5">
        <f>MONTH(Tabela1[[#This Row],[data]])</f>
        <v>4</v>
      </c>
      <c r="I11451">
        <f>YEAR(Tabela1[[#This Row],[data]])</f>
        <v>2026</v>
      </c>
    </row>
    <row r="11452" spans="1:9" x14ac:dyDescent="0.25">
      <c r="A11452" t="s">
        <v>6</v>
      </c>
      <c r="B11452" s="1">
        <v>46135</v>
      </c>
      <c r="C11452">
        <v>3</v>
      </c>
      <c r="D11452">
        <v>224.28</v>
      </c>
      <c r="E11452">
        <v>0</v>
      </c>
      <c r="F11452" t="s">
        <v>7</v>
      </c>
      <c r="G11452" t="s">
        <v>11</v>
      </c>
      <c r="H11452" s="5">
        <f>MONTH(Tabela1[[#This Row],[data]])</f>
        <v>4</v>
      </c>
      <c r="I11452">
        <f>YEAR(Tabela1[[#This Row],[data]])</f>
        <v>2026</v>
      </c>
    </row>
    <row r="11453" spans="1:9" x14ac:dyDescent="0.25">
      <c r="A11453" t="s">
        <v>6</v>
      </c>
      <c r="B11453" s="1">
        <v>46135</v>
      </c>
      <c r="C11453">
        <v>4</v>
      </c>
      <c r="D11453">
        <v>221.76</v>
      </c>
      <c r="E11453">
        <v>0</v>
      </c>
      <c r="F11453" t="s">
        <v>7</v>
      </c>
      <c r="G11453" t="s">
        <v>11</v>
      </c>
      <c r="H11453" s="5">
        <f>MONTH(Tabela1[[#This Row],[data]])</f>
        <v>4</v>
      </c>
      <c r="I11453">
        <f>YEAR(Tabela1[[#This Row],[data]])</f>
        <v>2026</v>
      </c>
    </row>
    <row r="11454" spans="1:9" x14ac:dyDescent="0.25">
      <c r="A11454" t="s">
        <v>6</v>
      </c>
      <c r="B11454" s="1">
        <v>46135</v>
      </c>
      <c r="C11454">
        <v>5</v>
      </c>
      <c r="D11454">
        <v>234.36</v>
      </c>
      <c r="E11454">
        <v>0</v>
      </c>
      <c r="F11454" t="s">
        <v>7</v>
      </c>
      <c r="G11454" t="s">
        <v>11</v>
      </c>
      <c r="H11454" s="5">
        <f>MONTH(Tabela1[[#This Row],[data]])</f>
        <v>4</v>
      </c>
      <c r="I11454">
        <f>YEAR(Tabela1[[#This Row],[data]])</f>
        <v>2026</v>
      </c>
    </row>
    <row r="11455" spans="1:9" x14ac:dyDescent="0.25">
      <c r="A11455" t="s">
        <v>6</v>
      </c>
      <c r="B11455" s="1">
        <v>46135</v>
      </c>
      <c r="C11455">
        <v>6</v>
      </c>
      <c r="D11455">
        <v>228.48</v>
      </c>
      <c r="E11455">
        <v>0</v>
      </c>
      <c r="F11455" t="s">
        <v>7</v>
      </c>
      <c r="G11455" t="s">
        <v>11</v>
      </c>
      <c r="H11455" s="5">
        <f>MONTH(Tabela1[[#This Row],[data]])</f>
        <v>4</v>
      </c>
      <c r="I11455">
        <f>YEAR(Tabela1[[#This Row],[data]])</f>
        <v>2026</v>
      </c>
    </row>
    <row r="11456" spans="1:9" x14ac:dyDescent="0.25">
      <c r="A11456" t="s">
        <v>6</v>
      </c>
      <c r="B11456" s="1">
        <v>46135</v>
      </c>
      <c r="C11456">
        <v>7</v>
      </c>
      <c r="D11456">
        <v>221.34</v>
      </c>
      <c r="E11456">
        <v>0</v>
      </c>
      <c r="F11456" t="s">
        <v>7</v>
      </c>
      <c r="G11456" t="s">
        <v>11</v>
      </c>
      <c r="H11456" s="5">
        <f>MONTH(Tabela1[[#This Row],[data]])</f>
        <v>4</v>
      </c>
      <c r="I11456">
        <f>YEAR(Tabela1[[#This Row],[data]])</f>
        <v>2026</v>
      </c>
    </row>
    <row r="11457" spans="1:9" x14ac:dyDescent="0.25">
      <c r="A11457" t="s">
        <v>6</v>
      </c>
      <c r="B11457" s="1">
        <v>46135</v>
      </c>
      <c r="C11457">
        <v>8</v>
      </c>
      <c r="D11457">
        <v>233.94</v>
      </c>
      <c r="E11457">
        <v>0</v>
      </c>
      <c r="F11457" t="s">
        <v>7</v>
      </c>
      <c r="G11457" t="s">
        <v>11</v>
      </c>
      <c r="H11457" s="5">
        <f>MONTH(Tabela1[[#This Row],[data]])</f>
        <v>4</v>
      </c>
      <c r="I11457">
        <f>YEAR(Tabela1[[#This Row],[data]])</f>
        <v>2026</v>
      </c>
    </row>
    <row r="11458" spans="1:9" x14ac:dyDescent="0.25">
      <c r="A11458" t="s">
        <v>6</v>
      </c>
      <c r="B11458" s="1">
        <v>46135</v>
      </c>
      <c r="C11458">
        <v>9</v>
      </c>
      <c r="D11458">
        <v>318.77999999999997</v>
      </c>
      <c r="E11458">
        <v>0</v>
      </c>
      <c r="F11458" t="s">
        <v>7</v>
      </c>
      <c r="G11458" t="s">
        <v>11</v>
      </c>
      <c r="H11458" s="5">
        <f>MONTH(Tabela1[[#This Row],[data]])</f>
        <v>4</v>
      </c>
      <c r="I11458">
        <f>YEAR(Tabela1[[#This Row],[data]])</f>
        <v>2026</v>
      </c>
    </row>
    <row r="11459" spans="1:9" x14ac:dyDescent="0.25">
      <c r="A11459" t="s">
        <v>6</v>
      </c>
      <c r="B11459" s="1">
        <v>46135</v>
      </c>
      <c r="C11459">
        <v>10</v>
      </c>
      <c r="D11459">
        <v>398.16</v>
      </c>
      <c r="E11459">
        <v>7.98</v>
      </c>
      <c r="F11459" t="s">
        <v>7</v>
      </c>
      <c r="G11459" t="s">
        <v>11</v>
      </c>
      <c r="H11459" s="5">
        <f>MONTH(Tabela1[[#This Row],[data]])</f>
        <v>4</v>
      </c>
      <c r="I11459">
        <f>YEAR(Tabela1[[#This Row],[data]])</f>
        <v>2026</v>
      </c>
    </row>
    <row r="11460" spans="1:9" x14ac:dyDescent="0.25">
      <c r="A11460" t="s">
        <v>6</v>
      </c>
      <c r="B11460" s="1">
        <v>46135</v>
      </c>
      <c r="C11460">
        <v>11</v>
      </c>
      <c r="D11460">
        <v>759.36</v>
      </c>
      <c r="E11460">
        <v>154.97999999999999</v>
      </c>
      <c r="F11460" t="s">
        <v>7</v>
      </c>
      <c r="G11460" t="s">
        <v>11</v>
      </c>
      <c r="H11460" s="5">
        <f>MONTH(Tabela1[[#This Row],[data]])</f>
        <v>4</v>
      </c>
      <c r="I11460">
        <f>YEAR(Tabela1[[#This Row],[data]])</f>
        <v>2026</v>
      </c>
    </row>
    <row r="11461" spans="1:9" x14ac:dyDescent="0.25">
      <c r="A11461" t="s">
        <v>6</v>
      </c>
      <c r="B11461" s="1">
        <v>46135</v>
      </c>
      <c r="C11461">
        <v>12</v>
      </c>
      <c r="D11461">
        <v>834.96</v>
      </c>
      <c r="E11461">
        <v>191.94</v>
      </c>
      <c r="F11461" t="s">
        <v>7</v>
      </c>
      <c r="G11461" t="s">
        <v>11</v>
      </c>
      <c r="H11461" s="5">
        <f>MONTH(Tabela1[[#This Row],[data]])</f>
        <v>4</v>
      </c>
      <c r="I11461">
        <f>YEAR(Tabela1[[#This Row],[data]])</f>
        <v>2026</v>
      </c>
    </row>
    <row r="11462" spans="1:9" x14ac:dyDescent="0.25">
      <c r="A11462" t="s">
        <v>6</v>
      </c>
      <c r="B11462" s="1">
        <v>46135</v>
      </c>
      <c r="C11462">
        <v>13</v>
      </c>
      <c r="D11462">
        <v>861</v>
      </c>
      <c r="E11462">
        <v>215.88</v>
      </c>
      <c r="F11462" t="s">
        <v>7</v>
      </c>
      <c r="G11462" t="s">
        <v>11</v>
      </c>
      <c r="H11462" s="5">
        <f>MONTH(Tabela1[[#This Row],[data]])</f>
        <v>4</v>
      </c>
      <c r="I11462">
        <f>YEAR(Tabela1[[#This Row],[data]])</f>
        <v>2026</v>
      </c>
    </row>
    <row r="11463" spans="1:9" x14ac:dyDescent="0.25">
      <c r="A11463" t="s">
        <v>6</v>
      </c>
      <c r="B11463" s="1">
        <v>46135</v>
      </c>
      <c r="C11463">
        <v>14</v>
      </c>
      <c r="D11463">
        <v>842.52</v>
      </c>
      <c r="E11463">
        <v>175.56</v>
      </c>
      <c r="F11463" t="s">
        <v>7</v>
      </c>
      <c r="G11463" t="s">
        <v>11</v>
      </c>
      <c r="H11463" s="5">
        <f>MONTH(Tabela1[[#This Row],[data]])</f>
        <v>4</v>
      </c>
      <c r="I11463">
        <f>YEAR(Tabela1[[#This Row],[data]])</f>
        <v>2026</v>
      </c>
    </row>
    <row r="11464" spans="1:9" x14ac:dyDescent="0.25">
      <c r="A11464" t="s">
        <v>6</v>
      </c>
      <c r="B11464" s="1">
        <v>46135</v>
      </c>
      <c r="C11464">
        <v>15</v>
      </c>
      <c r="D11464">
        <v>859.32</v>
      </c>
      <c r="E11464">
        <v>197.4</v>
      </c>
      <c r="F11464" t="s">
        <v>7</v>
      </c>
      <c r="G11464" t="s">
        <v>11</v>
      </c>
      <c r="H11464" s="5">
        <f>MONTH(Tabela1[[#This Row],[data]])</f>
        <v>4</v>
      </c>
      <c r="I11464">
        <f>YEAR(Tabela1[[#This Row],[data]])</f>
        <v>2026</v>
      </c>
    </row>
    <row r="11465" spans="1:9" x14ac:dyDescent="0.25">
      <c r="A11465" t="s">
        <v>6</v>
      </c>
      <c r="B11465" s="1">
        <v>46135</v>
      </c>
      <c r="C11465">
        <v>16</v>
      </c>
      <c r="D11465">
        <v>908.88</v>
      </c>
      <c r="E11465">
        <v>240.66</v>
      </c>
      <c r="F11465" t="s">
        <v>7</v>
      </c>
      <c r="G11465" t="s">
        <v>11</v>
      </c>
      <c r="H11465" s="5">
        <f>MONTH(Tabela1[[#This Row],[data]])</f>
        <v>4</v>
      </c>
      <c r="I11465">
        <f>YEAR(Tabela1[[#This Row],[data]])</f>
        <v>2026</v>
      </c>
    </row>
    <row r="11466" spans="1:9" x14ac:dyDescent="0.25">
      <c r="A11466" t="s">
        <v>6</v>
      </c>
      <c r="B11466" s="1">
        <v>46135</v>
      </c>
      <c r="C11466">
        <v>17</v>
      </c>
      <c r="D11466">
        <v>883.68</v>
      </c>
      <c r="E11466">
        <v>236.46</v>
      </c>
      <c r="F11466" t="s">
        <v>7</v>
      </c>
      <c r="G11466" t="s">
        <v>11</v>
      </c>
      <c r="H11466" s="5">
        <f>MONTH(Tabela1[[#This Row],[data]])</f>
        <v>4</v>
      </c>
      <c r="I11466">
        <f>YEAR(Tabela1[[#This Row],[data]])</f>
        <v>2026</v>
      </c>
    </row>
    <row r="11467" spans="1:9" x14ac:dyDescent="0.25">
      <c r="A11467" t="s">
        <v>6</v>
      </c>
      <c r="B11467" s="1">
        <v>46135</v>
      </c>
      <c r="C11467">
        <v>18</v>
      </c>
      <c r="D11467">
        <v>797.58</v>
      </c>
      <c r="E11467">
        <v>174.3</v>
      </c>
      <c r="F11467" t="s">
        <v>7</v>
      </c>
      <c r="G11467" t="s">
        <v>11</v>
      </c>
      <c r="H11467" s="5">
        <f>MONTH(Tabela1[[#This Row],[data]])</f>
        <v>4</v>
      </c>
      <c r="I11467">
        <f>YEAR(Tabela1[[#This Row],[data]])</f>
        <v>2026</v>
      </c>
    </row>
    <row r="11468" spans="1:9" x14ac:dyDescent="0.25">
      <c r="A11468" t="s">
        <v>6</v>
      </c>
      <c r="B11468" s="1">
        <v>46135</v>
      </c>
      <c r="C11468">
        <v>19</v>
      </c>
      <c r="D11468">
        <v>761.04</v>
      </c>
      <c r="E11468">
        <v>150.36000000000001</v>
      </c>
      <c r="F11468" t="s">
        <v>7</v>
      </c>
      <c r="G11468" t="s">
        <v>11</v>
      </c>
      <c r="H11468" s="5">
        <f>MONTH(Tabela1[[#This Row],[data]])</f>
        <v>4</v>
      </c>
      <c r="I11468">
        <f>YEAR(Tabela1[[#This Row],[data]])</f>
        <v>2026</v>
      </c>
    </row>
    <row r="11469" spans="1:9" x14ac:dyDescent="0.25">
      <c r="A11469" t="s">
        <v>6</v>
      </c>
      <c r="B11469" s="1">
        <v>46135</v>
      </c>
      <c r="C11469">
        <v>20</v>
      </c>
      <c r="D11469">
        <v>769.86</v>
      </c>
      <c r="E11469">
        <v>166.74</v>
      </c>
      <c r="F11469" t="s">
        <v>7</v>
      </c>
      <c r="G11469" t="s">
        <v>11</v>
      </c>
      <c r="H11469" s="5">
        <f>MONTH(Tabela1[[#This Row],[data]])</f>
        <v>4</v>
      </c>
      <c r="I11469">
        <f>YEAR(Tabela1[[#This Row],[data]])</f>
        <v>2026</v>
      </c>
    </row>
    <row r="11470" spans="1:9" x14ac:dyDescent="0.25">
      <c r="A11470" t="s">
        <v>6</v>
      </c>
      <c r="B11470" s="1">
        <v>46135</v>
      </c>
      <c r="C11470">
        <v>21</v>
      </c>
      <c r="D11470">
        <v>626.22</v>
      </c>
      <c r="E11470">
        <v>68.040000000000006</v>
      </c>
      <c r="F11470" t="s">
        <v>7</v>
      </c>
      <c r="G11470" t="s">
        <v>11</v>
      </c>
      <c r="H11470" s="5">
        <f>MONTH(Tabela1[[#This Row],[data]])</f>
        <v>4</v>
      </c>
      <c r="I11470">
        <f>YEAR(Tabela1[[#This Row],[data]])</f>
        <v>2026</v>
      </c>
    </row>
    <row r="11471" spans="1:9" x14ac:dyDescent="0.25">
      <c r="A11471" t="s">
        <v>6</v>
      </c>
      <c r="B11471" s="1">
        <v>46135</v>
      </c>
      <c r="C11471">
        <v>22</v>
      </c>
      <c r="D11471">
        <v>566.58000000000004</v>
      </c>
      <c r="E11471">
        <v>27.72</v>
      </c>
      <c r="F11471" t="s">
        <v>7</v>
      </c>
      <c r="G11471" t="s">
        <v>11</v>
      </c>
      <c r="H11471" s="5">
        <f>MONTH(Tabela1[[#This Row],[data]])</f>
        <v>4</v>
      </c>
      <c r="I11471">
        <f>YEAR(Tabela1[[#This Row],[data]])</f>
        <v>2026</v>
      </c>
    </row>
    <row r="11472" spans="1:9" x14ac:dyDescent="0.25">
      <c r="A11472" t="s">
        <v>6</v>
      </c>
      <c r="B11472" s="1">
        <v>46135</v>
      </c>
      <c r="C11472">
        <v>23</v>
      </c>
      <c r="D11472">
        <v>352.8</v>
      </c>
      <c r="E11472">
        <v>0</v>
      </c>
      <c r="F11472" t="s">
        <v>7</v>
      </c>
      <c r="G11472" t="s">
        <v>11</v>
      </c>
      <c r="H11472" s="5">
        <f>MONTH(Tabela1[[#This Row],[data]])</f>
        <v>4</v>
      </c>
      <c r="I11472">
        <f>YEAR(Tabela1[[#This Row],[data]])</f>
        <v>2026</v>
      </c>
    </row>
    <row r="11473" spans="1:9" x14ac:dyDescent="0.25">
      <c r="A11473" t="s">
        <v>6</v>
      </c>
      <c r="B11473" s="1">
        <v>46135</v>
      </c>
      <c r="C11473">
        <v>24</v>
      </c>
      <c r="D11473">
        <v>265.86</v>
      </c>
      <c r="E11473">
        <v>0</v>
      </c>
      <c r="F11473" t="s">
        <v>7</v>
      </c>
      <c r="G11473" t="s">
        <v>11</v>
      </c>
      <c r="H11473" s="5">
        <f>MONTH(Tabela1[[#This Row],[data]])</f>
        <v>4</v>
      </c>
      <c r="I11473">
        <f>YEAR(Tabela1[[#This Row],[data]])</f>
        <v>2026</v>
      </c>
    </row>
    <row r="11474" spans="1:9" x14ac:dyDescent="0.25">
      <c r="A11474" t="s">
        <v>6</v>
      </c>
      <c r="B11474" s="1">
        <v>46136</v>
      </c>
      <c r="C11474">
        <v>1</v>
      </c>
      <c r="D11474">
        <v>258.3</v>
      </c>
      <c r="E11474">
        <v>0</v>
      </c>
      <c r="F11474" t="s">
        <v>7</v>
      </c>
      <c r="G11474" t="s">
        <v>11</v>
      </c>
      <c r="H11474" s="5">
        <f>MONTH(Tabela1[[#This Row],[data]])</f>
        <v>4</v>
      </c>
      <c r="I11474">
        <f>YEAR(Tabela1[[#This Row],[data]])</f>
        <v>2026</v>
      </c>
    </row>
    <row r="11475" spans="1:9" x14ac:dyDescent="0.25">
      <c r="A11475" t="s">
        <v>6</v>
      </c>
      <c r="B11475" s="1">
        <v>46136</v>
      </c>
      <c r="C11475">
        <v>2</v>
      </c>
      <c r="D11475">
        <v>240.24</v>
      </c>
      <c r="E11475">
        <v>0</v>
      </c>
      <c r="F11475" t="s">
        <v>7</v>
      </c>
      <c r="G11475" t="s">
        <v>11</v>
      </c>
      <c r="H11475" s="5">
        <f>MONTH(Tabela1[[#This Row],[data]])</f>
        <v>4</v>
      </c>
      <c r="I11475">
        <f>YEAR(Tabela1[[#This Row],[data]])</f>
        <v>2026</v>
      </c>
    </row>
    <row r="11476" spans="1:9" x14ac:dyDescent="0.25">
      <c r="A11476" t="s">
        <v>6</v>
      </c>
      <c r="B11476" s="1">
        <v>46136</v>
      </c>
      <c r="C11476">
        <v>3</v>
      </c>
      <c r="D11476">
        <v>225.12</v>
      </c>
      <c r="E11476">
        <v>0</v>
      </c>
      <c r="F11476" t="s">
        <v>7</v>
      </c>
      <c r="G11476" t="s">
        <v>11</v>
      </c>
      <c r="H11476" s="5">
        <f>MONTH(Tabela1[[#This Row],[data]])</f>
        <v>4</v>
      </c>
      <c r="I11476">
        <f>YEAR(Tabela1[[#This Row],[data]])</f>
        <v>2026</v>
      </c>
    </row>
    <row r="11477" spans="1:9" x14ac:dyDescent="0.25">
      <c r="A11477" t="s">
        <v>6</v>
      </c>
      <c r="B11477" s="1">
        <v>46136</v>
      </c>
      <c r="C11477">
        <v>4</v>
      </c>
      <c r="D11477">
        <v>223.44</v>
      </c>
      <c r="E11477">
        <v>0</v>
      </c>
      <c r="F11477" t="s">
        <v>7</v>
      </c>
      <c r="G11477" t="s">
        <v>11</v>
      </c>
      <c r="H11477" s="5">
        <f>MONTH(Tabela1[[#This Row],[data]])</f>
        <v>4</v>
      </c>
      <c r="I11477">
        <f>YEAR(Tabela1[[#This Row],[data]])</f>
        <v>2026</v>
      </c>
    </row>
    <row r="11478" spans="1:9" x14ac:dyDescent="0.25">
      <c r="A11478" t="s">
        <v>6</v>
      </c>
      <c r="B11478" s="1">
        <v>46136</v>
      </c>
      <c r="C11478">
        <v>5</v>
      </c>
      <c r="D11478">
        <v>231.42</v>
      </c>
      <c r="E11478">
        <v>0</v>
      </c>
      <c r="F11478" t="s">
        <v>7</v>
      </c>
      <c r="G11478" t="s">
        <v>11</v>
      </c>
      <c r="H11478" s="5">
        <f>MONTH(Tabela1[[#This Row],[data]])</f>
        <v>4</v>
      </c>
      <c r="I11478">
        <f>YEAR(Tabela1[[#This Row],[data]])</f>
        <v>2026</v>
      </c>
    </row>
    <row r="11479" spans="1:9" x14ac:dyDescent="0.25">
      <c r="A11479" t="s">
        <v>6</v>
      </c>
      <c r="B11479" s="1">
        <v>46136</v>
      </c>
      <c r="C11479">
        <v>6</v>
      </c>
      <c r="D11479">
        <v>214.2</v>
      </c>
      <c r="E11479">
        <v>0</v>
      </c>
      <c r="F11479" t="s">
        <v>7</v>
      </c>
      <c r="G11479" t="s">
        <v>11</v>
      </c>
      <c r="H11479" s="5">
        <f>MONTH(Tabela1[[#This Row],[data]])</f>
        <v>4</v>
      </c>
      <c r="I11479">
        <f>YEAR(Tabela1[[#This Row],[data]])</f>
        <v>2026</v>
      </c>
    </row>
    <row r="11480" spans="1:9" x14ac:dyDescent="0.25">
      <c r="A11480" t="s">
        <v>6</v>
      </c>
      <c r="B11480" s="1">
        <v>46136</v>
      </c>
      <c r="C11480">
        <v>7</v>
      </c>
      <c r="D11480">
        <v>223.44</v>
      </c>
      <c r="E11480">
        <v>0</v>
      </c>
      <c r="F11480" t="s">
        <v>7</v>
      </c>
      <c r="G11480" t="s">
        <v>11</v>
      </c>
      <c r="H11480" s="5">
        <f>MONTH(Tabela1[[#This Row],[data]])</f>
        <v>4</v>
      </c>
      <c r="I11480">
        <f>YEAR(Tabela1[[#This Row],[data]])</f>
        <v>2026</v>
      </c>
    </row>
    <row r="11481" spans="1:9" x14ac:dyDescent="0.25">
      <c r="A11481" t="s">
        <v>6</v>
      </c>
      <c r="B11481" s="1">
        <v>46136</v>
      </c>
      <c r="C11481">
        <v>8</v>
      </c>
      <c r="D11481">
        <v>222.6</v>
      </c>
      <c r="E11481">
        <v>0</v>
      </c>
      <c r="F11481" t="s">
        <v>7</v>
      </c>
      <c r="G11481" t="s">
        <v>11</v>
      </c>
      <c r="H11481" s="5">
        <f>MONTH(Tabela1[[#This Row],[data]])</f>
        <v>4</v>
      </c>
      <c r="I11481">
        <f>YEAR(Tabela1[[#This Row],[data]])</f>
        <v>2026</v>
      </c>
    </row>
    <row r="11482" spans="1:9" x14ac:dyDescent="0.25">
      <c r="A11482" t="s">
        <v>6</v>
      </c>
      <c r="B11482" s="1">
        <v>46136</v>
      </c>
      <c r="C11482">
        <v>9</v>
      </c>
      <c r="D11482">
        <v>339.78</v>
      </c>
      <c r="E11482">
        <v>0.42</v>
      </c>
      <c r="F11482" t="s">
        <v>7</v>
      </c>
      <c r="G11482" t="s">
        <v>11</v>
      </c>
      <c r="H11482" s="5">
        <f>MONTH(Tabela1[[#This Row],[data]])</f>
        <v>4</v>
      </c>
      <c r="I11482">
        <f>YEAR(Tabela1[[#This Row],[data]])</f>
        <v>2026</v>
      </c>
    </row>
    <row r="11483" spans="1:9" x14ac:dyDescent="0.25">
      <c r="A11483" t="s">
        <v>6</v>
      </c>
      <c r="B11483" s="1">
        <v>46136</v>
      </c>
      <c r="C11483">
        <v>10</v>
      </c>
      <c r="D11483">
        <v>401.52</v>
      </c>
      <c r="E11483">
        <v>4.2</v>
      </c>
      <c r="F11483" t="s">
        <v>7</v>
      </c>
      <c r="G11483" t="s">
        <v>11</v>
      </c>
      <c r="H11483" s="5">
        <f>MONTH(Tabela1[[#This Row],[data]])</f>
        <v>4</v>
      </c>
      <c r="I11483">
        <f>YEAR(Tabela1[[#This Row],[data]])</f>
        <v>2026</v>
      </c>
    </row>
    <row r="11484" spans="1:9" x14ac:dyDescent="0.25">
      <c r="A11484" t="s">
        <v>6</v>
      </c>
      <c r="B11484" s="1">
        <v>46136</v>
      </c>
      <c r="C11484">
        <v>11</v>
      </c>
      <c r="D11484">
        <v>839.16</v>
      </c>
      <c r="E11484">
        <v>163.80000000000001</v>
      </c>
      <c r="F11484" t="s">
        <v>7</v>
      </c>
      <c r="G11484" t="s">
        <v>11</v>
      </c>
      <c r="H11484" s="5">
        <f>MONTH(Tabela1[[#This Row],[data]])</f>
        <v>4</v>
      </c>
      <c r="I11484">
        <f>YEAR(Tabela1[[#This Row],[data]])</f>
        <v>2026</v>
      </c>
    </row>
    <row r="11485" spans="1:9" x14ac:dyDescent="0.25">
      <c r="A11485" t="s">
        <v>6</v>
      </c>
      <c r="B11485" s="1">
        <v>46136</v>
      </c>
      <c r="C11485">
        <v>12</v>
      </c>
      <c r="D11485">
        <v>906.78</v>
      </c>
      <c r="E11485">
        <v>220.08</v>
      </c>
      <c r="F11485" t="s">
        <v>7</v>
      </c>
      <c r="G11485" t="s">
        <v>11</v>
      </c>
      <c r="H11485" s="5">
        <f>MONTH(Tabela1[[#This Row],[data]])</f>
        <v>4</v>
      </c>
      <c r="I11485">
        <f>YEAR(Tabela1[[#This Row],[data]])</f>
        <v>2026</v>
      </c>
    </row>
    <row r="11486" spans="1:9" x14ac:dyDescent="0.25">
      <c r="A11486" t="s">
        <v>6</v>
      </c>
      <c r="B11486" s="1">
        <v>46136</v>
      </c>
      <c r="C11486">
        <v>13</v>
      </c>
      <c r="D11486">
        <v>903</v>
      </c>
      <c r="E11486">
        <v>233.1</v>
      </c>
      <c r="F11486" t="s">
        <v>7</v>
      </c>
      <c r="G11486" t="s">
        <v>11</v>
      </c>
      <c r="H11486" s="5">
        <f>MONTH(Tabela1[[#This Row],[data]])</f>
        <v>4</v>
      </c>
      <c r="I11486">
        <f>YEAR(Tabela1[[#This Row],[data]])</f>
        <v>2026</v>
      </c>
    </row>
    <row r="11487" spans="1:9" x14ac:dyDescent="0.25">
      <c r="A11487" t="s">
        <v>6</v>
      </c>
      <c r="B11487" s="1">
        <v>46136</v>
      </c>
      <c r="C11487">
        <v>14</v>
      </c>
      <c r="D11487">
        <v>901.32</v>
      </c>
      <c r="E11487">
        <v>196.56</v>
      </c>
      <c r="F11487" t="s">
        <v>7</v>
      </c>
      <c r="G11487" t="s">
        <v>11</v>
      </c>
      <c r="H11487" s="5">
        <f>MONTH(Tabela1[[#This Row],[data]])</f>
        <v>4</v>
      </c>
      <c r="I11487">
        <f>YEAR(Tabela1[[#This Row],[data]])</f>
        <v>2026</v>
      </c>
    </row>
    <row r="11488" spans="1:9" x14ac:dyDescent="0.25">
      <c r="A11488" t="s">
        <v>6</v>
      </c>
      <c r="B11488" s="1">
        <v>46136</v>
      </c>
      <c r="C11488">
        <v>15</v>
      </c>
      <c r="D11488">
        <v>886.2</v>
      </c>
      <c r="E11488">
        <v>203.7</v>
      </c>
      <c r="F11488" t="s">
        <v>7</v>
      </c>
      <c r="G11488" t="s">
        <v>11</v>
      </c>
      <c r="H11488" s="5">
        <f>MONTH(Tabela1[[#This Row],[data]])</f>
        <v>4</v>
      </c>
      <c r="I11488">
        <f>YEAR(Tabela1[[#This Row],[data]])</f>
        <v>2026</v>
      </c>
    </row>
    <row r="11489" spans="1:9" x14ac:dyDescent="0.25">
      <c r="A11489" t="s">
        <v>6</v>
      </c>
      <c r="B11489" s="1">
        <v>46136</v>
      </c>
      <c r="C11489">
        <v>16</v>
      </c>
      <c r="D11489">
        <v>861.84</v>
      </c>
      <c r="E11489">
        <v>207.9</v>
      </c>
      <c r="F11489" t="s">
        <v>7</v>
      </c>
      <c r="G11489" t="s">
        <v>11</v>
      </c>
      <c r="H11489" s="5">
        <f>MONTH(Tabela1[[#This Row],[data]])</f>
        <v>4</v>
      </c>
      <c r="I11489">
        <f>YEAR(Tabela1[[#This Row],[data]])</f>
        <v>2026</v>
      </c>
    </row>
    <row r="11490" spans="1:9" x14ac:dyDescent="0.25">
      <c r="A11490" t="s">
        <v>6</v>
      </c>
      <c r="B11490" s="1">
        <v>46136</v>
      </c>
      <c r="C11490">
        <v>17</v>
      </c>
      <c r="D11490">
        <v>847.14</v>
      </c>
      <c r="E11490">
        <v>201.18</v>
      </c>
      <c r="F11490" t="s">
        <v>7</v>
      </c>
      <c r="G11490" t="s">
        <v>11</v>
      </c>
      <c r="H11490" s="5">
        <f>MONTH(Tabela1[[#This Row],[data]])</f>
        <v>4</v>
      </c>
      <c r="I11490">
        <f>YEAR(Tabela1[[#This Row],[data]])</f>
        <v>2026</v>
      </c>
    </row>
    <row r="11491" spans="1:9" x14ac:dyDescent="0.25">
      <c r="A11491" t="s">
        <v>6</v>
      </c>
      <c r="B11491" s="1">
        <v>46136</v>
      </c>
      <c r="C11491">
        <v>18</v>
      </c>
      <c r="D11491">
        <v>826.98</v>
      </c>
      <c r="E11491">
        <v>191.1</v>
      </c>
      <c r="F11491" t="s">
        <v>7</v>
      </c>
      <c r="G11491" t="s">
        <v>11</v>
      </c>
      <c r="H11491" s="5">
        <f>MONTH(Tabela1[[#This Row],[data]])</f>
        <v>4</v>
      </c>
      <c r="I11491">
        <f>YEAR(Tabela1[[#This Row],[data]])</f>
        <v>2026</v>
      </c>
    </row>
    <row r="11492" spans="1:9" x14ac:dyDescent="0.25">
      <c r="A11492" t="s">
        <v>6</v>
      </c>
      <c r="B11492" s="1">
        <v>46136</v>
      </c>
      <c r="C11492">
        <v>19</v>
      </c>
      <c r="D11492">
        <v>625.38</v>
      </c>
      <c r="E11492">
        <v>65.52</v>
      </c>
      <c r="F11492" t="s">
        <v>7</v>
      </c>
      <c r="G11492" t="s">
        <v>11</v>
      </c>
      <c r="H11492" s="5">
        <f>MONTH(Tabela1[[#This Row],[data]])</f>
        <v>4</v>
      </c>
      <c r="I11492">
        <f>YEAR(Tabela1[[#This Row],[data]])</f>
        <v>2026</v>
      </c>
    </row>
    <row r="11493" spans="1:9" x14ac:dyDescent="0.25">
      <c r="A11493" t="s">
        <v>6</v>
      </c>
      <c r="B11493" s="1">
        <v>46136</v>
      </c>
      <c r="C11493">
        <v>20</v>
      </c>
      <c r="D11493">
        <v>591.78</v>
      </c>
      <c r="E11493">
        <v>66.36</v>
      </c>
      <c r="F11493" t="s">
        <v>7</v>
      </c>
      <c r="G11493" t="s">
        <v>11</v>
      </c>
      <c r="H11493" s="5">
        <f>MONTH(Tabela1[[#This Row],[data]])</f>
        <v>4</v>
      </c>
      <c r="I11493">
        <f>YEAR(Tabela1[[#This Row],[data]])</f>
        <v>2026</v>
      </c>
    </row>
    <row r="11494" spans="1:9" x14ac:dyDescent="0.25">
      <c r="A11494" t="s">
        <v>6</v>
      </c>
      <c r="B11494" s="1">
        <v>46136</v>
      </c>
      <c r="C11494">
        <v>21</v>
      </c>
      <c r="D11494">
        <v>601.02</v>
      </c>
      <c r="E11494">
        <v>56.28</v>
      </c>
      <c r="F11494" t="s">
        <v>7</v>
      </c>
      <c r="G11494" t="s">
        <v>11</v>
      </c>
      <c r="H11494" s="5">
        <f>MONTH(Tabela1[[#This Row],[data]])</f>
        <v>4</v>
      </c>
      <c r="I11494">
        <f>YEAR(Tabela1[[#This Row],[data]])</f>
        <v>2026</v>
      </c>
    </row>
    <row r="11495" spans="1:9" x14ac:dyDescent="0.25">
      <c r="A11495" t="s">
        <v>6</v>
      </c>
      <c r="B11495" s="1">
        <v>46136</v>
      </c>
      <c r="C11495">
        <v>22</v>
      </c>
      <c r="D11495">
        <v>574.14</v>
      </c>
      <c r="E11495">
        <v>49.98</v>
      </c>
      <c r="F11495" t="s">
        <v>7</v>
      </c>
      <c r="G11495" t="s">
        <v>11</v>
      </c>
      <c r="H11495" s="5">
        <f>MONTH(Tabela1[[#This Row],[data]])</f>
        <v>4</v>
      </c>
      <c r="I11495">
        <f>YEAR(Tabela1[[#This Row],[data]])</f>
        <v>2026</v>
      </c>
    </row>
    <row r="11496" spans="1:9" x14ac:dyDescent="0.25">
      <c r="A11496" t="s">
        <v>6</v>
      </c>
      <c r="B11496" s="1">
        <v>46136</v>
      </c>
      <c r="C11496">
        <v>23</v>
      </c>
      <c r="D11496">
        <v>363.72</v>
      </c>
      <c r="E11496">
        <v>1.26</v>
      </c>
      <c r="F11496" t="s">
        <v>7</v>
      </c>
      <c r="G11496" t="s">
        <v>11</v>
      </c>
      <c r="H11496" s="5">
        <f>MONTH(Tabela1[[#This Row],[data]])</f>
        <v>4</v>
      </c>
      <c r="I11496">
        <f>YEAR(Tabela1[[#This Row],[data]])</f>
        <v>2026</v>
      </c>
    </row>
    <row r="11497" spans="1:9" x14ac:dyDescent="0.25">
      <c r="A11497" t="s">
        <v>6</v>
      </c>
      <c r="B11497" s="1">
        <v>46136</v>
      </c>
      <c r="C11497">
        <v>24</v>
      </c>
      <c r="D11497">
        <v>267.95999999999998</v>
      </c>
      <c r="E11497">
        <v>0</v>
      </c>
      <c r="F11497" t="s">
        <v>7</v>
      </c>
      <c r="G11497" t="s">
        <v>11</v>
      </c>
      <c r="H11497" s="5">
        <f>MONTH(Tabela1[[#This Row],[data]])</f>
        <v>4</v>
      </c>
      <c r="I11497">
        <f>YEAR(Tabela1[[#This Row],[data]])</f>
        <v>2026</v>
      </c>
    </row>
    <row r="11498" spans="1:9" x14ac:dyDescent="0.25">
      <c r="A11498" t="s">
        <v>6</v>
      </c>
      <c r="B11498" s="1">
        <v>46137</v>
      </c>
      <c r="C11498">
        <v>1</v>
      </c>
      <c r="D11498">
        <v>248.22</v>
      </c>
      <c r="E11498">
        <v>0</v>
      </c>
      <c r="F11498" t="s">
        <v>7</v>
      </c>
      <c r="G11498" t="s">
        <v>11</v>
      </c>
      <c r="H11498" s="5">
        <f>MONTH(Tabela1[[#This Row],[data]])</f>
        <v>4</v>
      </c>
      <c r="I11498">
        <f>YEAR(Tabela1[[#This Row],[data]])</f>
        <v>2026</v>
      </c>
    </row>
    <row r="11499" spans="1:9" x14ac:dyDescent="0.25">
      <c r="A11499" t="s">
        <v>6</v>
      </c>
      <c r="B11499" s="1">
        <v>46137</v>
      </c>
      <c r="C11499">
        <v>2</v>
      </c>
      <c r="D11499">
        <v>230.58</v>
      </c>
      <c r="E11499">
        <v>0</v>
      </c>
      <c r="F11499" t="s">
        <v>7</v>
      </c>
      <c r="G11499" t="s">
        <v>11</v>
      </c>
      <c r="H11499" s="5">
        <f>MONTH(Tabela1[[#This Row],[data]])</f>
        <v>4</v>
      </c>
      <c r="I11499">
        <f>YEAR(Tabela1[[#This Row],[data]])</f>
        <v>2026</v>
      </c>
    </row>
    <row r="11500" spans="1:9" x14ac:dyDescent="0.25">
      <c r="A11500" t="s">
        <v>6</v>
      </c>
      <c r="B11500" s="1">
        <v>46137</v>
      </c>
      <c r="C11500">
        <v>3</v>
      </c>
      <c r="D11500">
        <v>227.64</v>
      </c>
      <c r="E11500">
        <v>0</v>
      </c>
      <c r="F11500" t="s">
        <v>7</v>
      </c>
      <c r="G11500" t="s">
        <v>11</v>
      </c>
      <c r="H11500" s="5">
        <f>MONTH(Tabela1[[#This Row],[data]])</f>
        <v>4</v>
      </c>
      <c r="I11500">
        <f>YEAR(Tabela1[[#This Row],[data]])</f>
        <v>2026</v>
      </c>
    </row>
    <row r="11501" spans="1:9" x14ac:dyDescent="0.25">
      <c r="A11501" t="s">
        <v>6</v>
      </c>
      <c r="B11501" s="1">
        <v>46137</v>
      </c>
      <c r="C11501">
        <v>4</v>
      </c>
      <c r="D11501">
        <v>227.64</v>
      </c>
      <c r="E11501">
        <v>0</v>
      </c>
      <c r="F11501" t="s">
        <v>7</v>
      </c>
      <c r="G11501" t="s">
        <v>11</v>
      </c>
      <c r="H11501" s="5">
        <f>MONTH(Tabela1[[#This Row],[data]])</f>
        <v>4</v>
      </c>
      <c r="I11501">
        <f>YEAR(Tabela1[[#This Row],[data]])</f>
        <v>2026</v>
      </c>
    </row>
    <row r="11502" spans="1:9" x14ac:dyDescent="0.25">
      <c r="A11502" t="s">
        <v>6</v>
      </c>
      <c r="B11502" s="1">
        <v>46137</v>
      </c>
      <c r="C11502">
        <v>5</v>
      </c>
      <c r="D11502">
        <v>237.72</v>
      </c>
      <c r="E11502">
        <v>0</v>
      </c>
      <c r="F11502" t="s">
        <v>7</v>
      </c>
      <c r="G11502" t="s">
        <v>11</v>
      </c>
      <c r="H11502" s="5">
        <f>MONTH(Tabela1[[#This Row],[data]])</f>
        <v>4</v>
      </c>
      <c r="I11502">
        <f>YEAR(Tabela1[[#This Row],[data]])</f>
        <v>2026</v>
      </c>
    </row>
    <row r="11503" spans="1:9" x14ac:dyDescent="0.25">
      <c r="A11503" t="s">
        <v>6</v>
      </c>
      <c r="B11503" s="1">
        <v>46137</v>
      </c>
      <c r="C11503">
        <v>6</v>
      </c>
      <c r="D11503">
        <v>233.1</v>
      </c>
      <c r="E11503">
        <v>0</v>
      </c>
      <c r="F11503" t="s">
        <v>7</v>
      </c>
      <c r="G11503" t="s">
        <v>11</v>
      </c>
      <c r="H11503" s="5">
        <f>MONTH(Tabela1[[#This Row],[data]])</f>
        <v>4</v>
      </c>
      <c r="I11503">
        <f>YEAR(Tabela1[[#This Row],[data]])</f>
        <v>2026</v>
      </c>
    </row>
    <row r="11504" spans="1:9" x14ac:dyDescent="0.25">
      <c r="A11504" t="s">
        <v>6</v>
      </c>
      <c r="B11504" s="1">
        <v>46137</v>
      </c>
      <c r="C11504">
        <v>7</v>
      </c>
      <c r="D11504">
        <v>223.02</v>
      </c>
      <c r="E11504">
        <v>0</v>
      </c>
      <c r="F11504" t="s">
        <v>7</v>
      </c>
      <c r="G11504" t="s">
        <v>11</v>
      </c>
      <c r="H11504" s="5">
        <f>MONTH(Tabela1[[#This Row],[data]])</f>
        <v>4</v>
      </c>
      <c r="I11504">
        <f>YEAR(Tabela1[[#This Row],[data]])</f>
        <v>2026</v>
      </c>
    </row>
    <row r="11505" spans="1:9" x14ac:dyDescent="0.25">
      <c r="A11505" t="s">
        <v>6</v>
      </c>
      <c r="B11505" s="1">
        <v>46137</v>
      </c>
      <c r="C11505">
        <v>8</v>
      </c>
      <c r="D11505">
        <v>241.5</v>
      </c>
      <c r="E11505">
        <v>0</v>
      </c>
      <c r="F11505" t="s">
        <v>7</v>
      </c>
      <c r="G11505" t="s">
        <v>11</v>
      </c>
      <c r="H11505" s="5">
        <f>MONTH(Tabela1[[#This Row],[data]])</f>
        <v>4</v>
      </c>
      <c r="I11505">
        <f>YEAR(Tabela1[[#This Row],[data]])</f>
        <v>2026</v>
      </c>
    </row>
    <row r="11506" spans="1:9" x14ac:dyDescent="0.25">
      <c r="A11506" t="s">
        <v>6</v>
      </c>
      <c r="B11506" s="1">
        <v>46137</v>
      </c>
      <c r="C11506">
        <v>9</v>
      </c>
      <c r="D11506">
        <v>326.33999999999997</v>
      </c>
      <c r="E11506">
        <v>0</v>
      </c>
      <c r="F11506" t="s">
        <v>7</v>
      </c>
      <c r="G11506" t="s">
        <v>11</v>
      </c>
      <c r="H11506" s="5">
        <f>MONTH(Tabela1[[#This Row],[data]])</f>
        <v>4</v>
      </c>
      <c r="I11506">
        <f>YEAR(Tabela1[[#This Row],[data]])</f>
        <v>2026</v>
      </c>
    </row>
    <row r="11507" spans="1:9" x14ac:dyDescent="0.25">
      <c r="A11507" t="s">
        <v>6</v>
      </c>
      <c r="B11507" s="1">
        <v>46137</v>
      </c>
      <c r="C11507">
        <v>10</v>
      </c>
      <c r="D11507">
        <v>394.38</v>
      </c>
      <c r="E11507">
        <v>3.36</v>
      </c>
      <c r="F11507" t="s">
        <v>7</v>
      </c>
      <c r="G11507" t="s">
        <v>11</v>
      </c>
      <c r="H11507" s="5">
        <f>MONTH(Tabela1[[#This Row],[data]])</f>
        <v>4</v>
      </c>
      <c r="I11507">
        <f>YEAR(Tabela1[[#This Row],[data]])</f>
        <v>2026</v>
      </c>
    </row>
    <row r="11508" spans="1:9" x14ac:dyDescent="0.25">
      <c r="A11508" t="s">
        <v>6</v>
      </c>
      <c r="B11508" s="1">
        <v>46137</v>
      </c>
      <c r="C11508">
        <v>11</v>
      </c>
      <c r="D11508">
        <v>582.54</v>
      </c>
      <c r="E11508">
        <v>52.5</v>
      </c>
      <c r="F11508" t="s">
        <v>7</v>
      </c>
      <c r="G11508" t="s">
        <v>11</v>
      </c>
      <c r="H11508" s="5">
        <f>MONTH(Tabela1[[#This Row],[data]])</f>
        <v>4</v>
      </c>
      <c r="I11508">
        <f>YEAR(Tabela1[[#This Row],[data]])</f>
        <v>2026</v>
      </c>
    </row>
    <row r="11509" spans="1:9" x14ac:dyDescent="0.25">
      <c r="A11509" t="s">
        <v>6</v>
      </c>
      <c r="B11509" s="1">
        <v>46137</v>
      </c>
      <c r="C11509">
        <v>12</v>
      </c>
      <c r="D11509">
        <v>981.12</v>
      </c>
      <c r="E11509">
        <v>211.26</v>
      </c>
      <c r="F11509" t="s">
        <v>7</v>
      </c>
      <c r="G11509" t="s">
        <v>11</v>
      </c>
      <c r="H11509" s="5">
        <f>MONTH(Tabela1[[#This Row],[data]])</f>
        <v>4</v>
      </c>
      <c r="I11509">
        <f>YEAR(Tabela1[[#This Row],[data]])</f>
        <v>2026</v>
      </c>
    </row>
    <row r="11510" spans="1:9" x14ac:dyDescent="0.25">
      <c r="A11510" t="s">
        <v>6</v>
      </c>
      <c r="B11510" s="1">
        <v>46137</v>
      </c>
      <c r="C11510">
        <v>13</v>
      </c>
      <c r="D11510" s="2">
        <v>1038.24</v>
      </c>
      <c r="E11510">
        <v>240.66</v>
      </c>
      <c r="F11510" t="s">
        <v>7</v>
      </c>
      <c r="G11510" t="s">
        <v>11</v>
      </c>
      <c r="H11510" s="5">
        <f>MONTH(Tabela1[[#This Row],[data]])</f>
        <v>4</v>
      </c>
      <c r="I11510">
        <f>YEAR(Tabela1[[#This Row],[data]])</f>
        <v>2026</v>
      </c>
    </row>
    <row r="11511" spans="1:9" x14ac:dyDescent="0.25">
      <c r="A11511" t="s">
        <v>6</v>
      </c>
      <c r="B11511" s="1">
        <v>46137</v>
      </c>
      <c r="C11511">
        <v>14</v>
      </c>
      <c r="D11511">
        <v>989.1</v>
      </c>
      <c r="E11511">
        <v>222.6</v>
      </c>
      <c r="F11511" t="s">
        <v>7</v>
      </c>
      <c r="G11511" t="s">
        <v>11</v>
      </c>
      <c r="H11511" s="5">
        <f>MONTH(Tabela1[[#This Row],[data]])</f>
        <v>4</v>
      </c>
      <c r="I11511">
        <f>YEAR(Tabela1[[#This Row],[data]])</f>
        <v>2026</v>
      </c>
    </row>
    <row r="11512" spans="1:9" x14ac:dyDescent="0.25">
      <c r="A11512" t="s">
        <v>6</v>
      </c>
      <c r="B11512" s="1">
        <v>46137</v>
      </c>
      <c r="C11512">
        <v>15</v>
      </c>
      <c r="D11512">
        <v>973.98</v>
      </c>
      <c r="E11512">
        <v>218.4</v>
      </c>
      <c r="F11512" t="s">
        <v>7</v>
      </c>
      <c r="G11512" t="s">
        <v>11</v>
      </c>
      <c r="H11512" s="5">
        <f>MONTH(Tabela1[[#This Row],[data]])</f>
        <v>4</v>
      </c>
      <c r="I11512">
        <f>YEAR(Tabela1[[#This Row],[data]])</f>
        <v>2026</v>
      </c>
    </row>
    <row r="11513" spans="1:9" x14ac:dyDescent="0.25">
      <c r="A11513" t="s">
        <v>6</v>
      </c>
      <c r="B11513" s="1">
        <v>46137</v>
      </c>
      <c r="C11513">
        <v>16</v>
      </c>
      <c r="D11513">
        <v>950.04</v>
      </c>
      <c r="E11513">
        <v>213.78</v>
      </c>
      <c r="F11513" t="s">
        <v>7</v>
      </c>
      <c r="G11513" t="s">
        <v>11</v>
      </c>
      <c r="H11513" s="5">
        <f>MONTH(Tabela1[[#This Row],[data]])</f>
        <v>4</v>
      </c>
      <c r="I11513">
        <f>YEAR(Tabela1[[#This Row],[data]])</f>
        <v>2026</v>
      </c>
    </row>
    <row r="11514" spans="1:9" x14ac:dyDescent="0.25">
      <c r="A11514" t="s">
        <v>6</v>
      </c>
      <c r="B11514" s="1">
        <v>46137</v>
      </c>
      <c r="C11514">
        <v>17</v>
      </c>
      <c r="D11514">
        <v>942.9</v>
      </c>
      <c r="E11514">
        <v>217.56</v>
      </c>
      <c r="F11514" t="s">
        <v>7</v>
      </c>
      <c r="G11514" t="s">
        <v>11</v>
      </c>
      <c r="H11514" s="5">
        <f>MONTH(Tabela1[[#This Row],[data]])</f>
        <v>4</v>
      </c>
      <c r="I11514">
        <f>YEAR(Tabela1[[#This Row],[data]])</f>
        <v>2026</v>
      </c>
    </row>
    <row r="11515" spans="1:9" x14ac:dyDescent="0.25">
      <c r="A11515" t="s">
        <v>6</v>
      </c>
      <c r="B11515" s="1">
        <v>46137</v>
      </c>
      <c r="C11515">
        <v>18</v>
      </c>
      <c r="D11515">
        <v>941.64</v>
      </c>
      <c r="E11515">
        <v>227.22</v>
      </c>
      <c r="F11515" t="s">
        <v>7</v>
      </c>
      <c r="G11515" t="s">
        <v>11</v>
      </c>
      <c r="H11515" s="5">
        <f>MONTH(Tabela1[[#This Row],[data]])</f>
        <v>4</v>
      </c>
      <c r="I11515">
        <f>YEAR(Tabela1[[#This Row],[data]])</f>
        <v>2026</v>
      </c>
    </row>
    <row r="11516" spans="1:9" x14ac:dyDescent="0.25">
      <c r="A11516" t="s">
        <v>6</v>
      </c>
      <c r="B11516" s="1">
        <v>46137</v>
      </c>
      <c r="C11516">
        <v>19</v>
      </c>
      <c r="D11516">
        <v>941.64</v>
      </c>
      <c r="E11516">
        <v>214.2</v>
      </c>
      <c r="F11516" t="s">
        <v>7</v>
      </c>
      <c r="G11516" t="s">
        <v>11</v>
      </c>
      <c r="H11516" s="5">
        <f>MONTH(Tabela1[[#This Row],[data]])</f>
        <v>4</v>
      </c>
      <c r="I11516">
        <f>YEAR(Tabela1[[#This Row],[data]])</f>
        <v>2026</v>
      </c>
    </row>
    <row r="11517" spans="1:9" x14ac:dyDescent="0.25">
      <c r="A11517" t="s">
        <v>6</v>
      </c>
      <c r="B11517" s="1">
        <v>46137</v>
      </c>
      <c r="C11517">
        <v>20</v>
      </c>
      <c r="D11517">
        <v>939.96</v>
      </c>
      <c r="E11517">
        <v>204.12</v>
      </c>
      <c r="F11517" t="s">
        <v>7</v>
      </c>
      <c r="G11517" t="s">
        <v>11</v>
      </c>
      <c r="H11517" s="5">
        <f>MONTH(Tabela1[[#This Row],[data]])</f>
        <v>4</v>
      </c>
      <c r="I11517">
        <f>YEAR(Tabela1[[#This Row],[data]])</f>
        <v>2026</v>
      </c>
    </row>
    <row r="11518" spans="1:9" x14ac:dyDescent="0.25">
      <c r="A11518" t="s">
        <v>6</v>
      </c>
      <c r="B11518" s="1">
        <v>46137</v>
      </c>
      <c r="C11518">
        <v>21</v>
      </c>
      <c r="D11518">
        <v>783.3</v>
      </c>
      <c r="E11518">
        <v>100.8</v>
      </c>
      <c r="F11518" t="s">
        <v>7</v>
      </c>
      <c r="G11518" t="s">
        <v>11</v>
      </c>
      <c r="H11518" s="5">
        <f>MONTH(Tabela1[[#This Row],[data]])</f>
        <v>4</v>
      </c>
      <c r="I11518">
        <f>YEAR(Tabela1[[#This Row],[data]])</f>
        <v>2026</v>
      </c>
    </row>
    <row r="11519" spans="1:9" x14ac:dyDescent="0.25">
      <c r="A11519" t="s">
        <v>6</v>
      </c>
      <c r="B11519" s="1">
        <v>46137</v>
      </c>
      <c r="C11519">
        <v>22</v>
      </c>
      <c r="D11519">
        <v>677.88</v>
      </c>
      <c r="E11519">
        <v>54.6</v>
      </c>
      <c r="F11519" t="s">
        <v>7</v>
      </c>
      <c r="G11519" t="s">
        <v>11</v>
      </c>
      <c r="H11519" s="5">
        <f>MONTH(Tabela1[[#This Row],[data]])</f>
        <v>4</v>
      </c>
      <c r="I11519">
        <f>YEAR(Tabela1[[#This Row],[data]])</f>
        <v>2026</v>
      </c>
    </row>
    <row r="11520" spans="1:9" x14ac:dyDescent="0.25">
      <c r="A11520" t="s">
        <v>6</v>
      </c>
      <c r="B11520" s="1">
        <v>46137</v>
      </c>
      <c r="C11520">
        <v>23</v>
      </c>
      <c r="D11520">
        <v>444.78</v>
      </c>
      <c r="E11520">
        <v>3.36</v>
      </c>
      <c r="F11520" t="s">
        <v>7</v>
      </c>
      <c r="G11520" t="s">
        <v>11</v>
      </c>
      <c r="H11520" s="5">
        <f>MONTH(Tabela1[[#This Row],[data]])</f>
        <v>4</v>
      </c>
      <c r="I11520">
        <f>YEAR(Tabela1[[#This Row],[data]])</f>
        <v>2026</v>
      </c>
    </row>
    <row r="11521" spans="1:9" x14ac:dyDescent="0.25">
      <c r="A11521" t="s">
        <v>6</v>
      </c>
      <c r="B11521" s="1">
        <v>46137</v>
      </c>
      <c r="C11521">
        <v>24</v>
      </c>
      <c r="D11521">
        <v>271.74</v>
      </c>
      <c r="E11521">
        <v>0</v>
      </c>
      <c r="F11521" t="s">
        <v>7</v>
      </c>
      <c r="G11521" t="s">
        <v>11</v>
      </c>
      <c r="H11521" s="5">
        <f>MONTH(Tabela1[[#This Row],[data]])</f>
        <v>4</v>
      </c>
      <c r="I11521">
        <f>YEAR(Tabela1[[#This Row],[data]])</f>
        <v>2026</v>
      </c>
    </row>
    <row r="11522" spans="1:9" x14ac:dyDescent="0.25">
      <c r="A11522" t="s">
        <v>6</v>
      </c>
      <c r="B11522" s="1">
        <v>46138</v>
      </c>
      <c r="C11522">
        <v>1</v>
      </c>
      <c r="D11522">
        <v>259.98</v>
      </c>
      <c r="E11522">
        <v>0</v>
      </c>
      <c r="F11522" t="s">
        <v>7</v>
      </c>
      <c r="G11522" t="s">
        <v>11</v>
      </c>
      <c r="H11522" s="5">
        <f>MONTH(Tabela1[[#This Row],[data]])</f>
        <v>4</v>
      </c>
      <c r="I11522">
        <f>YEAR(Tabela1[[#This Row],[data]])</f>
        <v>2026</v>
      </c>
    </row>
    <row r="11523" spans="1:9" x14ac:dyDescent="0.25">
      <c r="A11523" t="s">
        <v>6</v>
      </c>
      <c r="B11523" s="1">
        <v>46138</v>
      </c>
      <c r="C11523">
        <v>2</v>
      </c>
      <c r="D11523">
        <v>232.68</v>
      </c>
      <c r="E11523">
        <v>0</v>
      </c>
      <c r="F11523" t="s">
        <v>7</v>
      </c>
      <c r="G11523" t="s">
        <v>11</v>
      </c>
      <c r="H11523" s="5">
        <f>MONTH(Tabela1[[#This Row],[data]])</f>
        <v>4</v>
      </c>
      <c r="I11523">
        <f>YEAR(Tabela1[[#This Row],[data]])</f>
        <v>2026</v>
      </c>
    </row>
    <row r="11524" spans="1:9" x14ac:dyDescent="0.25">
      <c r="A11524" t="s">
        <v>6</v>
      </c>
      <c r="B11524" s="1">
        <v>46138</v>
      </c>
      <c r="C11524">
        <v>3</v>
      </c>
      <c r="D11524">
        <v>231.42</v>
      </c>
      <c r="E11524">
        <v>0</v>
      </c>
      <c r="F11524" t="s">
        <v>7</v>
      </c>
      <c r="G11524" t="s">
        <v>11</v>
      </c>
      <c r="H11524" s="5">
        <f>MONTH(Tabela1[[#This Row],[data]])</f>
        <v>4</v>
      </c>
      <c r="I11524">
        <f>YEAR(Tabela1[[#This Row],[data]])</f>
        <v>2026</v>
      </c>
    </row>
    <row r="11525" spans="1:9" x14ac:dyDescent="0.25">
      <c r="A11525" t="s">
        <v>6</v>
      </c>
      <c r="B11525" s="1">
        <v>46138</v>
      </c>
      <c r="C11525">
        <v>4</v>
      </c>
      <c r="D11525">
        <v>226.8</v>
      </c>
      <c r="E11525">
        <v>0</v>
      </c>
      <c r="F11525" t="s">
        <v>7</v>
      </c>
      <c r="G11525" t="s">
        <v>11</v>
      </c>
      <c r="H11525" s="5">
        <f>MONTH(Tabela1[[#This Row],[data]])</f>
        <v>4</v>
      </c>
      <c r="I11525">
        <f>YEAR(Tabela1[[#This Row],[data]])</f>
        <v>2026</v>
      </c>
    </row>
    <row r="11526" spans="1:9" x14ac:dyDescent="0.25">
      <c r="A11526" t="s">
        <v>6</v>
      </c>
      <c r="B11526" s="1">
        <v>46138</v>
      </c>
      <c r="C11526">
        <v>5</v>
      </c>
      <c r="D11526">
        <v>233.94</v>
      </c>
      <c r="E11526">
        <v>0</v>
      </c>
      <c r="F11526" t="s">
        <v>7</v>
      </c>
      <c r="G11526" t="s">
        <v>11</v>
      </c>
      <c r="H11526" s="5">
        <f>MONTH(Tabela1[[#This Row],[data]])</f>
        <v>4</v>
      </c>
      <c r="I11526">
        <f>YEAR(Tabela1[[#This Row],[data]])</f>
        <v>2026</v>
      </c>
    </row>
    <row r="11527" spans="1:9" x14ac:dyDescent="0.25">
      <c r="A11527" t="s">
        <v>6</v>
      </c>
      <c r="B11527" s="1">
        <v>46138</v>
      </c>
      <c r="C11527">
        <v>6</v>
      </c>
      <c r="D11527">
        <v>229.74</v>
      </c>
      <c r="E11527">
        <v>0</v>
      </c>
      <c r="F11527" t="s">
        <v>7</v>
      </c>
      <c r="G11527" t="s">
        <v>11</v>
      </c>
      <c r="H11527" s="5">
        <f>MONTH(Tabela1[[#This Row],[data]])</f>
        <v>4</v>
      </c>
      <c r="I11527">
        <f>YEAR(Tabela1[[#This Row],[data]])</f>
        <v>2026</v>
      </c>
    </row>
    <row r="11528" spans="1:9" x14ac:dyDescent="0.25">
      <c r="A11528" t="s">
        <v>6</v>
      </c>
      <c r="B11528" s="1">
        <v>46138</v>
      </c>
      <c r="C11528">
        <v>7</v>
      </c>
      <c r="D11528">
        <v>217.98</v>
      </c>
      <c r="E11528">
        <v>0</v>
      </c>
      <c r="F11528" t="s">
        <v>7</v>
      </c>
      <c r="G11528" t="s">
        <v>11</v>
      </c>
      <c r="H11528" s="5">
        <f>MONTH(Tabela1[[#This Row],[data]])</f>
        <v>4</v>
      </c>
      <c r="I11528">
        <f>YEAR(Tabela1[[#This Row],[data]])</f>
        <v>2026</v>
      </c>
    </row>
    <row r="11529" spans="1:9" x14ac:dyDescent="0.25">
      <c r="A11529" t="s">
        <v>6</v>
      </c>
      <c r="B11529" s="1">
        <v>46138</v>
      </c>
      <c r="C11529">
        <v>8</v>
      </c>
      <c r="D11529">
        <v>198.24</v>
      </c>
      <c r="E11529">
        <v>0</v>
      </c>
      <c r="F11529" t="s">
        <v>7</v>
      </c>
      <c r="G11529" t="s">
        <v>11</v>
      </c>
      <c r="H11529" s="5">
        <f>MONTH(Tabela1[[#This Row],[data]])</f>
        <v>4</v>
      </c>
      <c r="I11529">
        <f>YEAR(Tabela1[[#This Row],[data]])</f>
        <v>2026</v>
      </c>
    </row>
    <row r="11530" spans="1:9" x14ac:dyDescent="0.25">
      <c r="A11530" t="s">
        <v>6</v>
      </c>
      <c r="B11530" s="1">
        <v>46138</v>
      </c>
      <c r="C11530">
        <v>9</v>
      </c>
      <c r="D11530">
        <v>246.12</v>
      </c>
      <c r="E11530">
        <v>0</v>
      </c>
      <c r="F11530" t="s">
        <v>7</v>
      </c>
      <c r="G11530" t="s">
        <v>11</v>
      </c>
      <c r="H11530" s="5">
        <f>MONTH(Tabela1[[#This Row],[data]])</f>
        <v>4</v>
      </c>
      <c r="I11530">
        <f>YEAR(Tabela1[[#This Row],[data]])</f>
        <v>2026</v>
      </c>
    </row>
    <row r="11531" spans="1:9" x14ac:dyDescent="0.25">
      <c r="A11531" t="s">
        <v>6</v>
      </c>
      <c r="B11531" s="1">
        <v>46138</v>
      </c>
      <c r="C11531">
        <v>10</v>
      </c>
      <c r="D11531">
        <v>321.3</v>
      </c>
      <c r="E11531">
        <v>0.42</v>
      </c>
      <c r="F11531" t="s">
        <v>7</v>
      </c>
      <c r="G11531" t="s">
        <v>11</v>
      </c>
      <c r="H11531" s="5">
        <f>MONTH(Tabela1[[#This Row],[data]])</f>
        <v>4</v>
      </c>
      <c r="I11531">
        <f>YEAR(Tabela1[[#This Row],[data]])</f>
        <v>2026</v>
      </c>
    </row>
    <row r="11532" spans="1:9" x14ac:dyDescent="0.25">
      <c r="A11532" t="s">
        <v>6</v>
      </c>
      <c r="B11532" s="1">
        <v>46138</v>
      </c>
      <c r="C11532">
        <v>11</v>
      </c>
      <c r="D11532">
        <v>380.1</v>
      </c>
      <c r="E11532">
        <v>5.46</v>
      </c>
      <c r="F11532" t="s">
        <v>7</v>
      </c>
      <c r="G11532" t="s">
        <v>11</v>
      </c>
      <c r="H11532" s="5">
        <f>MONTH(Tabela1[[#This Row],[data]])</f>
        <v>4</v>
      </c>
      <c r="I11532">
        <f>YEAR(Tabela1[[#This Row],[data]])</f>
        <v>2026</v>
      </c>
    </row>
    <row r="11533" spans="1:9" x14ac:dyDescent="0.25">
      <c r="A11533" t="s">
        <v>6</v>
      </c>
      <c r="B11533" s="1">
        <v>46138</v>
      </c>
      <c r="C11533">
        <v>12</v>
      </c>
      <c r="D11533">
        <v>601.86</v>
      </c>
      <c r="E11533">
        <v>76.86</v>
      </c>
      <c r="F11533" t="s">
        <v>7</v>
      </c>
      <c r="G11533" t="s">
        <v>11</v>
      </c>
      <c r="H11533" s="5">
        <f>MONTH(Tabela1[[#This Row],[data]])</f>
        <v>4</v>
      </c>
      <c r="I11533">
        <f>YEAR(Tabela1[[#This Row],[data]])</f>
        <v>2026</v>
      </c>
    </row>
    <row r="11534" spans="1:9" x14ac:dyDescent="0.25">
      <c r="A11534" t="s">
        <v>6</v>
      </c>
      <c r="B11534" s="1">
        <v>46138</v>
      </c>
      <c r="C11534">
        <v>13</v>
      </c>
      <c r="D11534">
        <v>926.94</v>
      </c>
      <c r="E11534">
        <v>191.94</v>
      </c>
      <c r="F11534" t="s">
        <v>7</v>
      </c>
      <c r="G11534" t="s">
        <v>11</v>
      </c>
      <c r="H11534" s="5">
        <f>MONTH(Tabela1[[#This Row],[data]])</f>
        <v>4</v>
      </c>
      <c r="I11534">
        <f>YEAR(Tabela1[[#This Row],[data]])</f>
        <v>2026</v>
      </c>
    </row>
    <row r="11535" spans="1:9" x14ac:dyDescent="0.25">
      <c r="A11535" t="s">
        <v>6</v>
      </c>
      <c r="B11535" s="1">
        <v>46138</v>
      </c>
      <c r="C11535">
        <v>14</v>
      </c>
      <c r="D11535">
        <v>931.56</v>
      </c>
      <c r="E11535">
        <v>188.58</v>
      </c>
      <c r="F11535" t="s">
        <v>7</v>
      </c>
      <c r="G11535" t="s">
        <v>11</v>
      </c>
      <c r="H11535" s="5">
        <f>MONTH(Tabela1[[#This Row],[data]])</f>
        <v>4</v>
      </c>
      <c r="I11535">
        <f>YEAR(Tabela1[[#This Row],[data]])</f>
        <v>2026</v>
      </c>
    </row>
    <row r="11536" spans="1:9" x14ac:dyDescent="0.25">
      <c r="A11536" t="s">
        <v>6</v>
      </c>
      <c r="B11536" s="1">
        <v>46138</v>
      </c>
      <c r="C11536">
        <v>15</v>
      </c>
      <c r="D11536">
        <v>926.1</v>
      </c>
      <c r="E11536">
        <v>195.3</v>
      </c>
      <c r="F11536" t="s">
        <v>7</v>
      </c>
      <c r="G11536" t="s">
        <v>11</v>
      </c>
      <c r="H11536" s="5">
        <f>MONTH(Tabela1[[#This Row],[data]])</f>
        <v>4</v>
      </c>
      <c r="I11536">
        <f>YEAR(Tabela1[[#This Row],[data]])</f>
        <v>2026</v>
      </c>
    </row>
    <row r="11537" spans="1:9" x14ac:dyDescent="0.25">
      <c r="A11537" t="s">
        <v>6</v>
      </c>
      <c r="B11537" s="1">
        <v>46138</v>
      </c>
      <c r="C11537">
        <v>16</v>
      </c>
      <c r="D11537">
        <v>912.24</v>
      </c>
      <c r="E11537">
        <v>187.32</v>
      </c>
      <c r="F11537" t="s">
        <v>7</v>
      </c>
      <c r="G11537" t="s">
        <v>11</v>
      </c>
      <c r="H11537" s="5">
        <f>MONTH(Tabela1[[#This Row],[data]])</f>
        <v>4</v>
      </c>
      <c r="I11537">
        <f>YEAR(Tabela1[[#This Row],[data]])</f>
        <v>2026</v>
      </c>
    </row>
    <row r="11538" spans="1:9" x14ac:dyDescent="0.25">
      <c r="A11538" t="s">
        <v>6</v>
      </c>
      <c r="B11538" s="1">
        <v>46138</v>
      </c>
      <c r="C11538">
        <v>17</v>
      </c>
      <c r="D11538">
        <v>900.9</v>
      </c>
      <c r="E11538">
        <v>188.58</v>
      </c>
      <c r="F11538" t="s">
        <v>7</v>
      </c>
      <c r="G11538" t="s">
        <v>11</v>
      </c>
      <c r="H11538" s="5">
        <f>MONTH(Tabela1[[#This Row],[data]])</f>
        <v>4</v>
      </c>
      <c r="I11538">
        <f>YEAR(Tabela1[[#This Row],[data]])</f>
        <v>2026</v>
      </c>
    </row>
    <row r="11539" spans="1:9" x14ac:dyDescent="0.25">
      <c r="A11539" t="s">
        <v>6</v>
      </c>
      <c r="B11539" s="1">
        <v>46138</v>
      </c>
      <c r="C11539">
        <v>18</v>
      </c>
      <c r="D11539">
        <v>886.62</v>
      </c>
      <c r="E11539">
        <v>177.24</v>
      </c>
      <c r="F11539" t="s">
        <v>7</v>
      </c>
      <c r="G11539" t="s">
        <v>11</v>
      </c>
      <c r="H11539" s="5">
        <f>MONTH(Tabela1[[#This Row],[data]])</f>
        <v>4</v>
      </c>
      <c r="I11539">
        <f>YEAR(Tabela1[[#This Row],[data]])</f>
        <v>2026</v>
      </c>
    </row>
    <row r="11540" spans="1:9" x14ac:dyDescent="0.25">
      <c r="A11540" t="s">
        <v>6</v>
      </c>
      <c r="B11540" s="1">
        <v>46138</v>
      </c>
      <c r="C11540">
        <v>19</v>
      </c>
      <c r="D11540">
        <v>853.86</v>
      </c>
      <c r="E11540">
        <v>186.9</v>
      </c>
      <c r="F11540" t="s">
        <v>7</v>
      </c>
      <c r="G11540" t="s">
        <v>11</v>
      </c>
      <c r="H11540" s="5">
        <f>MONTH(Tabela1[[#This Row],[data]])</f>
        <v>4</v>
      </c>
      <c r="I11540">
        <f>YEAR(Tabela1[[#This Row],[data]])</f>
        <v>2026</v>
      </c>
    </row>
    <row r="11541" spans="1:9" x14ac:dyDescent="0.25">
      <c r="A11541" t="s">
        <v>6</v>
      </c>
      <c r="B11541" s="1">
        <v>46138</v>
      </c>
      <c r="C11541">
        <v>20</v>
      </c>
      <c r="D11541">
        <v>744.66</v>
      </c>
      <c r="E11541">
        <v>145.32</v>
      </c>
      <c r="F11541" t="s">
        <v>7</v>
      </c>
      <c r="G11541" t="s">
        <v>11</v>
      </c>
      <c r="H11541" s="5">
        <f>MONTH(Tabela1[[#This Row],[data]])</f>
        <v>4</v>
      </c>
      <c r="I11541">
        <f>YEAR(Tabela1[[#This Row],[data]])</f>
        <v>2026</v>
      </c>
    </row>
    <row r="11542" spans="1:9" x14ac:dyDescent="0.25">
      <c r="A11542" t="s">
        <v>6</v>
      </c>
      <c r="B11542" s="1">
        <v>46138</v>
      </c>
      <c r="C11542">
        <v>21</v>
      </c>
      <c r="D11542">
        <v>559.02</v>
      </c>
      <c r="E11542">
        <v>57.54</v>
      </c>
      <c r="F11542" t="s">
        <v>7</v>
      </c>
      <c r="G11542" t="s">
        <v>11</v>
      </c>
      <c r="H11542" s="5">
        <f>MONTH(Tabela1[[#This Row],[data]])</f>
        <v>4</v>
      </c>
      <c r="I11542">
        <f>YEAR(Tabela1[[#This Row],[data]])</f>
        <v>2026</v>
      </c>
    </row>
    <row r="11543" spans="1:9" x14ac:dyDescent="0.25">
      <c r="A11543" t="s">
        <v>6</v>
      </c>
      <c r="B11543" s="1">
        <v>46138</v>
      </c>
      <c r="C11543">
        <v>22</v>
      </c>
      <c r="D11543">
        <v>446.04</v>
      </c>
      <c r="E11543">
        <v>29.4</v>
      </c>
      <c r="F11543" t="s">
        <v>7</v>
      </c>
      <c r="G11543" t="s">
        <v>11</v>
      </c>
      <c r="H11543" s="5">
        <f>MONTH(Tabela1[[#This Row],[data]])</f>
        <v>4</v>
      </c>
      <c r="I11543">
        <f>YEAR(Tabela1[[#This Row],[data]])</f>
        <v>2026</v>
      </c>
    </row>
    <row r="11544" spans="1:9" x14ac:dyDescent="0.25">
      <c r="A11544" t="s">
        <v>6</v>
      </c>
      <c r="B11544" s="1">
        <v>46138</v>
      </c>
      <c r="C11544">
        <v>23</v>
      </c>
      <c r="D11544">
        <v>299.04000000000002</v>
      </c>
      <c r="E11544">
        <v>0</v>
      </c>
      <c r="F11544" t="s">
        <v>7</v>
      </c>
      <c r="G11544" t="s">
        <v>11</v>
      </c>
      <c r="H11544" s="5">
        <f>MONTH(Tabela1[[#This Row],[data]])</f>
        <v>4</v>
      </c>
      <c r="I11544">
        <f>YEAR(Tabela1[[#This Row],[data]])</f>
        <v>2026</v>
      </c>
    </row>
    <row r="11545" spans="1:9" x14ac:dyDescent="0.25">
      <c r="A11545" t="s">
        <v>6</v>
      </c>
      <c r="B11545" s="1">
        <v>46138</v>
      </c>
      <c r="C11545">
        <v>24</v>
      </c>
      <c r="D11545">
        <v>250.32</v>
      </c>
      <c r="E11545">
        <v>0</v>
      </c>
      <c r="F11545" t="s">
        <v>7</v>
      </c>
      <c r="G11545" t="s">
        <v>11</v>
      </c>
      <c r="H11545" s="5">
        <f>MONTH(Tabela1[[#This Row],[data]])</f>
        <v>4</v>
      </c>
      <c r="I11545">
        <f>YEAR(Tabela1[[#This Row],[data]])</f>
        <v>2026</v>
      </c>
    </row>
    <row r="11546" spans="1:9" x14ac:dyDescent="0.25">
      <c r="A11546" t="s">
        <v>6</v>
      </c>
      <c r="B11546" s="1">
        <v>46139</v>
      </c>
      <c r="C11546">
        <v>1</v>
      </c>
      <c r="D11546">
        <v>224.7</v>
      </c>
      <c r="E11546">
        <v>0</v>
      </c>
      <c r="F11546" t="s">
        <v>7</v>
      </c>
      <c r="G11546" t="s">
        <v>11</v>
      </c>
      <c r="H11546" s="5">
        <f>MONTH(Tabela1[[#This Row],[data]])</f>
        <v>4</v>
      </c>
      <c r="I11546">
        <f>YEAR(Tabela1[[#This Row],[data]])</f>
        <v>2026</v>
      </c>
    </row>
    <row r="11547" spans="1:9" x14ac:dyDescent="0.25">
      <c r="A11547" t="s">
        <v>6</v>
      </c>
      <c r="B11547" s="1">
        <v>46139</v>
      </c>
      <c r="C11547">
        <v>2</v>
      </c>
      <c r="D11547">
        <v>215.88</v>
      </c>
      <c r="E11547">
        <v>0</v>
      </c>
      <c r="F11547" t="s">
        <v>7</v>
      </c>
      <c r="G11547" t="s">
        <v>11</v>
      </c>
      <c r="H11547" s="5">
        <f>MONTH(Tabela1[[#This Row],[data]])</f>
        <v>4</v>
      </c>
      <c r="I11547">
        <f>YEAR(Tabela1[[#This Row],[data]])</f>
        <v>2026</v>
      </c>
    </row>
    <row r="11548" spans="1:9" x14ac:dyDescent="0.25">
      <c r="A11548" t="s">
        <v>6</v>
      </c>
      <c r="B11548" s="1">
        <v>46139</v>
      </c>
      <c r="C11548">
        <v>3</v>
      </c>
      <c r="D11548">
        <v>217.56</v>
      </c>
      <c r="E11548">
        <v>0</v>
      </c>
      <c r="F11548" t="s">
        <v>7</v>
      </c>
      <c r="G11548" t="s">
        <v>11</v>
      </c>
      <c r="H11548" s="5">
        <f>MONTH(Tabela1[[#This Row],[data]])</f>
        <v>4</v>
      </c>
      <c r="I11548">
        <f>YEAR(Tabela1[[#This Row],[data]])</f>
        <v>2026</v>
      </c>
    </row>
    <row r="11549" spans="1:9" x14ac:dyDescent="0.25">
      <c r="A11549" t="s">
        <v>6</v>
      </c>
      <c r="B11549" s="1">
        <v>46139</v>
      </c>
      <c r="C11549">
        <v>4</v>
      </c>
      <c r="D11549">
        <v>217.14</v>
      </c>
      <c r="E11549">
        <v>0</v>
      </c>
      <c r="F11549" t="s">
        <v>7</v>
      </c>
      <c r="G11549" t="s">
        <v>11</v>
      </c>
      <c r="H11549" s="5">
        <f>MONTH(Tabela1[[#This Row],[data]])</f>
        <v>4</v>
      </c>
      <c r="I11549">
        <f>YEAR(Tabela1[[#This Row],[data]])</f>
        <v>2026</v>
      </c>
    </row>
    <row r="11550" spans="1:9" x14ac:dyDescent="0.25">
      <c r="A11550" t="s">
        <v>6</v>
      </c>
      <c r="B11550" s="1">
        <v>46139</v>
      </c>
      <c r="C11550">
        <v>5</v>
      </c>
      <c r="D11550">
        <v>225.54</v>
      </c>
      <c r="E11550">
        <v>0</v>
      </c>
      <c r="F11550" t="s">
        <v>7</v>
      </c>
      <c r="G11550" t="s">
        <v>11</v>
      </c>
      <c r="H11550" s="5">
        <f>MONTH(Tabela1[[#This Row],[data]])</f>
        <v>4</v>
      </c>
      <c r="I11550">
        <f>YEAR(Tabela1[[#This Row],[data]])</f>
        <v>2026</v>
      </c>
    </row>
    <row r="11551" spans="1:9" x14ac:dyDescent="0.25">
      <c r="A11551" t="s">
        <v>6</v>
      </c>
      <c r="B11551" s="1">
        <v>46139</v>
      </c>
      <c r="C11551">
        <v>6</v>
      </c>
      <c r="D11551">
        <v>219.24</v>
      </c>
      <c r="E11551">
        <v>0</v>
      </c>
      <c r="F11551" t="s">
        <v>7</v>
      </c>
      <c r="G11551" t="s">
        <v>11</v>
      </c>
      <c r="H11551" s="5">
        <f>MONTH(Tabela1[[#This Row],[data]])</f>
        <v>4</v>
      </c>
      <c r="I11551">
        <f>YEAR(Tabela1[[#This Row],[data]])</f>
        <v>2026</v>
      </c>
    </row>
    <row r="11552" spans="1:9" x14ac:dyDescent="0.25">
      <c r="A11552" t="s">
        <v>6</v>
      </c>
      <c r="B11552" s="1">
        <v>46139</v>
      </c>
      <c r="C11552">
        <v>7</v>
      </c>
      <c r="D11552">
        <v>226.38</v>
      </c>
      <c r="E11552">
        <v>0</v>
      </c>
      <c r="F11552" t="s">
        <v>7</v>
      </c>
      <c r="G11552" t="s">
        <v>11</v>
      </c>
      <c r="H11552" s="5">
        <f>MONTH(Tabela1[[#This Row],[data]])</f>
        <v>4</v>
      </c>
      <c r="I11552">
        <f>YEAR(Tabela1[[#This Row],[data]])</f>
        <v>2026</v>
      </c>
    </row>
    <row r="11553" spans="1:9" x14ac:dyDescent="0.25">
      <c r="A11553" t="s">
        <v>6</v>
      </c>
      <c r="B11553" s="1">
        <v>46139</v>
      </c>
      <c r="C11553">
        <v>8</v>
      </c>
      <c r="D11553">
        <v>249.48</v>
      </c>
      <c r="E11553">
        <v>0</v>
      </c>
      <c r="F11553" t="s">
        <v>7</v>
      </c>
      <c r="G11553" t="s">
        <v>11</v>
      </c>
      <c r="H11553" s="5">
        <f>MONTH(Tabela1[[#This Row],[data]])</f>
        <v>4</v>
      </c>
      <c r="I11553">
        <f>YEAR(Tabela1[[#This Row],[data]])</f>
        <v>2026</v>
      </c>
    </row>
    <row r="11554" spans="1:9" x14ac:dyDescent="0.25">
      <c r="A11554" t="s">
        <v>6</v>
      </c>
      <c r="B11554" s="1">
        <v>46139</v>
      </c>
      <c r="C11554">
        <v>9</v>
      </c>
      <c r="D11554">
        <v>351.96</v>
      </c>
      <c r="E11554">
        <v>0</v>
      </c>
      <c r="F11554" t="s">
        <v>7</v>
      </c>
      <c r="G11554" t="s">
        <v>11</v>
      </c>
      <c r="H11554" s="5">
        <f>MONTH(Tabela1[[#This Row],[data]])</f>
        <v>4</v>
      </c>
      <c r="I11554">
        <f>YEAR(Tabela1[[#This Row],[data]])</f>
        <v>2026</v>
      </c>
    </row>
    <row r="11555" spans="1:9" x14ac:dyDescent="0.25">
      <c r="A11555" t="s">
        <v>6</v>
      </c>
      <c r="B11555" s="1">
        <v>46139</v>
      </c>
      <c r="C11555">
        <v>10</v>
      </c>
      <c r="D11555">
        <v>416.22</v>
      </c>
      <c r="E11555">
        <v>11.34</v>
      </c>
      <c r="F11555" t="s">
        <v>7</v>
      </c>
      <c r="G11555" t="s">
        <v>11</v>
      </c>
      <c r="H11555" s="5">
        <f>MONTH(Tabela1[[#This Row],[data]])</f>
        <v>4</v>
      </c>
      <c r="I11555">
        <f>YEAR(Tabela1[[#This Row],[data]])</f>
        <v>2026</v>
      </c>
    </row>
    <row r="11556" spans="1:9" x14ac:dyDescent="0.25">
      <c r="A11556" t="s">
        <v>6</v>
      </c>
      <c r="B11556" s="1">
        <v>46139</v>
      </c>
      <c r="C11556">
        <v>11</v>
      </c>
      <c r="D11556">
        <v>607.32000000000005</v>
      </c>
      <c r="E11556">
        <v>84.42</v>
      </c>
      <c r="F11556" t="s">
        <v>7</v>
      </c>
      <c r="G11556" t="s">
        <v>11</v>
      </c>
      <c r="H11556" s="5">
        <f>MONTH(Tabela1[[#This Row],[data]])</f>
        <v>4</v>
      </c>
      <c r="I11556">
        <f>YEAR(Tabela1[[#This Row],[data]])</f>
        <v>2026</v>
      </c>
    </row>
    <row r="11557" spans="1:9" x14ac:dyDescent="0.25">
      <c r="A11557" t="s">
        <v>6</v>
      </c>
      <c r="B11557" s="1">
        <v>46139</v>
      </c>
      <c r="C11557">
        <v>12</v>
      </c>
      <c r="D11557">
        <v>947.52</v>
      </c>
      <c r="E11557">
        <v>216.3</v>
      </c>
      <c r="F11557" t="s">
        <v>7</v>
      </c>
      <c r="G11557" t="s">
        <v>11</v>
      </c>
      <c r="H11557" s="5">
        <f>MONTH(Tabela1[[#This Row],[data]])</f>
        <v>4</v>
      </c>
      <c r="I11557">
        <f>YEAR(Tabela1[[#This Row],[data]])</f>
        <v>2026</v>
      </c>
    </row>
    <row r="11558" spans="1:9" x14ac:dyDescent="0.25">
      <c r="A11558" t="s">
        <v>6</v>
      </c>
      <c r="B11558" s="1">
        <v>46139</v>
      </c>
      <c r="C11558">
        <v>13</v>
      </c>
      <c r="D11558">
        <v>655.62</v>
      </c>
      <c r="E11558">
        <v>111.72</v>
      </c>
      <c r="F11558" t="s">
        <v>7</v>
      </c>
      <c r="G11558" t="s">
        <v>11</v>
      </c>
      <c r="H11558" s="5">
        <f>MONTH(Tabela1[[#This Row],[data]])</f>
        <v>4</v>
      </c>
      <c r="I11558">
        <f>YEAR(Tabela1[[#This Row],[data]])</f>
        <v>2026</v>
      </c>
    </row>
    <row r="11559" spans="1:9" x14ac:dyDescent="0.25">
      <c r="A11559" t="s">
        <v>6</v>
      </c>
      <c r="B11559" s="1">
        <v>46139</v>
      </c>
      <c r="C11559">
        <v>14</v>
      </c>
      <c r="D11559">
        <v>854.28</v>
      </c>
      <c r="E11559">
        <v>186.9</v>
      </c>
      <c r="F11559" t="s">
        <v>7</v>
      </c>
      <c r="G11559" t="s">
        <v>11</v>
      </c>
      <c r="H11559" s="5">
        <f>MONTH(Tabela1[[#This Row],[data]])</f>
        <v>4</v>
      </c>
      <c r="I11559">
        <f>YEAR(Tabela1[[#This Row],[data]])</f>
        <v>2026</v>
      </c>
    </row>
    <row r="11560" spans="1:9" x14ac:dyDescent="0.25">
      <c r="A11560" t="s">
        <v>6</v>
      </c>
      <c r="B11560" s="1">
        <v>46139</v>
      </c>
      <c r="C11560">
        <v>15</v>
      </c>
      <c r="D11560">
        <v>968.52</v>
      </c>
      <c r="E11560">
        <v>249.48</v>
      </c>
      <c r="F11560" t="s">
        <v>7</v>
      </c>
      <c r="G11560" t="s">
        <v>11</v>
      </c>
      <c r="H11560" s="5">
        <f>MONTH(Tabela1[[#This Row],[data]])</f>
        <v>4</v>
      </c>
      <c r="I11560">
        <f>YEAR(Tabela1[[#This Row],[data]])</f>
        <v>2026</v>
      </c>
    </row>
    <row r="11561" spans="1:9" x14ac:dyDescent="0.25">
      <c r="A11561" t="s">
        <v>6</v>
      </c>
      <c r="B11561" s="1">
        <v>46139</v>
      </c>
      <c r="C11561">
        <v>16</v>
      </c>
      <c r="D11561">
        <v>954.24</v>
      </c>
      <c r="E11561">
        <v>239.4</v>
      </c>
      <c r="F11561" t="s">
        <v>7</v>
      </c>
      <c r="G11561" t="s">
        <v>11</v>
      </c>
      <c r="H11561" s="5">
        <f>MONTH(Tabela1[[#This Row],[data]])</f>
        <v>4</v>
      </c>
      <c r="I11561">
        <f>YEAR(Tabela1[[#This Row],[data]])</f>
        <v>2026</v>
      </c>
    </row>
    <row r="11562" spans="1:9" x14ac:dyDescent="0.25">
      <c r="A11562" t="s">
        <v>6</v>
      </c>
      <c r="B11562" s="1">
        <v>46139</v>
      </c>
      <c r="C11562">
        <v>17</v>
      </c>
      <c r="D11562">
        <v>900.48</v>
      </c>
      <c r="E11562">
        <v>238.98</v>
      </c>
      <c r="F11562" t="s">
        <v>7</v>
      </c>
      <c r="G11562" t="s">
        <v>11</v>
      </c>
      <c r="H11562" s="5">
        <f>MONTH(Tabela1[[#This Row],[data]])</f>
        <v>4</v>
      </c>
      <c r="I11562">
        <f>YEAR(Tabela1[[#This Row],[data]])</f>
        <v>2026</v>
      </c>
    </row>
    <row r="11563" spans="1:9" x14ac:dyDescent="0.25">
      <c r="A11563" t="s">
        <v>6</v>
      </c>
      <c r="B11563" s="1">
        <v>46139</v>
      </c>
      <c r="C11563">
        <v>18</v>
      </c>
      <c r="D11563">
        <v>795.9</v>
      </c>
      <c r="E11563">
        <v>163.38</v>
      </c>
      <c r="F11563" t="s">
        <v>7</v>
      </c>
      <c r="G11563" t="s">
        <v>11</v>
      </c>
      <c r="H11563" s="5">
        <f>MONTH(Tabela1[[#This Row],[data]])</f>
        <v>4</v>
      </c>
      <c r="I11563">
        <f>YEAR(Tabela1[[#This Row],[data]])</f>
        <v>2026</v>
      </c>
    </row>
    <row r="11564" spans="1:9" x14ac:dyDescent="0.25">
      <c r="A11564" t="s">
        <v>6</v>
      </c>
      <c r="B11564" s="1">
        <v>46139</v>
      </c>
      <c r="C11564">
        <v>19</v>
      </c>
      <c r="D11564">
        <v>817.74</v>
      </c>
      <c r="E11564">
        <v>156.66</v>
      </c>
      <c r="F11564" t="s">
        <v>7</v>
      </c>
      <c r="G11564" t="s">
        <v>11</v>
      </c>
      <c r="H11564" s="5">
        <f>MONTH(Tabela1[[#This Row],[data]])</f>
        <v>4</v>
      </c>
      <c r="I11564">
        <f>YEAR(Tabela1[[#This Row],[data]])</f>
        <v>2026</v>
      </c>
    </row>
    <row r="11565" spans="1:9" x14ac:dyDescent="0.25">
      <c r="A11565" t="s">
        <v>6</v>
      </c>
      <c r="B11565" s="1">
        <v>46139</v>
      </c>
      <c r="C11565">
        <v>20</v>
      </c>
      <c r="D11565">
        <v>639.66</v>
      </c>
      <c r="E11565">
        <v>85.68</v>
      </c>
      <c r="F11565" t="s">
        <v>7</v>
      </c>
      <c r="G11565" t="s">
        <v>11</v>
      </c>
      <c r="H11565" s="5">
        <f>MONTH(Tabela1[[#This Row],[data]])</f>
        <v>4</v>
      </c>
      <c r="I11565">
        <f>YEAR(Tabela1[[#This Row],[data]])</f>
        <v>2026</v>
      </c>
    </row>
    <row r="11566" spans="1:9" x14ac:dyDescent="0.25">
      <c r="A11566" t="s">
        <v>6</v>
      </c>
      <c r="B11566" s="1">
        <v>46139</v>
      </c>
      <c r="C11566">
        <v>21</v>
      </c>
      <c r="D11566">
        <v>591.36</v>
      </c>
      <c r="E11566">
        <v>76.86</v>
      </c>
      <c r="F11566" t="s">
        <v>7</v>
      </c>
      <c r="G11566" t="s">
        <v>11</v>
      </c>
      <c r="H11566" s="5">
        <f>MONTH(Tabela1[[#This Row],[data]])</f>
        <v>4</v>
      </c>
      <c r="I11566">
        <f>YEAR(Tabela1[[#This Row],[data]])</f>
        <v>2026</v>
      </c>
    </row>
    <row r="11567" spans="1:9" x14ac:dyDescent="0.25">
      <c r="A11567" t="s">
        <v>6</v>
      </c>
      <c r="B11567" s="1">
        <v>46139</v>
      </c>
      <c r="C11567">
        <v>22</v>
      </c>
      <c r="D11567">
        <v>566.16</v>
      </c>
      <c r="E11567">
        <v>60.9</v>
      </c>
      <c r="F11567" t="s">
        <v>7</v>
      </c>
      <c r="G11567" t="s">
        <v>11</v>
      </c>
      <c r="H11567" s="5">
        <f>MONTH(Tabela1[[#This Row],[data]])</f>
        <v>4</v>
      </c>
      <c r="I11567">
        <f>YEAR(Tabela1[[#This Row],[data]])</f>
        <v>2026</v>
      </c>
    </row>
    <row r="11568" spans="1:9" x14ac:dyDescent="0.25">
      <c r="A11568" t="s">
        <v>6</v>
      </c>
      <c r="B11568" s="1">
        <v>46139</v>
      </c>
      <c r="C11568">
        <v>23</v>
      </c>
      <c r="D11568">
        <v>364.56</v>
      </c>
      <c r="E11568">
        <v>1.26</v>
      </c>
      <c r="F11568" t="s">
        <v>7</v>
      </c>
      <c r="G11568" t="s">
        <v>11</v>
      </c>
      <c r="H11568" s="5">
        <f>MONTH(Tabela1[[#This Row],[data]])</f>
        <v>4</v>
      </c>
      <c r="I11568">
        <f>YEAR(Tabela1[[#This Row],[data]])</f>
        <v>2026</v>
      </c>
    </row>
    <row r="11569" spans="1:9" x14ac:dyDescent="0.25">
      <c r="A11569" t="s">
        <v>6</v>
      </c>
      <c r="B11569" s="1">
        <v>46139</v>
      </c>
      <c r="C11569">
        <v>24</v>
      </c>
      <c r="D11569">
        <v>264.18</v>
      </c>
      <c r="E11569">
        <v>0</v>
      </c>
      <c r="F11569" t="s">
        <v>7</v>
      </c>
      <c r="G11569" t="s">
        <v>11</v>
      </c>
      <c r="H11569" s="5">
        <f>MONTH(Tabela1[[#This Row],[data]])</f>
        <v>4</v>
      </c>
      <c r="I11569">
        <f>YEAR(Tabela1[[#This Row],[data]])</f>
        <v>2026</v>
      </c>
    </row>
    <row r="11570" spans="1:9" x14ac:dyDescent="0.25">
      <c r="A11570" t="s">
        <v>6</v>
      </c>
      <c r="B11570" s="1">
        <v>46140</v>
      </c>
      <c r="C11570">
        <v>1</v>
      </c>
      <c r="D11570">
        <v>236.46</v>
      </c>
      <c r="E11570">
        <v>0</v>
      </c>
      <c r="F11570" t="s">
        <v>7</v>
      </c>
      <c r="G11570" t="s">
        <v>12</v>
      </c>
      <c r="H11570" s="5">
        <f>MONTH(Tabela1[[#This Row],[data]])</f>
        <v>4</v>
      </c>
      <c r="I11570">
        <f>YEAR(Tabela1[[#This Row],[data]])</f>
        <v>2026</v>
      </c>
    </row>
    <row r="11571" spans="1:9" x14ac:dyDescent="0.25">
      <c r="A11571" t="s">
        <v>6</v>
      </c>
      <c r="B11571" s="1">
        <v>46140</v>
      </c>
      <c r="C11571">
        <v>2</v>
      </c>
      <c r="D11571">
        <v>224.7</v>
      </c>
      <c r="E11571">
        <v>0</v>
      </c>
      <c r="F11571" t="s">
        <v>7</v>
      </c>
      <c r="G11571" t="s">
        <v>12</v>
      </c>
      <c r="H11571" s="5">
        <f>MONTH(Tabela1[[#This Row],[data]])</f>
        <v>4</v>
      </c>
      <c r="I11571">
        <f>YEAR(Tabela1[[#This Row],[data]])</f>
        <v>2026</v>
      </c>
    </row>
    <row r="11572" spans="1:9" x14ac:dyDescent="0.25">
      <c r="A11572" t="s">
        <v>6</v>
      </c>
      <c r="B11572" s="1">
        <v>46140</v>
      </c>
      <c r="C11572">
        <v>3</v>
      </c>
      <c r="D11572">
        <v>221.34</v>
      </c>
      <c r="E11572">
        <v>0</v>
      </c>
      <c r="F11572" t="s">
        <v>7</v>
      </c>
      <c r="G11572" t="s">
        <v>12</v>
      </c>
      <c r="H11572" s="5">
        <f>MONTH(Tabela1[[#This Row],[data]])</f>
        <v>4</v>
      </c>
      <c r="I11572">
        <f>YEAR(Tabela1[[#This Row],[data]])</f>
        <v>2026</v>
      </c>
    </row>
    <row r="11573" spans="1:9" x14ac:dyDescent="0.25">
      <c r="A11573" t="s">
        <v>6</v>
      </c>
      <c r="B11573" s="1">
        <v>46140</v>
      </c>
      <c r="C11573">
        <v>4</v>
      </c>
      <c r="D11573">
        <v>221.76</v>
      </c>
      <c r="E11573">
        <v>0</v>
      </c>
      <c r="F11573" t="s">
        <v>7</v>
      </c>
      <c r="G11573" t="s">
        <v>12</v>
      </c>
      <c r="H11573" s="5">
        <f>MONTH(Tabela1[[#This Row],[data]])</f>
        <v>4</v>
      </c>
      <c r="I11573">
        <f>YEAR(Tabela1[[#This Row],[data]])</f>
        <v>2026</v>
      </c>
    </row>
    <row r="11574" spans="1:9" x14ac:dyDescent="0.25">
      <c r="A11574" t="s">
        <v>6</v>
      </c>
      <c r="B11574" s="1">
        <v>46140</v>
      </c>
      <c r="C11574">
        <v>5</v>
      </c>
      <c r="D11574">
        <v>226.38</v>
      </c>
      <c r="E11574">
        <v>0</v>
      </c>
      <c r="F11574" t="s">
        <v>7</v>
      </c>
      <c r="G11574" t="s">
        <v>12</v>
      </c>
      <c r="H11574" s="5">
        <f>MONTH(Tabela1[[#This Row],[data]])</f>
        <v>4</v>
      </c>
      <c r="I11574">
        <f>YEAR(Tabela1[[#This Row],[data]])</f>
        <v>2026</v>
      </c>
    </row>
    <row r="11575" spans="1:9" x14ac:dyDescent="0.25">
      <c r="A11575" t="s">
        <v>6</v>
      </c>
      <c r="B11575" s="1">
        <v>46140</v>
      </c>
      <c r="C11575">
        <v>6</v>
      </c>
      <c r="D11575">
        <v>219.24</v>
      </c>
      <c r="E11575">
        <v>0</v>
      </c>
      <c r="F11575" t="s">
        <v>7</v>
      </c>
      <c r="G11575" t="s">
        <v>12</v>
      </c>
      <c r="H11575" s="5">
        <f>MONTH(Tabela1[[#This Row],[data]])</f>
        <v>4</v>
      </c>
      <c r="I11575">
        <f>YEAR(Tabela1[[#This Row],[data]])</f>
        <v>2026</v>
      </c>
    </row>
    <row r="11576" spans="1:9" x14ac:dyDescent="0.25">
      <c r="A11576" t="s">
        <v>6</v>
      </c>
      <c r="B11576" s="1">
        <v>46140</v>
      </c>
      <c r="C11576">
        <v>7</v>
      </c>
      <c r="D11576">
        <v>218.82</v>
      </c>
      <c r="E11576">
        <v>0</v>
      </c>
      <c r="F11576" t="s">
        <v>7</v>
      </c>
      <c r="G11576" t="s">
        <v>12</v>
      </c>
      <c r="H11576" s="5">
        <f>MONTH(Tabela1[[#This Row],[data]])</f>
        <v>4</v>
      </c>
      <c r="I11576">
        <f>YEAR(Tabela1[[#This Row],[data]])</f>
        <v>2026</v>
      </c>
    </row>
    <row r="11577" spans="1:9" x14ac:dyDescent="0.25">
      <c r="A11577" t="s">
        <v>6</v>
      </c>
      <c r="B11577" s="1">
        <v>46140</v>
      </c>
      <c r="C11577">
        <v>8</v>
      </c>
      <c r="D11577">
        <v>273.83999999999997</v>
      </c>
      <c r="E11577">
        <v>0</v>
      </c>
      <c r="F11577" t="s">
        <v>7</v>
      </c>
      <c r="G11577" t="s">
        <v>12</v>
      </c>
      <c r="H11577" s="5">
        <f>MONTH(Tabela1[[#This Row],[data]])</f>
        <v>4</v>
      </c>
      <c r="I11577">
        <f>YEAR(Tabela1[[#This Row],[data]])</f>
        <v>2026</v>
      </c>
    </row>
    <row r="11578" spans="1:9" x14ac:dyDescent="0.25">
      <c r="A11578" t="s">
        <v>6</v>
      </c>
      <c r="B11578" s="1">
        <v>46140</v>
      </c>
      <c r="C11578">
        <v>9</v>
      </c>
      <c r="D11578">
        <v>382.62</v>
      </c>
      <c r="E11578">
        <v>0</v>
      </c>
      <c r="F11578" t="s">
        <v>7</v>
      </c>
      <c r="G11578" t="s">
        <v>12</v>
      </c>
      <c r="H11578" s="5">
        <f>MONTH(Tabela1[[#This Row],[data]])</f>
        <v>4</v>
      </c>
      <c r="I11578">
        <f>YEAR(Tabela1[[#This Row],[data]])</f>
        <v>2026</v>
      </c>
    </row>
    <row r="11579" spans="1:9" x14ac:dyDescent="0.25">
      <c r="A11579" t="s">
        <v>6</v>
      </c>
      <c r="B11579" s="1">
        <v>46140</v>
      </c>
      <c r="C11579">
        <v>10</v>
      </c>
      <c r="D11579">
        <v>505.68</v>
      </c>
      <c r="E11579">
        <v>44.94</v>
      </c>
      <c r="F11579" t="s">
        <v>7</v>
      </c>
      <c r="G11579" t="s">
        <v>12</v>
      </c>
      <c r="H11579" s="5">
        <f>MONTH(Tabela1[[#This Row],[data]])</f>
        <v>4</v>
      </c>
      <c r="I11579">
        <f>YEAR(Tabela1[[#This Row],[data]])</f>
        <v>2026</v>
      </c>
    </row>
    <row r="11580" spans="1:9" x14ac:dyDescent="0.25">
      <c r="A11580" t="s">
        <v>6</v>
      </c>
      <c r="B11580" s="1">
        <v>46140</v>
      </c>
      <c r="C11580">
        <v>11</v>
      </c>
      <c r="D11580">
        <v>615.29999999999995</v>
      </c>
      <c r="E11580">
        <v>85.26</v>
      </c>
      <c r="F11580" t="s">
        <v>7</v>
      </c>
      <c r="G11580" t="s">
        <v>12</v>
      </c>
      <c r="H11580" s="5">
        <f>MONTH(Tabela1[[#This Row],[data]])</f>
        <v>4</v>
      </c>
      <c r="I11580">
        <f>YEAR(Tabela1[[#This Row],[data]])</f>
        <v>2026</v>
      </c>
    </row>
    <row r="11581" spans="1:9" x14ac:dyDescent="0.25">
      <c r="A11581" t="s">
        <v>6</v>
      </c>
      <c r="B11581" s="1">
        <v>46140</v>
      </c>
      <c r="C11581">
        <v>12</v>
      </c>
      <c r="D11581">
        <v>677.46</v>
      </c>
      <c r="E11581">
        <v>109.62</v>
      </c>
      <c r="F11581" t="s">
        <v>7</v>
      </c>
      <c r="G11581" t="s">
        <v>12</v>
      </c>
      <c r="H11581" s="5">
        <f>MONTH(Tabela1[[#This Row],[data]])</f>
        <v>4</v>
      </c>
      <c r="I11581">
        <f>YEAR(Tabela1[[#This Row],[data]])</f>
        <v>2026</v>
      </c>
    </row>
    <row r="11582" spans="1:9" x14ac:dyDescent="0.25">
      <c r="A11582" t="s">
        <v>6</v>
      </c>
      <c r="B11582" s="1">
        <v>46140</v>
      </c>
      <c r="C11582">
        <v>13</v>
      </c>
      <c r="D11582">
        <v>837.9</v>
      </c>
      <c r="E11582">
        <v>190.26</v>
      </c>
      <c r="F11582" t="s">
        <v>7</v>
      </c>
      <c r="G11582" t="s">
        <v>12</v>
      </c>
      <c r="H11582" s="5">
        <f>MONTH(Tabela1[[#This Row],[data]])</f>
        <v>4</v>
      </c>
      <c r="I11582">
        <f>YEAR(Tabela1[[#This Row],[data]])</f>
        <v>2026</v>
      </c>
    </row>
    <row r="11583" spans="1:9" x14ac:dyDescent="0.25">
      <c r="A11583" t="s">
        <v>6</v>
      </c>
      <c r="B11583" s="1">
        <v>46140</v>
      </c>
      <c r="C11583">
        <v>14</v>
      </c>
      <c r="D11583">
        <v>826.14</v>
      </c>
      <c r="E11583">
        <v>170.1</v>
      </c>
      <c r="F11583" t="s">
        <v>7</v>
      </c>
      <c r="G11583" t="s">
        <v>12</v>
      </c>
      <c r="H11583" s="5">
        <f>MONTH(Tabela1[[#This Row],[data]])</f>
        <v>4</v>
      </c>
      <c r="I11583">
        <f>YEAR(Tabela1[[#This Row],[data]])</f>
        <v>2026</v>
      </c>
    </row>
    <row r="11584" spans="1:9" x14ac:dyDescent="0.25">
      <c r="A11584" t="s">
        <v>6</v>
      </c>
      <c r="B11584" s="1">
        <v>46140</v>
      </c>
      <c r="C11584">
        <v>15</v>
      </c>
      <c r="D11584">
        <v>756.42</v>
      </c>
      <c r="E11584">
        <v>142.38</v>
      </c>
      <c r="F11584" t="s">
        <v>7</v>
      </c>
      <c r="G11584" t="s">
        <v>12</v>
      </c>
      <c r="H11584" s="5">
        <f>MONTH(Tabela1[[#This Row],[data]])</f>
        <v>4</v>
      </c>
      <c r="I11584">
        <f>YEAR(Tabela1[[#This Row],[data]])</f>
        <v>2026</v>
      </c>
    </row>
    <row r="11585" spans="1:9" x14ac:dyDescent="0.25">
      <c r="A11585" t="s">
        <v>6</v>
      </c>
      <c r="B11585" s="1">
        <v>46140</v>
      </c>
      <c r="C11585">
        <v>16</v>
      </c>
      <c r="D11585">
        <v>855.96</v>
      </c>
      <c r="E11585">
        <v>205.8</v>
      </c>
      <c r="F11585" t="s">
        <v>7</v>
      </c>
      <c r="G11585" t="s">
        <v>12</v>
      </c>
      <c r="H11585" s="5">
        <f>MONTH(Tabela1[[#This Row],[data]])</f>
        <v>4</v>
      </c>
      <c r="I11585">
        <f>YEAR(Tabela1[[#This Row],[data]])</f>
        <v>2026</v>
      </c>
    </row>
    <row r="11586" spans="1:9" x14ac:dyDescent="0.25">
      <c r="A11586" t="s">
        <v>6</v>
      </c>
      <c r="B11586" s="1">
        <v>46140</v>
      </c>
      <c r="C11586">
        <v>17</v>
      </c>
      <c r="D11586">
        <v>713.16</v>
      </c>
      <c r="E11586">
        <v>153.30000000000001</v>
      </c>
      <c r="F11586" t="s">
        <v>7</v>
      </c>
      <c r="G11586" t="s">
        <v>12</v>
      </c>
      <c r="H11586" s="5">
        <f>MONTH(Tabela1[[#This Row],[data]])</f>
        <v>4</v>
      </c>
      <c r="I11586">
        <f>YEAR(Tabela1[[#This Row],[data]])</f>
        <v>2026</v>
      </c>
    </row>
    <row r="11587" spans="1:9" x14ac:dyDescent="0.25">
      <c r="A11587" t="s">
        <v>6</v>
      </c>
      <c r="B11587" s="1">
        <v>46140</v>
      </c>
      <c r="C11587">
        <v>18</v>
      </c>
      <c r="D11587">
        <v>764.82</v>
      </c>
      <c r="E11587">
        <v>162.12</v>
      </c>
      <c r="F11587" t="s">
        <v>7</v>
      </c>
      <c r="G11587" t="s">
        <v>12</v>
      </c>
      <c r="H11587" s="5">
        <f>MONTH(Tabela1[[#This Row],[data]])</f>
        <v>4</v>
      </c>
      <c r="I11587">
        <f>YEAR(Tabela1[[#This Row],[data]])</f>
        <v>2026</v>
      </c>
    </row>
    <row r="11588" spans="1:9" x14ac:dyDescent="0.25">
      <c r="A11588" t="s">
        <v>6</v>
      </c>
      <c r="B11588" s="1">
        <v>46140</v>
      </c>
      <c r="C11588">
        <v>19</v>
      </c>
      <c r="D11588">
        <v>702.24</v>
      </c>
      <c r="E11588">
        <v>112.98</v>
      </c>
      <c r="F11588" t="s">
        <v>7</v>
      </c>
      <c r="G11588" t="s">
        <v>12</v>
      </c>
      <c r="H11588" s="5">
        <f>MONTH(Tabela1[[#This Row],[data]])</f>
        <v>4</v>
      </c>
      <c r="I11588">
        <f>YEAR(Tabela1[[#This Row],[data]])</f>
        <v>2026</v>
      </c>
    </row>
    <row r="11589" spans="1:9" x14ac:dyDescent="0.25">
      <c r="A11589" t="s">
        <v>6</v>
      </c>
      <c r="B11589" s="1">
        <v>46140</v>
      </c>
      <c r="C11589">
        <v>20</v>
      </c>
      <c r="D11589">
        <v>593.46</v>
      </c>
      <c r="E11589">
        <v>77.7</v>
      </c>
      <c r="F11589" t="s">
        <v>7</v>
      </c>
      <c r="G11589" t="s">
        <v>12</v>
      </c>
      <c r="H11589" s="5">
        <f>MONTH(Tabela1[[#This Row],[data]])</f>
        <v>4</v>
      </c>
      <c r="I11589">
        <f>YEAR(Tabela1[[#This Row],[data]])</f>
        <v>2026</v>
      </c>
    </row>
    <row r="11590" spans="1:9" x14ac:dyDescent="0.25">
      <c r="A11590" t="s">
        <v>6</v>
      </c>
      <c r="B11590" s="1">
        <v>46140</v>
      </c>
      <c r="C11590">
        <v>21</v>
      </c>
      <c r="D11590">
        <v>603.96</v>
      </c>
      <c r="E11590">
        <v>71.819999999999993</v>
      </c>
      <c r="F11590" t="s">
        <v>7</v>
      </c>
      <c r="G11590" t="s">
        <v>12</v>
      </c>
      <c r="H11590" s="5">
        <f>MONTH(Tabela1[[#This Row],[data]])</f>
        <v>4</v>
      </c>
      <c r="I11590">
        <f>YEAR(Tabela1[[#This Row],[data]])</f>
        <v>2026</v>
      </c>
    </row>
    <row r="11591" spans="1:9" x14ac:dyDescent="0.25">
      <c r="A11591" t="s">
        <v>6</v>
      </c>
      <c r="B11591" s="1">
        <v>46140</v>
      </c>
      <c r="C11591">
        <v>22</v>
      </c>
      <c r="D11591">
        <v>561.54</v>
      </c>
      <c r="E11591">
        <v>50.4</v>
      </c>
      <c r="F11591" t="s">
        <v>7</v>
      </c>
      <c r="G11591" t="s">
        <v>12</v>
      </c>
      <c r="H11591" s="5">
        <f>MONTH(Tabela1[[#This Row],[data]])</f>
        <v>4</v>
      </c>
      <c r="I11591">
        <f>YEAR(Tabela1[[#This Row],[data]])</f>
        <v>2026</v>
      </c>
    </row>
    <row r="11592" spans="1:9" x14ac:dyDescent="0.25">
      <c r="A11592" t="s">
        <v>6</v>
      </c>
      <c r="B11592" s="1">
        <v>46140</v>
      </c>
      <c r="C11592">
        <v>23</v>
      </c>
      <c r="D11592">
        <v>362.46</v>
      </c>
      <c r="E11592">
        <v>0.84</v>
      </c>
      <c r="F11592" t="s">
        <v>7</v>
      </c>
      <c r="G11592" t="s">
        <v>12</v>
      </c>
      <c r="H11592" s="5">
        <f>MONTH(Tabela1[[#This Row],[data]])</f>
        <v>4</v>
      </c>
      <c r="I11592">
        <f>YEAR(Tabela1[[#This Row],[data]])</f>
        <v>2026</v>
      </c>
    </row>
    <row r="11593" spans="1:9" x14ac:dyDescent="0.25">
      <c r="A11593" t="s">
        <v>6</v>
      </c>
      <c r="B11593" s="1">
        <v>46140</v>
      </c>
      <c r="C11593">
        <v>24</v>
      </c>
      <c r="D11593">
        <v>264.60000000000002</v>
      </c>
      <c r="E11593">
        <v>0</v>
      </c>
      <c r="F11593" t="s">
        <v>7</v>
      </c>
      <c r="G11593" t="s">
        <v>12</v>
      </c>
      <c r="H11593" s="5">
        <f>MONTH(Tabela1[[#This Row],[data]])</f>
        <v>4</v>
      </c>
      <c r="I11593">
        <f>YEAR(Tabela1[[#This Row],[data]])</f>
        <v>2026</v>
      </c>
    </row>
    <row r="11594" spans="1:9" x14ac:dyDescent="0.25">
      <c r="A11594" t="s">
        <v>6</v>
      </c>
      <c r="B11594" s="1">
        <v>46141</v>
      </c>
      <c r="C11594">
        <v>1</v>
      </c>
      <c r="D11594">
        <v>235.2</v>
      </c>
      <c r="E11594">
        <v>0</v>
      </c>
      <c r="F11594" t="s">
        <v>7</v>
      </c>
      <c r="G11594" t="s">
        <v>11</v>
      </c>
      <c r="H11594" s="5">
        <f>MONTH(Tabela1[[#This Row],[data]])</f>
        <v>4</v>
      </c>
      <c r="I11594">
        <f>YEAR(Tabela1[[#This Row],[data]])</f>
        <v>2026</v>
      </c>
    </row>
    <row r="11595" spans="1:9" x14ac:dyDescent="0.25">
      <c r="A11595" t="s">
        <v>6</v>
      </c>
      <c r="B11595" s="1">
        <v>46141</v>
      </c>
      <c r="C11595">
        <v>2</v>
      </c>
      <c r="D11595">
        <v>223.44</v>
      </c>
      <c r="E11595">
        <v>0</v>
      </c>
      <c r="F11595" t="s">
        <v>7</v>
      </c>
      <c r="G11595" t="s">
        <v>11</v>
      </c>
      <c r="H11595" s="5">
        <f>MONTH(Tabela1[[#This Row],[data]])</f>
        <v>4</v>
      </c>
      <c r="I11595">
        <f>YEAR(Tabela1[[#This Row],[data]])</f>
        <v>2026</v>
      </c>
    </row>
    <row r="11596" spans="1:9" x14ac:dyDescent="0.25">
      <c r="A11596" t="s">
        <v>6</v>
      </c>
      <c r="B11596" s="1">
        <v>46141</v>
      </c>
      <c r="C11596">
        <v>3</v>
      </c>
      <c r="D11596">
        <v>224.28</v>
      </c>
      <c r="E11596">
        <v>0</v>
      </c>
      <c r="F11596" t="s">
        <v>7</v>
      </c>
      <c r="G11596" t="s">
        <v>11</v>
      </c>
      <c r="H11596" s="5">
        <f>MONTH(Tabela1[[#This Row],[data]])</f>
        <v>4</v>
      </c>
      <c r="I11596">
        <f>YEAR(Tabela1[[#This Row],[data]])</f>
        <v>2026</v>
      </c>
    </row>
    <row r="11597" spans="1:9" x14ac:dyDescent="0.25">
      <c r="A11597" t="s">
        <v>6</v>
      </c>
      <c r="B11597" s="1">
        <v>46141</v>
      </c>
      <c r="C11597">
        <v>4</v>
      </c>
      <c r="D11597">
        <v>225.12</v>
      </c>
      <c r="E11597">
        <v>0</v>
      </c>
      <c r="F11597" t="s">
        <v>7</v>
      </c>
      <c r="G11597" t="s">
        <v>11</v>
      </c>
      <c r="H11597" s="5">
        <f>MONTH(Tabela1[[#This Row],[data]])</f>
        <v>4</v>
      </c>
      <c r="I11597">
        <f>YEAR(Tabela1[[#This Row],[data]])</f>
        <v>2026</v>
      </c>
    </row>
    <row r="11598" spans="1:9" x14ac:dyDescent="0.25">
      <c r="A11598" t="s">
        <v>6</v>
      </c>
      <c r="B11598" s="1">
        <v>46141</v>
      </c>
      <c r="C11598">
        <v>5</v>
      </c>
      <c r="D11598">
        <v>226.8</v>
      </c>
      <c r="E11598">
        <v>0</v>
      </c>
      <c r="F11598" t="s">
        <v>7</v>
      </c>
      <c r="G11598" t="s">
        <v>11</v>
      </c>
      <c r="H11598" s="5">
        <f>MONTH(Tabela1[[#This Row],[data]])</f>
        <v>4</v>
      </c>
      <c r="I11598">
        <f>YEAR(Tabela1[[#This Row],[data]])</f>
        <v>2026</v>
      </c>
    </row>
    <row r="11599" spans="1:9" x14ac:dyDescent="0.25">
      <c r="A11599" t="s">
        <v>6</v>
      </c>
      <c r="B11599" s="1">
        <v>46141</v>
      </c>
      <c r="C11599">
        <v>6</v>
      </c>
      <c r="D11599">
        <v>222.6</v>
      </c>
      <c r="E11599">
        <v>0</v>
      </c>
      <c r="F11599" t="s">
        <v>7</v>
      </c>
      <c r="G11599" t="s">
        <v>11</v>
      </c>
      <c r="H11599" s="5">
        <f>MONTH(Tabela1[[#This Row],[data]])</f>
        <v>4</v>
      </c>
      <c r="I11599">
        <f>YEAR(Tabela1[[#This Row],[data]])</f>
        <v>2026</v>
      </c>
    </row>
    <row r="11600" spans="1:9" x14ac:dyDescent="0.25">
      <c r="A11600" t="s">
        <v>6</v>
      </c>
      <c r="B11600" s="1">
        <v>46141</v>
      </c>
      <c r="C11600">
        <v>7</v>
      </c>
      <c r="D11600">
        <v>215.04</v>
      </c>
      <c r="E11600">
        <v>0</v>
      </c>
      <c r="F11600" t="s">
        <v>7</v>
      </c>
      <c r="G11600" t="s">
        <v>11</v>
      </c>
      <c r="H11600" s="5">
        <f>MONTH(Tabela1[[#This Row],[data]])</f>
        <v>4</v>
      </c>
      <c r="I11600">
        <f>YEAR(Tabela1[[#This Row],[data]])</f>
        <v>2026</v>
      </c>
    </row>
    <row r="11601" spans="1:9" x14ac:dyDescent="0.25">
      <c r="A11601" t="s">
        <v>6</v>
      </c>
      <c r="B11601" s="1">
        <v>46141</v>
      </c>
      <c r="C11601">
        <v>8</v>
      </c>
      <c r="D11601">
        <v>235.2</v>
      </c>
      <c r="E11601">
        <v>0</v>
      </c>
      <c r="F11601" t="s">
        <v>7</v>
      </c>
      <c r="G11601" t="s">
        <v>11</v>
      </c>
      <c r="H11601" s="5">
        <f>MONTH(Tabela1[[#This Row],[data]])</f>
        <v>4</v>
      </c>
      <c r="I11601">
        <f>YEAR(Tabela1[[#This Row],[data]])</f>
        <v>2026</v>
      </c>
    </row>
    <row r="11602" spans="1:9" x14ac:dyDescent="0.25">
      <c r="A11602" t="s">
        <v>6</v>
      </c>
      <c r="B11602" s="1">
        <v>46141</v>
      </c>
      <c r="C11602">
        <v>9</v>
      </c>
      <c r="D11602">
        <v>370.86</v>
      </c>
      <c r="E11602">
        <v>3.78</v>
      </c>
      <c r="F11602" t="s">
        <v>7</v>
      </c>
      <c r="G11602" t="s">
        <v>11</v>
      </c>
      <c r="H11602" s="5">
        <f>MONTH(Tabela1[[#This Row],[data]])</f>
        <v>4</v>
      </c>
      <c r="I11602">
        <f>YEAR(Tabela1[[#This Row],[data]])</f>
        <v>2026</v>
      </c>
    </row>
    <row r="11603" spans="1:9" x14ac:dyDescent="0.25">
      <c r="A11603" t="s">
        <v>6</v>
      </c>
      <c r="B11603" s="1">
        <v>46141</v>
      </c>
      <c r="C11603">
        <v>10</v>
      </c>
      <c r="D11603">
        <v>455.7</v>
      </c>
      <c r="E11603">
        <v>21.42</v>
      </c>
      <c r="F11603" t="s">
        <v>7</v>
      </c>
      <c r="G11603" t="s">
        <v>11</v>
      </c>
      <c r="H11603" s="5">
        <f>MONTH(Tabela1[[#This Row],[data]])</f>
        <v>4</v>
      </c>
      <c r="I11603">
        <f>YEAR(Tabela1[[#This Row],[data]])</f>
        <v>2026</v>
      </c>
    </row>
    <row r="11604" spans="1:9" x14ac:dyDescent="0.25">
      <c r="A11604" t="s">
        <v>6</v>
      </c>
      <c r="B11604" s="1">
        <v>46141</v>
      </c>
      <c r="C11604">
        <v>11</v>
      </c>
      <c r="D11604">
        <v>877.8</v>
      </c>
      <c r="E11604">
        <v>198.24</v>
      </c>
      <c r="F11604" t="s">
        <v>7</v>
      </c>
      <c r="G11604" t="s">
        <v>11</v>
      </c>
      <c r="H11604" s="5">
        <f>MONTH(Tabela1[[#This Row],[data]])</f>
        <v>4</v>
      </c>
      <c r="I11604">
        <f>YEAR(Tabela1[[#This Row],[data]])</f>
        <v>2026</v>
      </c>
    </row>
    <row r="11605" spans="1:9" x14ac:dyDescent="0.25">
      <c r="A11605" t="s">
        <v>6</v>
      </c>
      <c r="B11605" s="1">
        <v>46141</v>
      </c>
      <c r="C11605">
        <v>12</v>
      </c>
      <c r="D11605">
        <v>851.34</v>
      </c>
      <c r="E11605">
        <v>183.12</v>
      </c>
      <c r="F11605" t="s">
        <v>7</v>
      </c>
      <c r="G11605" t="s">
        <v>11</v>
      </c>
      <c r="H11605" s="5">
        <f>MONTH(Tabela1[[#This Row],[data]])</f>
        <v>4</v>
      </c>
      <c r="I11605">
        <f>YEAR(Tabela1[[#This Row],[data]])</f>
        <v>2026</v>
      </c>
    </row>
    <row r="11606" spans="1:9" x14ac:dyDescent="0.25">
      <c r="A11606" t="s">
        <v>6</v>
      </c>
      <c r="B11606" s="1">
        <v>46141</v>
      </c>
      <c r="C11606">
        <v>13</v>
      </c>
      <c r="D11606">
        <v>909.3</v>
      </c>
      <c r="E11606">
        <v>228.9</v>
      </c>
      <c r="F11606" t="s">
        <v>7</v>
      </c>
      <c r="G11606" t="s">
        <v>11</v>
      </c>
      <c r="H11606" s="5">
        <f>MONTH(Tabela1[[#This Row],[data]])</f>
        <v>4</v>
      </c>
      <c r="I11606">
        <f>YEAR(Tabela1[[#This Row],[data]])</f>
        <v>2026</v>
      </c>
    </row>
    <row r="11607" spans="1:9" x14ac:dyDescent="0.25">
      <c r="A11607" t="s">
        <v>6</v>
      </c>
      <c r="B11607" s="1">
        <v>46141</v>
      </c>
      <c r="C11607">
        <v>14</v>
      </c>
      <c r="D11607">
        <v>863.1</v>
      </c>
      <c r="E11607">
        <v>182.28</v>
      </c>
      <c r="F11607" t="s">
        <v>7</v>
      </c>
      <c r="G11607" t="s">
        <v>11</v>
      </c>
      <c r="H11607" s="5">
        <f>MONTH(Tabela1[[#This Row],[data]])</f>
        <v>4</v>
      </c>
      <c r="I11607">
        <f>YEAR(Tabela1[[#This Row],[data]])</f>
        <v>2026</v>
      </c>
    </row>
    <row r="11608" spans="1:9" x14ac:dyDescent="0.25">
      <c r="A11608" t="s">
        <v>6</v>
      </c>
      <c r="B11608" s="1">
        <v>46141</v>
      </c>
      <c r="C11608">
        <v>15</v>
      </c>
      <c r="D11608">
        <v>811.44</v>
      </c>
      <c r="E11608">
        <v>157.08000000000001</v>
      </c>
      <c r="F11608" t="s">
        <v>7</v>
      </c>
      <c r="G11608" t="s">
        <v>11</v>
      </c>
      <c r="H11608" s="5">
        <f>MONTH(Tabela1[[#This Row],[data]])</f>
        <v>4</v>
      </c>
      <c r="I11608">
        <f>YEAR(Tabela1[[#This Row],[data]])</f>
        <v>2026</v>
      </c>
    </row>
    <row r="11609" spans="1:9" x14ac:dyDescent="0.25">
      <c r="A11609" t="s">
        <v>6</v>
      </c>
      <c r="B11609" s="1">
        <v>46141</v>
      </c>
      <c r="C11609">
        <v>16</v>
      </c>
      <c r="D11609">
        <v>823.62</v>
      </c>
      <c r="E11609">
        <v>171.78</v>
      </c>
      <c r="F11609" t="s">
        <v>7</v>
      </c>
      <c r="G11609" t="s">
        <v>11</v>
      </c>
      <c r="H11609" s="5">
        <f>MONTH(Tabela1[[#This Row],[data]])</f>
        <v>4</v>
      </c>
      <c r="I11609">
        <f>YEAR(Tabela1[[#This Row],[data]])</f>
        <v>2026</v>
      </c>
    </row>
    <row r="11610" spans="1:9" x14ac:dyDescent="0.25">
      <c r="A11610" t="s">
        <v>6</v>
      </c>
      <c r="B11610" s="1">
        <v>46141</v>
      </c>
      <c r="C11610">
        <v>17</v>
      </c>
      <c r="D11610">
        <v>819.42</v>
      </c>
      <c r="E11610">
        <v>186.48</v>
      </c>
      <c r="F11610" t="s">
        <v>7</v>
      </c>
      <c r="G11610" t="s">
        <v>11</v>
      </c>
      <c r="H11610" s="5">
        <f>MONTH(Tabela1[[#This Row],[data]])</f>
        <v>4</v>
      </c>
      <c r="I11610">
        <f>YEAR(Tabela1[[#This Row],[data]])</f>
        <v>2026</v>
      </c>
    </row>
    <row r="11611" spans="1:9" x14ac:dyDescent="0.25">
      <c r="A11611" t="s">
        <v>6</v>
      </c>
      <c r="B11611" s="1">
        <v>46141</v>
      </c>
      <c r="C11611">
        <v>18</v>
      </c>
      <c r="D11611">
        <v>744.66</v>
      </c>
      <c r="E11611">
        <v>146.16</v>
      </c>
      <c r="F11611" t="s">
        <v>7</v>
      </c>
      <c r="G11611" t="s">
        <v>11</v>
      </c>
      <c r="H11611" s="5">
        <f>MONTH(Tabela1[[#This Row],[data]])</f>
        <v>4</v>
      </c>
      <c r="I11611">
        <f>YEAR(Tabela1[[#This Row],[data]])</f>
        <v>2026</v>
      </c>
    </row>
    <row r="11612" spans="1:9" x14ac:dyDescent="0.25">
      <c r="A11612" t="s">
        <v>6</v>
      </c>
      <c r="B11612" s="1">
        <v>46141</v>
      </c>
      <c r="C11612">
        <v>19</v>
      </c>
      <c r="D11612">
        <v>672.42</v>
      </c>
      <c r="E11612">
        <v>102.06</v>
      </c>
      <c r="F11612" t="s">
        <v>7</v>
      </c>
      <c r="G11612" t="s">
        <v>11</v>
      </c>
      <c r="H11612" s="5">
        <f>MONTH(Tabela1[[#This Row],[data]])</f>
        <v>4</v>
      </c>
      <c r="I11612">
        <f>YEAR(Tabela1[[#This Row],[data]])</f>
        <v>2026</v>
      </c>
    </row>
    <row r="11613" spans="1:9" x14ac:dyDescent="0.25">
      <c r="A11613" t="s">
        <v>6</v>
      </c>
      <c r="B11613" s="1">
        <v>46141</v>
      </c>
      <c r="C11613">
        <v>20</v>
      </c>
      <c r="D11613">
        <v>610.26</v>
      </c>
      <c r="E11613">
        <v>85.68</v>
      </c>
      <c r="F11613" t="s">
        <v>7</v>
      </c>
      <c r="G11613" t="s">
        <v>11</v>
      </c>
      <c r="H11613" s="5">
        <f>MONTH(Tabela1[[#This Row],[data]])</f>
        <v>4</v>
      </c>
      <c r="I11613">
        <f>YEAR(Tabela1[[#This Row],[data]])</f>
        <v>2026</v>
      </c>
    </row>
    <row r="11614" spans="1:9" x14ac:dyDescent="0.25">
      <c r="A11614" t="s">
        <v>6</v>
      </c>
      <c r="B11614" s="1">
        <v>46141</v>
      </c>
      <c r="C11614">
        <v>21</v>
      </c>
      <c r="D11614">
        <v>602.28</v>
      </c>
      <c r="E11614">
        <v>84.84</v>
      </c>
      <c r="F11614" t="s">
        <v>7</v>
      </c>
      <c r="G11614" t="s">
        <v>11</v>
      </c>
      <c r="H11614" s="5">
        <f>MONTH(Tabela1[[#This Row],[data]])</f>
        <v>4</v>
      </c>
      <c r="I11614">
        <f>YEAR(Tabela1[[#This Row],[data]])</f>
        <v>2026</v>
      </c>
    </row>
    <row r="11615" spans="1:9" x14ac:dyDescent="0.25">
      <c r="A11615" t="s">
        <v>6</v>
      </c>
      <c r="B11615" s="1">
        <v>46141</v>
      </c>
      <c r="C11615">
        <v>22</v>
      </c>
      <c r="D11615">
        <v>571.20000000000005</v>
      </c>
      <c r="E11615">
        <v>53.76</v>
      </c>
      <c r="F11615" t="s">
        <v>7</v>
      </c>
      <c r="G11615" t="s">
        <v>11</v>
      </c>
      <c r="H11615" s="5">
        <f>MONTH(Tabela1[[#This Row],[data]])</f>
        <v>4</v>
      </c>
      <c r="I11615">
        <f>YEAR(Tabela1[[#This Row],[data]])</f>
        <v>2026</v>
      </c>
    </row>
    <row r="11616" spans="1:9" x14ac:dyDescent="0.25">
      <c r="A11616" t="s">
        <v>6</v>
      </c>
      <c r="B11616" s="1">
        <v>46141</v>
      </c>
      <c r="C11616">
        <v>23</v>
      </c>
      <c r="D11616">
        <v>368.76</v>
      </c>
      <c r="E11616">
        <v>1.26</v>
      </c>
      <c r="F11616" t="s">
        <v>7</v>
      </c>
      <c r="G11616" t="s">
        <v>11</v>
      </c>
      <c r="H11616" s="5">
        <f>MONTH(Tabela1[[#This Row],[data]])</f>
        <v>4</v>
      </c>
      <c r="I11616">
        <f>YEAR(Tabela1[[#This Row],[data]])</f>
        <v>2026</v>
      </c>
    </row>
    <row r="11617" spans="1:9" x14ac:dyDescent="0.25">
      <c r="A11617" t="s">
        <v>6</v>
      </c>
      <c r="B11617" s="1">
        <v>46141</v>
      </c>
      <c r="C11617">
        <v>24</v>
      </c>
      <c r="D11617">
        <v>271.74</v>
      </c>
      <c r="E11617">
        <v>0</v>
      </c>
      <c r="F11617" t="s">
        <v>7</v>
      </c>
      <c r="G11617" t="s">
        <v>11</v>
      </c>
      <c r="H11617" s="5">
        <f>MONTH(Tabela1[[#This Row],[data]])</f>
        <v>4</v>
      </c>
      <c r="I11617">
        <f>YEAR(Tabela1[[#This Row],[data]])</f>
        <v>2026</v>
      </c>
    </row>
    <row r="11618" spans="1:9" x14ac:dyDescent="0.25">
      <c r="A11618" t="s">
        <v>6</v>
      </c>
      <c r="B11618" s="1">
        <v>46142</v>
      </c>
      <c r="C11618">
        <v>1</v>
      </c>
      <c r="D11618">
        <v>261.66000000000003</v>
      </c>
      <c r="E11618">
        <v>0</v>
      </c>
      <c r="F11618" t="s">
        <v>7</v>
      </c>
      <c r="G11618" t="s">
        <v>11</v>
      </c>
      <c r="H11618" s="5">
        <f>MONTH(Tabela1[[#This Row],[data]])</f>
        <v>4</v>
      </c>
      <c r="I11618">
        <f>YEAR(Tabela1[[#This Row],[data]])</f>
        <v>2026</v>
      </c>
    </row>
    <row r="11619" spans="1:9" x14ac:dyDescent="0.25">
      <c r="A11619" t="s">
        <v>6</v>
      </c>
      <c r="B11619" s="1">
        <v>46142</v>
      </c>
      <c r="C11619">
        <v>2</v>
      </c>
      <c r="D11619">
        <v>242.76</v>
      </c>
      <c r="E11619">
        <v>0</v>
      </c>
      <c r="F11619" t="s">
        <v>7</v>
      </c>
      <c r="G11619" t="s">
        <v>11</v>
      </c>
      <c r="H11619" s="5">
        <f>MONTH(Tabela1[[#This Row],[data]])</f>
        <v>4</v>
      </c>
      <c r="I11619">
        <f>YEAR(Tabela1[[#This Row],[data]])</f>
        <v>2026</v>
      </c>
    </row>
    <row r="11620" spans="1:9" x14ac:dyDescent="0.25">
      <c r="A11620" t="s">
        <v>6</v>
      </c>
      <c r="B11620" s="1">
        <v>46142</v>
      </c>
      <c r="C11620">
        <v>3</v>
      </c>
      <c r="D11620">
        <v>239.4</v>
      </c>
      <c r="E11620">
        <v>0</v>
      </c>
      <c r="F11620" t="s">
        <v>7</v>
      </c>
      <c r="G11620" t="s">
        <v>11</v>
      </c>
      <c r="H11620" s="5">
        <f>MONTH(Tabela1[[#This Row],[data]])</f>
        <v>4</v>
      </c>
      <c r="I11620">
        <f>YEAR(Tabela1[[#This Row],[data]])</f>
        <v>2026</v>
      </c>
    </row>
    <row r="11621" spans="1:9" x14ac:dyDescent="0.25">
      <c r="A11621" t="s">
        <v>6</v>
      </c>
      <c r="B11621" s="1">
        <v>46142</v>
      </c>
      <c r="C11621">
        <v>4</v>
      </c>
      <c r="D11621">
        <v>238.98</v>
      </c>
      <c r="E11621">
        <v>0</v>
      </c>
      <c r="F11621" t="s">
        <v>7</v>
      </c>
      <c r="G11621" t="s">
        <v>11</v>
      </c>
      <c r="H11621" s="5">
        <f>MONTH(Tabela1[[#This Row],[data]])</f>
        <v>4</v>
      </c>
      <c r="I11621">
        <f>YEAR(Tabela1[[#This Row],[data]])</f>
        <v>2026</v>
      </c>
    </row>
    <row r="11622" spans="1:9" x14ac:dyDescent="0.25">
      <c r="A11622" t="s">
        <v>6</v>
      </c>
      <c r="B11622" s="1">
        <v>46142</v>
      </c>
      <c r="C11622">
        <v>5</v>
      </c>
      <c r="D11622">
        <v>246.54</v>
      </c>
      <c r="E11622">
        <v>0</v>
      </c>
      <c r="F11622" t="s">
        <v>7</v>
      </c>
      <c r="G11622" t="s">
        <v>11</v>
      </c>
      <c r="H11622" s="5">
        <f>MONTH(Tabela1[[#This Row],[data]])</f>
        <v>4</v>
      </c>
      <c r="I11622">
        <f>YEAR(Tabela1[[#This Row],[data]])</f>
        <v>2026</v>
      </c>
    </row>
    <row r="11623" spans="1:9" x14ac:dyDescent="0.25">
      <c r="A11623" t="s">
        <v>6</v>
      </c>
      <c r="B11623" s="1">
        <v>46142</v>
      </c>
      <c r="C11623">
        <v>6</v>
      </c>
      <c r="D11623">
        <v>239.4</v>
      </c>
      <c r="E11623">
        <v>0</v>
      </c>
      <c r="F11623" t="s">
        <v>7</v>
      </c>
      <c r="G11623" t="s">
        <v>11</v>
      </c>
      <c r="H11623" s="5">
        <f>MONTH(Tabela1[[#This Row],[data]])</f>
        <v>4</v>
      </c>
      <c r="I11623">
        <f>YEAR(Tabela1[[#This Row],[data]])</f>
        <v>2026</v>
      </c>
    </row>
    <row r="11624" spans="1:9" x14ac:dyDescent="0.25">
      <c r="A11624" t="s">
        <v>6</v>
      </c>
      <c r="B11624" s="1">
        <v>46142</v>
      </c>
      <c r="C11624">
        <v>7</v>
      </c>
      <c r="D11624">
        <v>243.18</v>
      </c>
      <c r="E11624">
        <v>0</v>
      </c>
      <c r="F11624" t="s">
        <v>7</v>
      </c>
      <c r="G11624" t="s">
        <v>11</v>
      </c>
      <c r="H11624" s="5">
        <f>MONTH(Tabela1[[#This Row],[data]])</f>
        <v>4</v>
      </c>
      <c r="I11624">
        <f>YEAR(Tabela1[[#This Row],[data]])</f>
        <v>2026</v>
      </c>
    </row>
    <row r="11625" spans="1:9" x14ac:dyDescent="0.25">
      <c r="A11625" t="s">
        <v>6</v>
      </c>
      <c r="B11625" s="1">
        <v>46142</v>
      </c>
      <c r="C11625">
        <v>8</v>
      </c>
      <c r="D11625">
        <v>280.14</v>
      </c>
      <c r="E11625">
        <v>0</v>
      </c>
      <c r="F11625" t="s">
        <v>7</v>
      </c>
      <c r="G11625" t="s">
        <v>11</v>
      </c>
      <c r="H11625" s="5">
        <f>MONTH(Tabela1[[#This Row],[data]])</f>
        <v>4</v>
      </c>
      <c r="I11625">
        <f>YEAR(Tabela1[[#This Row],[data]])</f>
        <v>2026</v>
      </c>
    </row>
    <row r="11626" spans="1:9" x14ac:dyDescent="0.25">
      <c r="A11626" t="s">
        <v>6</v>
      </c>
      <c r="B11626" s="1">
        <v>46142</v>
      </c>
      <c r="C11626">
        <v>9</v>
      </c>
      <c r="D11626">
        <v>351.96</v>
      </c>
      <c r="E11626">
        <v>0</v>
      </c>
      <c r="F11626" t="s">
        <v>7</v>
      </c>
      <c r="G11626" t="s">
        <v>11</v>
      </c>
      <c r="H11626" s="5">
        <f>MONTH(Tabela1[[#This Row],[data]])</f>
        <v>4</v>
      </c>
      <c r="I11626">
        <f>YEAR(Tabela1[[#This Row],[data]])</f>
        <v>2026</v>
      </c>
    </row>
    <row r="11627" spans="1:9" x14ac:dyDescent="0.25">
      <c r="A11627" t="s">
        <v>6</v>
      </c>
      <c r="B11627" s="1">
        <v>46142</v>
      </c>
      <c r="C11627">
        <v>10</v>
      </c>
      <c r="D11627">
        <v>467.04</v>
      </c>
      <c r="E11627">
        <v>26.46</v>
      </c>
      <c r="F11627" t="s">
        <v>7</v>
      </c>
      <c r="G11627" t="s">
        <v>11</v>
      </c>
      <c r="H11627" s="5">
        <f>MONTH(Tabela1[[#This Row],[data]])</f>
        <v>4</v>
      </c>
      <c r="I11627">
        <f>YEAR(Tabela1[[#This Row],[data]])</f>
        <v>2026</v>
      </c>
    </row>
    <row r="11628" spans="1:9" x14ac:dyDescent="0.25">
      <c r="A11628" t="s">
        <v>6</v>
      </c>
      <c r="B11628" s="1">
        <v>46142</v>
      </c>
      <c r="C11628">
        <v>11</v>
      </c>
      <c r="D11628">
        <v>595.14</v>
      </c>
      <c r="E11628">
        <v>81.900000000000006</v>
      </c>
      <c r="F11628" t="s">
        <v>7</v>
      </c>
      <c r="G11628" t="s">
        <v>11</v>
      </c>
      <c r="H11628" s="5">
        <f>MONTH(Tabela1[[#This Row],[data]])</f>
        <v>4</v>
      </c>
      <c r="I11628">
        <f>YEAR(Tabela1[[#This Row],[data]])</f>
        <v>2026</v>
      </c>
    </row>
    <row r="11629" spans="1:9" x14ac:dyDescent="0.25">
      <c r="A11629" t="s">
        <v>6</v>
      </c>
      <c r="B11629" s="1">
        <v>46142</v>
      </c>
      <c r="C11629">
        <v>12</v>
      </c>
      <c r="D11629">
        <v>869.4</v>
      </c>
      <c r="E11629">
        <v>196.98</v>
      </c>
      <c r="F11629" t="s">
        <v>7</v>
      </c>
      <c r="G11629" t="s">
        <v>11</v>
      </c>
      <c r="H11629" s="5">
        <f>MONTH(Tabela1[[#This Row],[data]])</f>
        <v>4</v>
      </c>
      <c r="I11629">
        <f>YEAR(Tabela1[[#This Row],[data]])</f>
        <v>2026</v>
      </c>
    </row>
    <row r="11630" spans="1:9" x14ac:dyDescent="0.25">
      <c r="A11630" t="s">
        <v>6</v>
      </c>
      <c r="B11630" s="1">
        <v>46142</v>
      </c>
      <c r="C11630">
        <v>13</v>
      </c>
      <c r="D11630">
        <v>975.66</v>
      </c>
      <c r="E11630">
        <v>262.08</v>
      </c>
      <c r="F11630" t="s">
        <v>7</v>
      </c>
      <c r="G11630" t="s">
        <v>11</v>
      </c>
      <c r="H11630" s="5">
        <f>MONTH(Tabela1[[#This Row],[data]])</f>
        <v>4</v>
      </c>
      <c r="I11630">
        <f>YEAR(Tabela1[[#This Row],[data]])</f>
        <v>2026</v>
      </c>
    </row>
    <row r="11631" spans="1:9" x14ac:dyDescent="0.25">
      <c r="A11631" t="s">
        <v>6</v>
      </c>
      <c r="B11631" s="1">
        <v>46142</v>
      </c>
      <c r="C11631">
        <v>14</v>
      </c>
      <c r="D11631">
        <v>913.5</v>
      </c>
      <c r="E11631">
        <v>230.16</v>
      </c>
      <c r="F11631" t="s">
        <v>7</v>
      </c>
      <c r="G11631" t="s">
        <v>11</v>
      </c>
      <c r="H11631" s="5">
        <f>MONTH(Tabela1[[#This Row],[data]])</f>
        <v>4</v>
      </c>
      <c r="I11631">
        <f>YEAR(Tabela1[[#This Row],[data]])</f>
        <v>2026</v>
      </c>
    </row>
    <row r="11632" spans="1:9" x14ac:dyDescent="0.25">
      <c r="A11632" t="s">
        <v>6</v>
      </c>
      <c r="B11632" s="1">
        <v>46142</v>
      </c>
      <c r="C11632">
        <v>15</v>
      </c>
      <c r="D11632">
        <v>854.7</v>
      </c>
      <c r="E11632">
        <v>210.84</v>
      </c>
      <c r="F11632" t="s">
        <v>7</v>
      </c>
      <c r="G11632" t="s">
        <v>11</v>
      </c>
      <c r="H11632" s="5">
        <f>MONTH(Tabela1[[#This Row],[data]])</f>
        <v>4</v>
      </c>
      <c r="I11632">
        <f>YEAR(Tabela1[[#This Row],[data]])</f>
        <v>2026</v>
      </c>
    </row>
    <row r="11633" spans="1:9" x14ac:dyDescent="0.25">
      <c r="A11633" t="s">
        <v>6</v>
      </c>
      <c r="B11633" s="1">
        <v>46142</v>
      </c>
      <c r="C11633">
        <v>16</v>
      </c>
      <c r="D11633">
        <v>676.62</v>
      </c>
      <c r="E11633">
        <v>128.52000000000001</v>
      </c>
      <c r="F11633" t="s">
        <v>7</v>
      </c>
      <c r="G11633" t="s">
        <v>11</v>
      </c>
      <c r="H11633" s="5">
        <f>MONTH(Tabela1[[#This Row],[data]])</f>
        <v>4</v>
      </c>
      <c r="I11633">
        <f>YEAR(Tabela1[[#This Row],[data]])</f>
        <v>2026</v>
      </c>
    </row>
    <row r="11634" spans="1:9" x14ac:dyDescent="0.25">
      <c r="A11634" t="s">
        <v>6</v>
      </c>
      <c r="B11634" s="1">
        <v>46142</v>
      </c>
      <c r="C11634">
        <v>17</v>
      </c>
      <c r="D11634">
        <v>724.92</v>
      </c>
      <c r="E11634">
        <v>156.24</v>
      </c>
      <c r="F11634" t="s">
        <v>7</v>
      </c>
      <c r="G11634" t="s">
        <v>11</v>
      </c>
      <c r="H11634" s="5">
        <f>MONTH(Tabela1[[#This Row],[data]])</f>
        <v>4</v>
      </c>
      <c r="I11634">
        <f>YEAR(Tabela1[[#This Row],[data]])</f>
        <v>2026</v>
      </c>
    </row>
    <row r="11635" spans="1:9" x14ac:dyDescent="0.25">
      <c r="A11635" t="s">
        <v>6</v>
      </c>
      <c r="B11635" s="1">
        <v>46142</v>
      </c>
      <c r="C11635">
        <v>18</v>
      </c>
      <c r="D11635">
        <v>732.9</v>
      </c>
      <c r="E11635">
        <v>128.1</v>
      </c>
      <c r="F11635" t="s">
        <v>7</v>
      </c>
      <c r="G11635" t="s">
        <v>11</v>
      </c>
      <c r="H11635" s="5">
        <f>MONTH(Tabela1[[#This Row],[data]])</f>
        <v>4</v>
      </c>
      <c r="I11635">
        <f>YEAR(Tabela1[[#This Row],[data]])</f>
        <v>2026</v>
      </c>
    </row>
    <row r="11636" spans="1:9" x14ac:dyDescent="0.25">
      <c r="A11636" t="s">
        <v>6</v>
      </c>
      <c r="B11636" s="1">
        <v>46142</v>
      </c>
      <c r="C11636">
        <v>19</v>
      </c>
      <c r="D11636">
        <v>643.86</v>
      </c>
      <c r="E11636">
        <v>68.459999999999994</v>
      </c>
      <c r="F11636" t="s">
        <v>7</v>
      </c>
      <c r="G11636" t="s">
        <v>11</v>
      </c>
      <c r="H11636" s="5">
        <f>MONTH(Tabela1[[#This Row],[data]])</f>
        <v>4</v>
      </c>
      <c r="I11636">
        <f>YEAR(Tabela1[[#This Row],[data]])</f>
        <v>2026</v>
      </c>
    </row>
    <row r="11637" spans="1:9" x14ac:dyDescent="0.25">
      <c r="A11637" t="s">
        <v>6</v>
      </c>
      <c r="B11637" s="1">
        <v>46142</v>
      </c>
      <c r="C11637">
        <v>20</v>
      </c>
      <c r="D11637">
        <v>612.36</v>
      </c>
      <c r="E11637">
        <v>64.680000000000007</v>
      </c>
      <c r="F11637" t="s">
        <v>7</v>
      </c>
      <c r="G11637" t="s">
        <v>11</v>
      </c>
      <c r="H11637" s="5">
        <f>MONTH(Tabela1[[#This Row],[data]])</f>
        <v>4</v>
      </c>
      <c r="I11637">
        <f>YEAR(Tabela1[[#This Row],[data]])</f>
        <v>2026</v>
      </c>
    </row>
    <row r="11638" spans="1:9" x14ac:dyDescent="0.25">
      <c r="A11638" t="s">
        <v>6</v>
      </c>
      <c r="B11638" s="1">
        <v>46142</v>
      </c>
      <c r="C11638">
        <v>21</v>
      </c>
      <c r="D11638">
        <v>614.46</v>
      </c>
      <c r="E11638">
        <v>66.36</v>
      </c>
      <c r="F11638" t="s">
        <v>7</v>
      </c>
      <c r="G11638" t="s">
        <v>11</v>
      </c>
      <c r="H11638" s="5">
        <f>MONTH(Tabela1[[#This Row],[data]])</f>
        <v>4</v>
      </c>
      <c r="I11638">
        <f>YEAR(Tabela1[[#This Row],[data]])</f>
        <v>2026</v>
      </c>
    </row>
    <row r="11639" spans="1:9" x14ac:dyDescent="0.25">
      <c r="A11639" t="s">
        <v>6</v>
      </c>
      <c r="B11639" s="1">
        <v>46142</v>
      </c>
      <c r="C11639">
        <v>22</v>
      </c>
      <c r="D11639">
        <v>596.82000000000005</v>
      </c>
      <c r="E11639">
        <v>62.16</v>
      </c>
      <c r="F11639" t="s">
        <v>7</v>
      </c>
      <c r="G11639" t="s">
        <v>11</v>
      </c>
      <c r="H11639" s="5">
        <f>MONTH(Tabela1[[#This Row],[data]])</f>
        <v>4</v>
      </c>
      <c r="I11639">
        <f>YEAR(Tabela1[[#This Row],[data]])</f>
        <v>2026</v>
      </c>
    </row>
    <row r="11640" spans="1:9" x14ac:dyDescent="0.25">
      <c r="A11640" t="s">
        <v>6</v>
      </c>
      <c r="B11640" s="1">
        <v>46142</v>
      </c>
      <c r="C11640">
        <v>23</v>
      </c>
      <c r="D11640">
        <v>398.58</v>
      </c>
      <c r="E11640">
        <v>5.04</v>
      </c>
      <c r="F11640" t="s">
        <v>7</v>
      </c>
      <c r="G11640" t="s">
        <v>11</v>
      </c>
      <c r="H11640" s="5">
        <f>MONTH(Tabela1[[#This Row],[data]])</f>
        <v>4</v>
      </c>
      <c r="I11640">
        <f>YEAR(Tabela1[[#This Row],[data]])</f>
        <v>2026</v>
      </c>
    </row>
    <row r="11641" spans="1:9" x14ac:dyDescent="0.25">
      <c r="A11641" t="s">
        <v>6</v>
      </c>
      <c r="B11641" s="1">
        <v>46142</v>
      </c>
      <c r="C11641">
        <v>24</v>
      </c>
      <c r="D11641">
        <v>283.5</v>
      </c>
      <c r="E11641">
        <v>0</v>
      </c>
      <c r="F11641" t="s">
        <v>7</v>
      </c>
      <c r="G11641" t="s">
        <v>11</v>
      </c>
      <c r="H11641" s="5">
        <f>MONTH(Tabela1[[#This Row],[data]])</f>
        <v>4</v>
      </c>
      <c r="I11641">
        <f>YEAR(Tabela1[[#This Row],[data]])</f>
        <v>2026</v>
      </c>
    </row>
    <row r="11642" spans="1:9" x14ac:dyDescent="0.25">
      <c r="A11642" t="s">
        <v>6</v>
      </c>
      <c r="B11642" s="1">
        <v>46143</v>
      </c>
      <c r="C11642">
        <v>1</v>
      </c>
      <c r="D11642">
        <v>270.89999999999998</v>
      </c>
      <c r="E11642">
        <v>0</v>
      </c>
      <c r="F11642" t="s">
        <v>7</v>
      </c>
      <c r="G11642" t="s">
        <v>11</v>
      </c>
      <c r="H11642" s="5">
        <f>MONTH(Tabela1[[#This Row],[data]])</f>
        <v>5</v>
      </c>
      <c r="I11642">
        <f>YEAR(Tabela1[[#This Row],[data]])</f>
        <v>2026</v>
      </c>
    </row>
    <row r="11643" spans="1:9" x14ac:dyDescent="0.25">
      <c r="A11643" t="s">
        <v>6</v>
      </c>
      <c r="B11643" s="1">
        <v>46143</v>
      </c>
      <c r="C11643">
        <v>2</v>
      </c>
      <c r="D11643">
        <v>247.8</v>
      </c>
      <c r="E11643">
        <v>0</v>
      </c>
      <c r="F11643" t="s">
        <v>7</v>
      </c>
      <c r="G11643" t="s">
        <v>11</v>
      </c>
      <c r="H11643" s="5">
        <f>MONTH(Tabela1[[#This Row],[data]])</f>
        <v>5</v>
      </c>
      <c r="I11643">
        <f>YEAR(Tabela1[[#This Row],[data]])</f>
        <v>2026</v>
      </c>
    </row>
    <row r="11644" spans="1:9" x14ac:dyDescent="0.25">
      <c r="A11644" t="s">
        <v>6</v>
      </c>
      <c r="B11644" s="1">
        <v>46143</v>
      </c>
      <c r="C11644">
        <v>3</v>
      </c>
      <c r="D11644">
        <v>236.46</v>
      </c>
      <c r="E11644">
        <v>0</v>
      </c>
      <c r="F11644" t="s">
        <v>7</v>
      </c>
      <c r="G11644" t="s">
        <v>11</v>
      </c>
      <c r="H11644" s="5">
        <f>MONTH(Tabela1[[#This Row],[data]])</f>
        <v>5</v>
      </c>
      <c r="I11644">
        <f>YEAR(Tabela1[[#This Row],[data]])</f>
        <v>2026</v>
      </c>
    </row>
    <row r="11645" spans="1:9" x14ac:dyDescent="0.25">
      <c r="A11645" t="s">
        <v>6</v>
      </c>
      <c r="B11645" s="1">
        <v>46143</v>
      </c>
      <c r="C11645">
        <v>4</v>
      </c>
      <c r="D11645">
        <v>233.52</v>
      </c>
      <c r="E11645">
        <v>0</v>
      </c>
      <c r="F11645" t="s">
        <v>7</v>
      </c>
      <c r="G11645" t="s">
        <v>11</v>
      </c>
      <c r="H11645" s="5">
        <f>MONTH(Tabela1[[#This Row],[data]])</f>
        <v>5</v>
      </c>
      <c r="I11645">
        <f>YEAR(Tabela1[[#This Row],[data]])</f>
        <v>2026</v>
      </c>
    </row>
    <row r="11646" spans="1:9" x14ac:dyDescent="0.25">
      <c r="A11646" t="s">
        <v>6</v>
      </c>
      <c r="B11646" s="1">
        <v>46143</v>
      </c>
      <c r="C11646">
        <v>5</v>
      </c>
      <c r="D11646">
        <v>240.66</v>
      </c>
      <c r="E11646">
        <v>0</v>
      </c>
      <c r="F11646" t="s">
        <v>7</v>
      </c>
      <c r="G11646" t="s">
        <v>11</v>
      </c>
      <c r="H11646" s="5">
        <f>MONTH(Tabela1[[#This Row],[data]])</f>
        <v>5</v>
      </c>
      <c r="I11646">
        <f>YEAR(Tabela1[[#This Row],[data]])</f>
        <v>2026</v>
      </c>
    </row>
    <row r="11647" spans="1:9" x14ac:dyDescent="0.25">
      <c r="A11647" t="s">
        <v>6</v>
      </c>
      <c r="B11647" s="1">
        <v>46143</v>
      </c>
      <c r="C11647">
        <v>6</v>
      </c>
      <c r="D11647">
        <v>236.46</v>
      </c>
      <c r="E11647">
        <v>0</v>
      </c>
      <c r="F11647" t="s">
        <v>7</v>
      </c>
      <c r="G11647" t="s">
        <v>11</v>
      </c>
      <c r="H11647" s="5">
        <f>MONTH(Tabela1[[#This Row],[data]])</f>
        <v>5</v>
      </c>
      <c r="I11647">
        <f>YEAR(Tabela1[[#This Row],[data]])</f>
        <v>2026</v>
      </c>
    </row>
    <row r="11648" spans="1:9" x14ac:dyDescent="0.25">
      <c r="A11648" t="s">
        <v>6</v>
      </c>
      <c r="B11648" s="1">
        <v>46143</v>
      </c>
      <c r="C11648">
        <v>7</v>
      </c>
      <c r="D11648">
        <v>220.92</v>
      </c>
      <c r="E11648">
        <v>0</v>
      </c>
      <c r="F11648" t="s">
        <v>7</v>
      </c>
      <c r="G11648" t="s">
        <v>11</v>
      </c>
      <c r="H11648" s="5">
        <f>MONTH(Tabela1[[#This Row],[data]])</f>
        <v>5</v>
      </c>
      <c r="I11648">
        <f>YEAR(Tabela1[[#This Row],[data]])</f>
        <v>2026</v>
      </c>
    </row>
    <row r="11649" spans="1:9" x14ac:dyDescent="0.25">
      <c r="A11649" t="s">
        <v>6</v>
      </c>
      <c r="B11649" s="1">
        <v>46143</v>
      </c>
      <c r="C11649">
        <v>8</v>
      </c>
      <c r="D11649">
        <v>223.02</v>
      </c>
      <c r="E11649">
        <v>0</v>
      </c>
      <c r="F11649" t="s">
        <v>7</v>
      </c>
      <c r="G11649" t="s">
        <v>11</v>
      </c>
      <c r="H11649" s="5">
        <f>MONTH(Tabela1[[#This Row],[data]])</f>
        <v>5</v>
      </c>
      <c r="I11649">
        <f>YEAR(Tabela1[[#This Row],[data]])</f>
        <v>2026</v>
      </c>
    </row>
    <row r="11650" spans="1:9" x14ac:dyDescent="0.25">
      <c r="A11650" t="s">
        <v>6</v>
      </c>
      <c r="B11650" s="1">
        <v>46143</v>
      </c>
      <c r="C11650">
        <v>9</v>
      </c>
      <c r="D11650">
        <v>272.58</v>
      </c>
      <c r="E11650">
        <v>0</v>
      </c>
      <c r="F11650" t="s">
        <v>7</v>
      </c>
      <c r="G11650" t="s">
        <v>11</v>
      </c>
      <c r="H11650" s="5">
        <f>MONTH(Tabela1[[#This Row],[data]])</f>
        <v>5</v>
      </c>
      <c r="I11650">
        <f>YEAR(Tabela1[[#This Row],[data]])</f>
        <v>2026</v>
      </c>
    </row>
    <row r="11651" spans="1:9" x14ac:dyDescent="0.25">
      <c r="A11651" t="s">
        <v>6</v>
      </c>
      <c r="B11651" s="1">
        <v>46143</v>
      </c>
      <c r="C11651">
        <v>10</v>
      </c>
      <c r="D11651">
        <v>336.42</v>
      </c>
      <c r="E11651">
        <v>5.04</v>
      </c>
      <c r="F11651" t="s">
        <v>7</v>
      </c>
      <c r="G11651" t="s">
        <v>11</v>
      </c>
      <c r="H11651" s="5">
        <f>MONTH(Tabela1[[#This Row],[data]])</f>
        <v>5</v>
      </c>
      <c r="I11651">
        <f>YEAR(Tabela1[[#This Row],[data]])</f>
        <v>2026</v>
      </c>
    </row>
    <row r="11652" spans="1:9" x14ac:dyDescent="0.25">
      <c r="A11652" t="s">
        <v>6</v>
      </c>
      <c r="B11652" s="1">
        <v>46143</v>
      </c>
      <c r="C11652">
        <v>11</v>
      </c>
      <c r="D11652">
        <v>412.02</v>
      </c>
      <c r="E11652">
        <v>32.340000000000003</v>
      </c>
      <c r="F11652" t="s">
        <v>7</v>
      </c>
      <c r="G11652" t="s">
        <v>11</v>
      </c>
      <c r="H11652" s="5">
        <f>MONTH(Tabela1[[#This Row],[data]])</f>
        <v>5</v>
      </c>
      <c r="I11652">
        <f>YEAR(Tabela1[[#This Row],[data]])</f>
        <v>2026</v>
      </c>
    </row>
    <row r="11653" spans="1:9" x14ac:dyDescent="0.25">
      <c r="A11653" t="s">
        <v>6</v>
      </c>
      <c r="B11653" s="1">
        <v>46143</v>
      </c>
      <c r="C11653">
        <v>12</v>
      </c>
      <c r="D11653">
        <v>611.1</v>
      </c>
      <c r="E11653">
        <v>99.12</v>
      </c>
      <c r="F11653" t="s">
        <v>7</v>
      </c>
      <c r="G11653" t="s">
        <v>11</v>
      </c>
      <c r="H11653" s="5">
        <f>MONTH(Tabela1[[#This Row],[data]])</f>
        <v>5</v>
      </c>
      <c r="I11653">
        <f>YEAR(Tabela1[[#This Row],[data]])</f>
        <v>2026</v>
      </c>
    </row>
    <row r="11654" spans="1:9" x14ac:dyDescent="0.25">
      <c r="A11654" t="s">
        <v>6</v>
      </c>
      <c r="B11654" s="1">
        <v>46143</v>
      </c>
      <c r="C11654">
        <v>13</v>
      </c>
      <c r="D11654">
        <v>889.56</v>
      </c>
      <c r="E11654">
        <v>198.66</v>
      </c>
      <c r="F11654" t="s">
        <v>7</v>
      </c>
      <c r="G11654" t="s">
        <v>11</v>
      </c>
      <c r="H11654" s="5">
        <f>MONTH(Tabela1[[#This Row],[data]])</f>
        <v>5</v>
      </c>
      <c r="I11654">
        <f>YEAR(Tabela1[[#This Row],[data]])</f>
        <v>2026</v>
      </c>
    </row>
    <row r="11655" spans="1:9" x14ac:dyDescent="0.25">
      <c r="A11655" t="s">
        <v>6</v>
      </c>
      <c r="B11655" s="1">
        <v>46143</v>
      </c>
      <c r="C11655">
        <v>14</v>
      </c>
      <c r="D11655">
        <v>879.9</v>
      </c>
      <c r="E11655">
        <v>185.64</v>
      </c>
      <c r="F11655" t="s">
        <v>7</v>
      </c>
      <c r="G11655" t="s">
        <v>11</v>
      </c>
      <c r="H11655" s="5">
        <f>MONTH(Tabela1[[#This Row],[data]])</f>
        <v>5</v>
      </c>
      <c r="I11655">
        <f>YEAR(Tabela1[[#This Row],[data]])</f>
        <v>2026</v>
      </c>
    </row>
    <row r="11656" spans="1:9" x14ac:dyDescent="0.25">
      <c r="A11656" t="s">
        <v>6</v>
      </c>
      <c r="B11656" s="1">
        <v>46143</v>
      </c>
      <c r="C11656">
        <v>15</v>
      </c>
      <c r="D11656">
        <v>908.04</v>
      </c>
      <c r="E11656">
        <v>189.84</v>
      </c>
      <c r="F11656" t="s">
        <v>7</v>
      </c>
      <c r="G11656" t="s">
        <v>11</v>
      </c>
      <c r="H11656" s="5">
        <f>MONTH(Tabela1[[#This Row],[data]])</f>
        <v>5</v>
      </c>
      <c r="I11656">
        <f>YEAR(Tabela1[[#This Row],[data]])</f>
        <v>2026</v>
      </c>
    </row>
    <row r="11657" spans="1:9" x14ac:dyDescent="0.25">
      <c r="A11657" t="s">
        <v>6</v>
      </c>
      <c r="B11657" s="1">
        <v>46143</v>
      </c>
      <c r="C11657">
        <v>16</v>
      </c>
      <c r="D11657">
        <v>908.88</v>
      </c>
      <c r="E11657">
        <v>194.88</v>
      </c>
      <c r="F11657" t="s">
        <v>7</v>
      </c>
      <c r="G11657" t="s">
        <v>11</v>
      </c>
      <c r="H11657" s="5">
        <f>MONTH(Tabela1[[#This Row],[data]])</f>
        <v>5</v>
      </c>
      <c r="I11657">
        <f>YEAR(Tabela1[[#This Row],[data]])</f>
        <v>2026</v>
      </c>
    </row>
    <row r="11658" spans="1:9" x14ac:dyDescent="0.25">
      <c r="A11658" t="s">
        <v>6</v>
      </c>
      <c r="B11658" s="1">
        <v>46143</v>
      </c>
      <c r="C11658">
        <v>17</v>
      </c>
      <c r="D11658">
        <v>911.4</v>
      </c>
      <c r="E11658">
        <v>212.1</v>
      </c>
      <c r="F11658" t="s">
        <v>7</v>
      </c>
      <c r="G11658" t="s">
        <v>11</v>
      </c>
      <c r="H11658" s="5">
        <f>MONTH(Tabela1[[#This Row],[data]])</f>
        <v>5</v>
      </c>
      <c r="I11658">
        <f>YEAR(Tabela1[[#This Row],[data]])</f>
        <v>2026</v>
      </c>
    </row>
    <row r="11659" spans="1:9" x14ac:dyDescent="0.25">
      <c r="A11659" t="s">
        <v>6</v>
      </c>
      <c r="B11659" s="1">
        <v>46143</v>
      </c>
      <c r="C11659">
        <v>18</v>
      </c>
      <c r="D11659">
        <v>913.5</v>
      </c>
      <c r="E11659">
        <v>214.2</v>
      </c>
      <c r="F11659" t="s">
        <v>7</v>
      </c>
      <c r="G11659" t="s">
        <v>11</v>
      </c>
      <c r="H11659" s="5">
        <f>MONTH(Tabela1[[#This Row],[data]])</f>
        <v>5</v>
      </c>
      <c r="I11659">
        <f>YEAR(Tabela1[[#This Row],[data]])</f>
        <v>2026</v>
      </c>
    </row>
    <row r="11660" spans="1:9" x14ac:dyDescent="0.25">
      <c r="A11660" t="s">
        <v>6</v>
      </c>
      <c r="B11660" s="1">
        <v>46143</v>
      </c>
      <c r="C11660">
        <v>19</v>
      </c>
      <c r="D11660">
        <v>917.7</v>
      </c>
      <c r="E11660">
        <v>200.34</v>
      </c>
      <c r="F11660" t="s">
        <v>7</v>
      </c>
      <c r="G11660" t="s">
        <v>11</v>
      </c>
      <c r="H11660" s="5">
        <f>MONTH(Tabela1[[#This Row],[data]])</f>
        <v>5</v>
      </c>
      <c r="I11660">
        <f>YEAR(Tabela1[[#This Row],[data]])</f>
        <v>2026</v>
      </c>
    </row>
    <row r="11661" spans="1:9" x14ac:dyDescent="0.25">
      <c r="A11661" t="s">
        <v>6</v>
      </c>
      <c r="B11661" s="1">
        <v>46143</v>
      </c>
      <c r="C11661">
        <v>20</v>
      </c>
      <c r="D11661">
        <v>898.8</v>
      </c>
      <c r="E11661">
        <v>203.7</v>
      </c>
      <c r="F11661" t="s">
        <v>7</v>
      </c>
      <c r="G11661" t="s">
        <v>11</v>
      </c>
      <c r="H11661" s="5">
        <f>MONTH(Tabela1[[#This Row],[data]])</f>
        <v>5</v>
      </c>
      <c r="I11661">
        <f>YEAR(Tabela1[[#This Row],[data]])</f>
        <v>2026</v>
      </c>
    </row>
    <row r="11662" spans="1:9" x14ac:dyDescent="0.25">
      <c r="A11662" t="s">
        <v>6</v>
      </c>
      <c r="B11662" s="1">
        <v>46143</v>
      </c>
      <c r="C11662">
        <v>21</v>
      </c>
      <c r="D11662">
        <v>859.74</v>
      </c>
      <c r="E11662">
        <v>212.1</v>
      </c>
      <c r="F11662" t="s">
        <v>7</v>
      </c>
      <c r="G11662" t="s">
        <v>11</v>
      </c>
      <c r="H11662" s="5">
        <f>MONTH(Tabela1[[#This Row],[data]])</f>
        <v>5</v>
      </c>
      <c r="I11662">
        <f>YEAR(Tabela1[[#This Row],[data]])</f>
        <v>2026</v>
      </c>
    </row>
    <row r="11663" spans="1:9" x14ac:dyDescent="0.25">
      <c r="A11663" t="s">
        <v>6</v>
      </c>
      <c r="B11663" s="1">
        <v>46143</v>
      </c>
      <c r="C11663">
        <v>22</v>
      </c>
      <c r="D11663">
        <v>739.62</v>
      </c>
      <c r="E11663">
        <v>184.8</v>
      </c>
      <c r="F11663" t="s">
        <v>7</v>
      </c>
      <c r="G11663" t="s">
        <v>11</v>
      </c>
      <c r="H11663" s="5">
        <f>MONTH(Tabela1[[#This Row],[data]])</f>
        <v>5</v>
      </c>
      <c r="I11663">
        <f>YEAR(Tabela1[[#This Row],[data]])</f>
        <v>2026</v>
      </c>
    </row>
    <row r="11664" spans="1:9" x14ac:dyDescent="0.25">
      <c r="A11664" t="s">
        <v>6</v>
      </c>
      <c r="B11664" s="1">
        <v>46143</v>
      </c>
      <c r="C11664">
        <v>23</v>
      </c>
      <c r="D11664">
        <v>452.34</v>
      </c>
      <c r="E11664">
        <v>33.18</v>
      </c>
      <c r="F11664" t="s">
        <v>7</v>
      </c>
      <c r="G11664" t="s">
        <v>11</v>
      </c>
      <c r="H11664" s="5">
        <f>MONTH(Tabela1[[#This Row],[data]])</f>
        <v>5</v>
      </c>
      <c r="I11664">
        <f>YEAR(Tabela1[[#This Row],[data]])</f>
        <v>2026</v>
      </c>
    </row>
    <row r="11665" spans="1:9" x14ac:dyDescent="0.25">
      <c r="A11665" t="s">
        <v>6</v>
      </c>
      <c r="B11665" s="1">
        <v>46143</v>
      </c>
      <c r="C11665">
        <v>24</v>
      </c>
      <c r="D11665">
        <v>300.3</v>
      </c>
      <c r="E11665">
        <v>0</v>
      </c>
      <c r="F11665" t="s">
        <v>7</v>
      </c>
      <c r="G11665" t="s">
        <v>11</v>
      </c>
      <c r="H11665" s="5">
        <f>MONTH(Tabela1[[#This Row],[data]])</f>
        <v>5</v>
      </c>
      <c r="I11665">
        <f>YEAR(Tabela1[[#This Row],[data]])</f>
        <v>2026</v>
      </c>
    </row>
    <row r="11666" spans="1:9" x14ac:dyDescent="0.25">
      <c r="A11666" t="s">
        <v>6</v>
      </c>
      <c r="B11666" s="1">
        <v>46144</v>
      </c>
      <c r="C11666">
        <v>1</v>
      </c>
      <c r="D11666">
        <v>274.26</v>
      </c>
      <c r="E11666">
        <v>0</v>
      </c>
      <c r="F11666" t="s">
        <v>7</v>
      </c>
      <c r="G11666" t="s">
        <v>11</v>
      </c>
      <c r="H11666" s="5">
        <f>MONTH(Tabela1[[#This Row],[data]])</f>
        <v>5</v>
      </c>
      <c r="I11666">
        <f>YEAR(Tabela1[[#This Row],[data]])</f>
        <v>2026</v>
      </c>
    </row>
    <row r="11667" spans="1:9" x14ac:dyDescent="0.25">
      <c r="A11667" t="s">
        <v>6</v>
      </c>
      <c r="B11667" s="1">
        <v>46144</v>
      </c>
      <c r="C11667">
        <v>2</v>
      </c>
      <c r="D11667">
        <v>242.76</v>
      </c>
      <c r="E11667">
        <v>0</v>
      </c>
      <c r="F11667" t="s">
        <v>7</v>
      </c>
      <c r="G11667" t="s">
        <v>11</v>
      </c>
      <c r="H11667" s="5">
        <f>MONTH(Tabela1[[#This Row],[data]])</f>
        <v>5</v>
      </c>
      <c r="I11667">
        <f>YEAR(Tabela1[[#This Row],[data]])</f>
        <v>2026</v>
      </c>
    </row>
    <row r="11668" spans="1:9" x14ac:dyDescent="0.25">
      <c r="A11668" t="s">
        <v>6</v>
      </c>
      <c r="B11668" s="1">
        <v>46144</v>
      </c>
      <c r="C11668">
        <v>3</v>
      </c>
      <c r="D11668">
        <v>236.46</v>
      </c>
      <c r="E11668">
        <v>0</v>
      </c>
      <c r="F11668" t="s">
        <v>7</v>
      </c>
      <c r="G11668" t="s">
        <v>11</v>
      </c>
      <c r="H11668" s="5">
        <f>MONTH(Tabela1[[#This Row],[data]])</f>
        <v>5</v>
      </c>
      <c r="I11668">
        <f>YEAR(Tabela1[[#This Row],[data]])</f>
        <v>2026</v>
      </c>
    </row>
    <row r="11669" spans="1:9" x14ac:dyDescent="0.25">
      <c r="A11669" t="s">
        <v>6</v>
      </c>
      <c r="B11669" s="1">
        <v>46144</v>
      </c>
      <c r="C11669">
        <v>4</v>
      </c>
      <c r="D11669">
        <v>232.68</v>
      </c>
      <c r="E11669">
        <v>0</v>
      </c>
      <c r="F11669" t="s">
        <v>7</v>
      </c>
      <c r="G11669" t="s">
        <v>11</v>
      </c>
      <c r="H11669" s="5">
        <f>MONTH(Tabela1[[#This Row],[data]])</f>
        <v>5</v>
      </c>
      <c r="I11669">
        <f>YEAR(Tabela1[[#This Row],[data]])</f>
        <v>2026</v>
      </c>
    </row>
    <row r="11670" spans="1:9" x14ac:dyDescent="0.25">
      <c r="A11670" t="s">
        <v>6</v>
      </c>
      <c r="B11670" s="1">
        <v>46144</v>
      </c>
      <c r="C11670">
        <v>5</v>
      </c>
      <c r="D11670">
        <v>243.6</v>
      </c>
      <c r="E11670">
        <v>0</v>
      </c>
      <c r="F11670" t="s">
        <v>7</v>
      </c>
      <c r="G11670" t="s">
        <v>11</v>
      </c>
      <c r="H11670" s="5">
        <f>MONTH(Tabela1[[#This Row],[data]])</f>
        <v>5</v>
      </c>
      <c r="I11670">
        <f>YEAR(Tabela1[[#This Row],[data]])</f>
        <v>2026</v>
      </c>
    </row>
    <row r="11671" spans="1:9" x14ac:dyDescent="0.25">
      <c r="A11671" t="s">
        <v>6</v>
      </c>
      <c r="B11671" s="1">
        <v>46144</v>
      </c>
      <c r="C11671">
        <v>6</v>
      </c>
      <c r="D11671">
        <v>236.04</v>
      </c>
      <c r="E11671">
        <v>0</v>
      </c>
      <c r="F11671" t="s">
        <v>7</v>
      </c>
      <c r="G11671" t="s">
        <v>11</v>
      </c>
      <c r="H11671" s="5">
        <f>MONTH(Tabela1[[#This Row],[data]])</f>
        <v>5</v>
      </c>
      <c r="I11671">
        <f>YEAR(Tabela1[[#This Row],[data]])</f>
        <v>2026</v>
      </c>
    </row>
    <row r="11672" spans="1:9" x14ac:dyDescent="0.25">
      <c r="A11672" t="s">
        <v>6</v>
      </c>
      <c r="B11672" s="1">
        <v>46144</v>
      </c>
      <c r="C11672">
        <v>7</v>
      </c>
      <c r="D11672">
        <v>230.58</v>
      </c>
      <c r="E11672">
        <v>0</v>
      </c>
      <c r="F11672" t="s">
        <v>7</v>
      </c>
      <c r="G11672" t="s">
        <v>11</v>
      </c>
      <c r="H11672" s="5">
        <f>MONTH(Tabela1[[#This Row],[data]])</f>
        <v>5</v>
      </c>
      <c r="I11672">
        <f>YEAR(Tabela1[[#This Row],[data]])</f>
        <v>2026</v>
      </c>
    </row>
    <row r="11673" spans="1:9" x14ac:dyDescent="0.25">
      <c r="A11673" t="s">
        <v>6</v>
      </c>
      <c r="B11673" s="1">
        <v>46144</v>
      </c>
      <c r="C11673">
        <v>8</v>
      </c>
      <c r="D11673">
        <v>243.18</v>
      </c>
      <c r="E11673">
        <v>0</v>
      </c>
      <c r="F11673" t="s">
        <v>7</v>
      </c>
      <c r="G11673" t="s">
        <v>11</v>
      </c>
      <c r="H11673" s="5">
        <f>MONTH(Tabela1[[#This Row],[data]])</f>
        <v>5</v>
      </c>
      <c r="I11673">
        <f>YEAR(Tabela1[[#This Row],[data]])</f>
        <v>2026</v>
      </c>
    </row>
    <row r="11674" spans="1:9" x14ac:dyDescent="0.25">
      <c r="A11674" t="s">
        <v>6</v>
      </c>
      <c r="B11674" s="1">
        <v>46144</v>
      </c>
      <c r="C11674">
        <v>9</v>
      </c>
      <c r="D11674">
        <v>333.9</v>
      </c>
      <c r="E11674">
        <v>0</v>
      </c>
      <c r="F11674" t="s">
        <v>7</v>
      </c>
      <c r="G11674" t="s">
        <v>11</v>
      </c>
      <c r="H11674" s="5">
        <f>MONTH(Tabela1[[#This Row],[data]])</f>
        <v>5</v>
      </c>
      <c r="I11674">
        <f>YEAR(Tabela1[[#This Row],[data]])</f>
        <v>2026</v>
      </c>
    </row>
    <row r="11675" spans="1:9" x14ac:dyDescent="0.25">
      <c r="A11675" t="s">
        <v>6</v>
      </c>
      <c r="B11675" s="1">
        <v>46144</v>
      </c>
      <c r="C11675">
        <v>10</v>
      </c>
      <c r="D11675">
        <v>414.12</v>
      </c>
      <c r="E11675">
        <v>12.18</v>
      </c>
      <c r="F11675" t="s">
        <v>7</v>
      </c>
      <c r="G11675" t="s">
        <v>11</v>
      </c>
      <c r="H11675" s="5">
        <f>MONTH(Tabela1[[#This Row],[data]])</f>
        <v>5</v>
      </c>
      <c r="I11675">
        <f>YEAR(Tabela1[[#This Row],[data]])</f>
        <v>2026</v>
      </c>
    </row>
    <row r="11676" spans="1:9" x14ac:dyDescent="0.25">
      <c r="A11676" t="s">
        <v>6</v>
      </c>
      <c r="B11676" s="1">
        <v>46144</v>
      </c>
      <c r="C11676">
        <v>11</v>
      </c>
      <c r="D11676">
        <v>583.38</v>
      </c>
      <c r="E11676">
        <v>63.42</v>
      </c>
      <c r="F11676" t="s">
        <v>7</v>
      </c>
      <c r="G11676" t="s">
        <v>11</v>
      </c>
      <c r="H11676" s="5">
        <f>MONTH(Tabela1[[#This Row],[data]])</f>
        <v>5</v>
      </c>
      <c r="I11676">
        <f>YEAR(Tabela1[[#This Row],[data]])</f>
        <v>2026</v>
      </c>
    </row>
    <row r="11677" spans="1:9" x14ac:dyDescent="0.25">
      <c r="A11677" t="s">
        <v>6</v>
      </c>
      <c r="B11677" s="1">
        <v>46144</v>
      </c>
      <c r="C11677">
        <v>12</v>
      </c>
      <c r="D11677">
        <v>938.28</v>
      </c>
      <c r="E11677">
        <v>221.34</v>
      </c>
      <c r="F11677" t="s">
        <v>7</v>
      </c>
      <c r="G11677" t="s">
        <v>11</v>
      </c>
      <c r="H11677" s="5">
        <f>MONTH(Tabela1[[#This Row],[data]])</f>
        <v>5</v>
      </c>
      <c r="I11677">
        <f>YEAR(Tabela1[[#This Row],[data]])</f>
        <v>2026</v>
      </c>
    </row>
    <row r="11678" spans="1:9" x14ac:dyDescent="0.25">
      <c r="A11678" t="s">
        <v>6</v>
      </c>
      <c r="B11678" s="1">
        <v>46144</v>
      </c>
      <c r="C11678">
        <v>13</v>
      </c>
      <c r="D11678">
        <v>937.02</v>
      </c>
      <c r="E11678">
        <v>217.14</v>
      </c>
      <c r="F11678" t="s">
        <v>7</v>
      </c>
      <c r="G11678" t="s">
        <v>11</v>
      </c>
      <c r="H11678" s="5">
        <f>MONTH(Tabela1[[#This Row],[data]])</f>
        <v>5</v>
      </c>
      <c r="I11678">
        <f>YEAR(Tabela1[[#This Row],[data]])</f>
        <v>2026</v>
      </c>
    </row>
    <row r="11679" spans="1:9" x14ac:dyDescent="0.25">
      <c r="A11679" t="s">
        <v>6</v>
      </c>
      <c r="B11679" s="1">
        <v>46144</v>
      </c>
      <c r="C11679">
        <v>14</v>
      </c>
      <c r="D11679">
        <v>919.8</v>
      </c>
      <c r="E11679">
        <v>224.7</v>
      </c>
      <c r="F11679" t="s">
        <v>7</v>
      </c>
      <c r="G11679" t="s">
        <v>11</v>
      </c>
      <c r="H11679" s="5">
        <f>MONTH(Tabela1[[#This Row],[data]])</f>
        <v>5</v>
      </c>
      <c r="I11679">
        <f>YEAR(Tabela1[[#This Row],[data]])</f>
        <v>2026</v>
      </c>
    </row>
    <row r="11680" spans="1:9" x14ac:dyDescent="0.25">
      <c r="A11680" t="s">
        <v>6</v>
      </c>
      <c r="B11680" s="1">
        <v>46144</v>
      </c>
      <c r="C11680">
        <v>15</v>
      </c>
      <c r="D11680">
        <v>850.5</v>
      </c>
      <c r="E11680">
        <v>204.12</v>
      </c>
      <c r="F11680" t="s">
        <v>7</v>
      </c>
      <c r="G11680" t="s">
        <v>11</v>
      </c>
      <c r="H11680" s="5">
        <f>MONTH(Tabela1[[#This Row],[data]])</f>
        <v>5</v>
      </c>
      <c r="I11680">
        <f>YEAR(Tabela1[[#This Row],[data]])</f>
        <v>2026</v>
      </c>
    </row>
    <row r="11681" spans="1:9" x14ac:dyDescent="0.25">
      <c r="A11681" t="s">
        <v>6</v>
      </c>
      <c r="B11681" s="1">
        <v>46144</v>
      </c>
      <c r="C11681">
        <v>16</v>
      </c>
      <c r="D11681">
        <v>848.4</v>
      </c>
      <c r="E11681">
        <v>197.4</v>
      </c>
      <c r="F11681" t="s">
        <v>7</v>
      </c>
      <c r="G11681" t="s">
        <v>11</v>
      </c>
      <c r="H11681" s="5">
        <f>MONTH(Tabela1[[#This Row],[data]])</f>
        <v>5</v>
      </c>
      <c r="I11681">
        <f>YEAR(Tabela1[[#This Row],[data]])</f>
        <v>2026</v>
      </c>
    </row>
    <row r="11682" spans="1:9" x14ac:dyDescent="0.25">
      <c r="A11682" t="s">
        <v>6</v>
      </c>
      <c r="B11682" s="1">
        <v>46144</v>
      </c>
      <c r="C11682">
        <v>17</v>
      </c>
      <c r="D11682">
        <v>826.14</v>
      </c>
      <c r="E11682">
        <v>192.78</v>
      </c>
      <c r="F11682" t="s">
        <v>7</v>
      </c>
      <c r="G11682" t="s">
        <v>11</v>
      </c>
      <c r="H11682" s="5">
        <f>MONTH(Tabela1[[#This Row],[data]])</f>
        <v>5</v>
      </c>
      <c r="I11682">
        <f>YEAR(Tabela1[[#This Row],[data]])</f>
        <v>2026</v>
      </c>
    </row>
    <row r="11683" spans="1:9" x14ac:dyDescent="0.25">
      <c r="A11683" t="s">
        <v>6</v>
      </c>
      <c r="B11683" s="1">
        <v>46144</v>
      </c>
      <c r="C11683">
        <v>18</v>
      </c>
      <c r="D11683">
        <v>839.16</v>
      </c>
      <c r="E11683">
        <v>191.94</v>
      </c>
      <c r="F11683" t="s">
        <v>7</v>
      </c>
      <c r="G11683" t="s">
        <v>11</v>
      </c>
      <c r="H11683" s="5">
        <f>MONTH(Tabela1[[#This Row],[data]])</f>
        <v>5</v>
      </c>
      <c r="I11683">
        <f>YEAR(Tabela1[[#This Row],[data]])</f>
        <v>2026</v>
      </c>
    </row>
    <row r="11684" spans="1:9" x14ac:dyDescent="0.25">
      <c r="A11684" t="s">
        <v>6</v>
      </c>
      <c r="B11684" s="1">
        <v>46144</v>
      </c>
      <c r="C11684">
        <v>19</v>
      </c>
      <c r="D11684">
        <v>871.5</v>
      </c>
      <c r="E11684">
        <v>194.46</v>
      </c>
      <c r="F11684" t="s">
        <v>7</v>
      </c>
      <c r="G11684" t="s">
        <v>11</v>
      </c>
      <c r="H11684" s="5">
        <f>MONTH(Tabela1[[#This Row],[data]])</f>
        <v>5</v>
      </c>
      <c r="I11684">
        <f>YEAR(Tabela1[[#This Row],[data]])</f>
        <v>2026</v>
      </c>
    </row>
    <row r="11685" spans="1:9" x14ac:dyDescent="0.25">
      <c r="A11685" t="s">
        <v>6</v>
      </c>
      <c r="B11685" s="1">
        <v>46144</v>
      </c>
      <c r="C11685">
        <v>20</v>
      </c>
      <c r="D11685">
        <v>864.78</v>
      </c>
      <c r="E11685">
        <v>199.5</v>
      </c>
      <c r="F11685" t="s">
        <v>7</v>
      </c>
      <c r="G11685" t="s">
        <v>11</v>
      </c>
      <c r="H11685" s="5">
        <f>MONTH(Tabela1[[#This Row],[data]])</f>
        <v>5</v>
      </c>
      <c r="I11685">
        <f>YEAR(Tabela1[[#This Row],[data]])</f>
        <v>2026</v>
      </c>
    </row>
    <row r="11686" spans="1:9" x14ac:dyDescent="0.25">
      <c r="A11686" t="s">
        <v>6</v>
      </c>
      <c r="B11686" s="1">
        <v>46144</v>
      </c>
      <c r="C11686">
        <v>21</v>
      </c>
      <c r="D11686">
        <v>754.74</v>
      </c>
      <c r="E11686">
        <v>138.6</v>
      </c>
      <c r="F11686" t="s">
        <v>7</v>
      </c>
      <c r="G11686" t="s">
        <v>11</v>
      </c>
      <c r="H11686" s="5">
        <f>MONTH(Tabela1[[#This Row],[data]])</f>
        <v>5</v>
      </c>
      <c r="I11686">
        <f>YEAR(Tabela1[[#This Row],[data]])</f>
        <v>2026</v>
      </c>
    </row>
    <row r="11687" spans="1:9" x14ac:dyDescent="0.25">
      <c r="A11687" t="s">
        <v>6</v>
      </c>
      <c r="B11687" s="1">
        <v>46144</v>
      </c>
      <c r="C11687">
        <v>22</v>
      </c>
      <c r="D11687">
        <v>624.54</v>
      </c>
      <c r="E11687">
        <v>62.58</v>
      </c>
      <c r="F11687" t="s">
        <v>7</v>
      </c>
      <c r="G11687" t="s">
        <v>11</v>
      </c>
      <c r="H11687" s="5">
        <f>MONTH(Tabela1[[#This Row],[data]])</f>
        <v>5</v>
      </c>
      <c r="I11687">
        <f>YEAR(Tabela1[[#This Row],[data]])</f>
        <v>2026</v>
      </c>
    </row>
    <row r="11688" spans="1:9" x14ac:dyDescent="0.25">
      <c r="A11688" t="s">
        <v>6</v>
      </c>
      <c r="B11688" s="1">
        <v>46144</v>
      </c>
      <c r="C11688">
        <v>23</v>
      </c>
      <c r="D11688">
        <v>416.22</v>
      </c>
      <c r="E11688">
        <v>5.04</v>
      </c>
      <c r="F11688" t="s">
        <v>7</v>
      </c>
      <c r="G11688" t="s">
        <v>11</v>
      </c>
      <c r="H11688" s="5">
        <f>MONTH(Tabela1[[#This Row],[data]])</f>
        <v>5</v>
      </c>
      <c r="I11688">
        <f>YEAR(Tabela1[[#This Row],[data]])</f>
        <v>2026</v>
      </c>
    </row>
    <row r="11689" spans="1:9" x14ac:dyDescent="0.25">
      <c r="A11689" t="s">
        <v>6</v>
      </c>
      <c r="B11689" s="1">
        <v>46144</v>
      </c>
      <c r="C11689">
        <v>24</v>
      </c>
      <c r="D11689">
        <v>283.5</v>
      </c>
      <c r="E11689">
        <v>0</v>
      </c>
      <c r="F11689" t="s">
        <v>7</v>
      </c>
      <c r="G11689" t="s">
        <v>11</v>
      </c>
      <c r="H11689" s="5">
        <f>MONTH(Tabela1[[#This Row],[data]])</f>
        <v>5</v>
      </c>
      <c r="I11689">
        <f>YEAR(Tabela1[[#This Row],[data]])</f>
        <v>2026</v>
      </c>
    </row>
    <row r="11690" spans="1:9" x14ac:dyDescent="0.25">
      <c r="A11690" t="s">
        <v>6</v>
      </c>
      <c r="B11690" s="1">
        <v>46145</v>
      </c>
      <c r="C11690">
        <v>1</v>
      </c>
      <c r="D11690">
        <v>256.2</v>
      </c>
      <c r="E11690">
        <v>0</v>
      </c>
      <c r="F11690" t="s">
        <v>7</v>
      </c>
      <c r="G11690" t="s">
        <v>11</v>
      </c>
      <c r="H11690" s="5">
        <f>MONTH(Tabela1[[#This Row],[data]])</f>
        <v>5</v>
      </c>
      <c r="I11690">
        <f>YEAR(Tabela1[[#This Row],[data]])</f>
        <v>2026</v>
      </c>
    </row>
    <row r="11691" spans="1:9" x14ac:dyDescent="0.25">
      <c r="A11691" t="s">
        <v>6</v>
      </c>
      <c r="B11691" s="1">
        <v>46145</v>
      </c>
      <c r="C11691">
        <v>2</v>
      </c>
      <c r="D11691">
        <v>244.02</v>
      </c>
      <c r="E11691">
        <v>0</v>
      </c>
      <c r="F11691" t="s">
        <v>7</v>
      </c>
      <c r="G11691" t="s">
        <v>11</v>
      </c>
      <c r="H11691" s="5">
        <f>MONTH(Tabela1[[#This Row],[data]])</f>
        <v>5</v>
      </c>
      <c r="I11691">
        <f>YEAR(Tabela1[[#This Row],[data]])</f>
        <v>2026</v>
      </c>
    </row>
    <row r="11692" spans="1:9" x14ac:dyDescent="0.25">
      <c r="A11692" t="s">
        <v>6</v>
      </c>
      <c r="B11692" s="1">
        <v>46145</v>
      </c>
      <c r="C11692">
        <v>3</v>
      </c>
      <c r="D11692">
        <v>237.72</v>
      </c>
      <c r="E11692">
        <v>0</v>
      </c>
      <c r="F11692" t="s">
        <v>7</v>
      </c>
      <c r="G11692" t="s">
        <v>11</v>
      </c>
      <c r="H11692" s="5">
        <f>MONTH(Tabela1[[#This Row],[data]])</f>
        <v>5</v>
      </c>
      <c r="I11692">
        <f>YEAR(Tabela1[[#This Row],[data]])</f>
        <v>2026</v>
      </c>
    </row>
    <row r="11693" spans="1:9" x14ac:dyDescent="0.25">
      <c r="A11693" t="s">
        <v>6</v>
      </c>
      <c r="B11693" s="1">
        <v>46145</v>
      </c>
      <c r="C11693">
        <v>4</v>
      </c>
      <c r="D11693">
        <v>238.98</v>
      </c>
      <c r="E11693">
        <v>0</v>
      </c>
      <c r="F11693" t="s">
        <v>7</v>
      </c>
      <c r="G11693" t="s">
        <v>11</v>
      </c>
      <c r="H11693" s="5">
        <f>MONTH(Tabela1[[#This Row],[data]])</f>
        <v>5</v>
      </c>
      <c r="I11693">
        <f>YEAR(Tabela1[[#This Row],[data]])</f>
        <v>2026</v>
      </c>
    </row>
    <row r="11694" spans="1:9" x14ac:dyDescent="0.25">
      <c r="A11694" t="s">
        <v>6</v>
      </c>
      <c r="B11694" s="1">
        <v>46145</v>
      </c>
      <c r="C11694">
        <v>5</v>
      </c>
      <c r="D11694">
        <v>244.02</v>
      </c>
      <c r="E11694">
        <v>0</v>
      </c>
      <c r="F11694" t="s">
        <v>7</v>
      </c>
      <c r="G11694" t="s">
        <v>11</v>
      </c>
      <c r="H11694" s="5">
        <f>MONTH(Tabela1[[#This Row],[data]])</f>
        <v>5</v>
      </c>
      <c r="I11694">
        <f>YEAR(Tabela1[[#This Row],[data]])</f>
        <v>2026</v>
      </c>
    </row>
    <row r="11695" spans="1:9" x14ac:dyDescent="0.25">
      <c r="A11695" t="s">
        <v>6</v>
      </c>
      <c r="B11695" s="1">
        <v>46145</v>
      </c>
      <c r="C11695">
        <v>6</v>
      </c>
      <c r="D11695">
        <v>241.5</v>
      </c>
      <c r="E11695">
        <v>0</v>
      </c>
      <c r="F11695" t="s">
        <v>7</v>
      </c>
      <c r="G11695" t="s">
        <v>11</v>
      </c>
      <c r="H11695" s="5">
        <f>MONTH(Tabela1[[#This Row],[data]])</f>
        <v>5</v>
      </c>
      <c r="I11695">
        <f>YEAR(Tabela1[[#This Row],[data]])</f>
        <v>2026</v>
      </c>
    </row>
    <row r="11696" spans="1:9" x14ac:dyDescent="0.25">
      <c r="A11696" t="s">
        <v>6</v>
      </c>
      <c r="B11696" s="1">
        <v>46145</v>
      </c>
      <c r="C11696">
        <v>7</v>
      </c>
      <c r="D11696">
        <v>223.86</v>
      </c>
      <c r="E11696">
        <v>0</v>
      </c>
      <c r="F11696" t="s">
        <v>7</v>
      </c>
      <c r="G11696" t="s">
        <v>11</v>
      </c>
      <c r="H11696" s="5">
        <f>MONTH(Tabela1[[#This Row],[data]])</f>
        <v>5</v>
      </c>
      <c r="I11696">
        <f>YEAR(Tabela1[[#This Row],[data]])</f>
        <v>2026</v>
      </c>
    </row>
    <row r="11697" spans="1:9" x14ac:dyDescent="0.25">
      <c r="A11697" t="s">
        <v>6</v>
      </c>
      <c r="B11697" s="1">
        <v>46145</v>
      </c>
      <c r="C11697">
        <v>8</v>
      </c>
      <c r="D11697">
        <v>218.4</v>
      </c>
      <c r="E11697">
        <v>0</v>
      </c>
      <c r="F11697" t="s">
        <v>7</v>
      </c>
      <c r="G11697" t="s">
        <v>11</v>
      </c>
      <c r="H11697" s="5">
        <f>MONTH(Tabela1[[#This Row],[data]])</f>
        <v>5</v>
      </c>
      <c r="I11697">
        <f>YEAR(Tabela1[[#This Row],[data]])</f>
        <v>2026</v>
      </c>
    </row>
    <row r="11698" spans="1:9" x14ac:dyDescent="0.25">
      <c r="A11698" t="s">
        <v>6</v>
      </c>
      <c r="B11698" s="1">
        <v>46145</v>
      </c>
      <c r="C11698">
        <v>9</v>
      </c>
      <c r="D11698">
        <v>247.38</v>
      </c>
      <c r="E11698">
        <v>0</v>
      </c>
      <c r="F11698" t="s">
        <v>7</v>
      </c>
      <c r="G11698" t="s">
        <v>11</v>
      </c>
      <c r="H11698" s="5">
        <f>MONTH(Tabela1[[#This Row],[data]])</f>
        <v>5</v>
      </c>
      <c r="I11698">
        <f>YEAR(Tabela1[[#This Row],[data]])</f>
        <v>2026</v>
      </c>
    </row>
    <row r="11699" spans="1:9" x14ac:dyDescent="0.25">
      <c r="A11699" t="s">
        <v>6</v>
      </c>
      <c r="B11699" s="1">
        <v>46145</v>
      </c>
      <c r="C11699">
        <v>10</v>
      </c>
      <c r="D11699">
        <v>292.74</v>
      </c>
      <c r="E11699">
        <v>2.1</v>
      </c>
      <c r="F11699" t="s">
        <v>7</v>
      </c>
      <c r="G11699" t="s">
        <v>11</v>
      </c>
      <c r="H11699" s="5">
        <f>MONTH(Tabela1[[#This Row],[data]])</f>
        <v>5</v>
      </c>
      <c r="I11699">
        <f>YEAR(Tabela1[[#This Row],[data]])</f>
        <v>2026</v>
      </c>
    </row>
    <row r="11700" spans="1:9" x14ac:dyDescent="0.25">
      <c r="A11700" t="s">
        <v>6</v>
      </c>
      <c r="B11700" s="1">
        <v>46145</v>
      </c>
      <c r="C11700">
        <v>11</v>
      </c>
      <c r="D11700">
        <v>387.66</v>
      </c>
      <c r="E11700">
        <v>11.34</v>
      </c>
      <c r="F11700" t="s">
        <v>7</v>
      </c>
      <c r="G11700" t="s">
        <v>11</v>
      </c>
      <c r="H11700" s="5">
        <f>MONTH(Tabela1[[#This Row],[data]])</f>
        <v>5</v>
      </c>
      <c r="I11700">
        <f>YEAR(Tabela1[[#This Row],[data]])</f>
        <v>2026</v>
      </c>
    </row>
    <row r="11701" spans="1:9" x14ac:dyDescent="0.25">
      <c r="A11701" t="s">
        <v>6</v>
      </c>
      <c r="B11701" s="1">
        <v>46145</v>
      </c>
      <c r="C11701">
        <v>12</v>
      </c>
      <c r="D11701">
        <v>548.94000000000005</v>
      </c>
      <c r="E11701">
        <v>80.22</v>
      </c>
      <c r="F11701" t="s">
        <v>7</v>
      </c>
      <c r="G11701" t="s">
        <v>11</v>
      </c>
      <c r="H11701" s="5">
        <f>MONTH(Tabela1[[#This Row],[data]])</f>
        <v>5</v>
      </c>
      <c r="I11701">
        <f>YEAR(Tabela1[[#This Row],[data]])</f>
        <v>2026</v>
      </c>
    </row>
    <row r="11702" spans="1:9" x14ac:dyDescent="0.25">
      <c r="A11702" t="s">
        <v>6</v>
      </c>
      <c r="B11702" s="1">
        <v>46145</v>
      </c>
      <c r="C11702">
        <v>13</v>
      </c>
      <c r="D11702">
        <v>785.82</v>
      </c>
      <c r="E11702">
        <v>164.64</v>
      </c>
      <c r="F11702" t="s">
        <v>7</v>
      </c>
      <c r="G11702" t="s">
        <v>11</v>
      </c>
      <c r="H11702" s="5">
        <f>MONTH(Tabela1[[#This Row],[data]])</f>
        <v>5</v>
      </c>
      <c r="I11702">
        <f>YEAR(Tabela1[[#This Row],[data]])</f>
        <v>2026</v>
      </c>
    </row>
    <row r="11703" spans="1:9" x14ac:dyDescent="0.25">
      <c r="A11703" t="s">
        <v>6</v>
      </c>
      <c r="B11703" s="1">
        <v>46145</v>
      </c>
      <c r="C11703">
        <v>14</v>
      </c>
      <c r="D11703">
        <v>748.44</v>
      </c>
      <c r="E11703">
        <v>157.91999999999999</v>
      </c>
      <c r="F11703" t="s">
        <v>7</v>
      </c>
      <c r="G11703" t="s">
        <v>11</v>
      </c>
      <c r="H11703" s="5">
        <f>MONTH(Tabela1[[#This Row],[data]])</f>
        <v>5</v>
      </c>
      <c r="I11703">
        <f>YEAR(Tabela1[[#This Row],[data]])</f>
        <v>2026</v>
      </c>
    </row>
    <row r="11704" spans="1:9" x14ac:dyDescent="0.25">
      <c r="A11704" t="s">
        <v>6</v>
      </c>
      <c r="B11704" s="1">
        <v>46145</v>
      </c>
      <c r="C11704">
        <v>15</v>
      </c>
      <c r="D11704">
        <v>773.22</v>
      </c>
      <c r="E11704">
        <v>166.32</v>
      </c>
      <c r="F11704" t="s">
        <v>7</v>
      </c>
      <c r="G11704" t="s">
        <v>11</v>
      </c>
      <c r="H11704" s="5">
        <f>MONTH(Tabela1[[#This Row],[data]])</f>
        <v>5</v>
      </c>
      <c r="I11704">
        <f>YEAR(Tabela1[[#This Row],[data]])</f>
        <v>2026</v>
      </c>
    </row>
    <row r="11705" spans="1:9" x14ac:dyDescent="0.25">
      <c r="A11705" t="s">
        <v>6</v>
      </c>
      <c r="B11705" s="1">
        <v>46145</v>
      </c>
      <c r="C11705">
        <v>16</v>
      </c>
      <c r="D11705">
        <v>768.6</v>
      </c>
      <c r="E11705">
        <v>161.69999999999999</v>
      </c>
      <c r="F11705" t="s">
        <v>7</v>
      </c>
      <c r="G11705" t="s">
        <v>11</v>
      </c>
      <c r="H11705" s="5">
        <f>MONTH(Tabela1[[#This Row],[data]])</f>
        <v>5</v>
      </c>
      <c r="I11705">
        <f>YEAR(Tabela1[[#This Row],[data]])</f>
        <v>2026</v>
      </c>
    </row>
    <row r="11706" spans="1:9" x14ac:dyDescent="0.25">
      <c r="A11706" t="s">
        <v>6</v>
      </c>
      <c r="B11706" s="1">
        <v>46145</v>
      </c>
      <c r="C11706">
        <v>17</v>
      </c>
      <c r="D11706">
        <v>758.1</v>
      </c>
      <c r="E11706">
        <v>158.34</v>
      </c>
      <c r="F11706" t="s">
        <v>7</v>
      </c>
      <c r="G11706" t="s">
        <v>11</v>
      </c>
      <c r="H11706" s="5">
        <f>MONTH(Tabela1[[#This Row],[data]])</f>
        <v>5</v>
      </c>
      <c r="I11706">
        <f>YEAR(Tabela1[[#This Row],[data]])</f>
        <v>2026</v>
      </c>
    </row>
    <row r="11707" spans="1:9" x14ac:dyDescent="0.25">
      <c r="A11707" t="s">
        <v>6</v>
      </c>
      <c r="B11707" s="1">
        <v>46145</v>
      </c>
      <c r="C11707">
        <v>18</v>
      </c>
      <c r="D11707">
        <v>744.66</v>
      </c>
      <c r="E11707">
        <v>144.06</v>
      </c>
      <c r="F11707" t="s">
        <v>7</v>
      </c>
      <c r="G11707" t="s">
        <v>11</v>
      </c>
      <c r="H11707" s="5">
        <f>MONTH(Tabela1[[#This Row],[data]])</f>
        <v>5</v>
      </c>
      <c r="I11707">
        <f>YEAR(Tabela1[[#This Row],[data]])</f>
        <v>2026</v>
      </c>
    </row>
    <row r="11708" spans="1:9" x14ac:dyDescent="0.25">
      <c r="A11708" t="s">
        <v>6</v>
      </c>
      <c r="B11708" s="1">
        <v>46145</v>
      </c>
      <c r="C11708">
        <v>19</v>
      </c>
      <c r="D11708">
        <v>771.54</v>
      </c>
      <c r="E11708">
        <v>143.22</v>
      </c>
      <c r="F11708" t="s">
        <v>7</v>
      </c>
      <c r="G11708" t="s">
        <v>11</v>
      </c>
      <c r="H11708" s="5">
        <f>MONTH(Tabela1[[#This Row],[data]])</f>
        <v>5</v>
      </c>
      <c r="I11708">
        <f>YEAR(Tabela1[[#This Row],[data]])</f>
        <v>2026</v>
      </c>
    </row>
    <row r="11709" spans="1:9" x14ac:dyDescent="0.25">
      <c r="A11709" t="s">
        <v>6</v>
      </c>
      <c r="B11709" s="1">
        <v>46145</v>
      </c>
      <c r="C11709">
        <v>20</v>
      </c>
      <c r="D11709">
        <v>782.04</v>
      </c>
      <c r="E11709">
        <v>148.26</v>
      </c>
      <c r="F11709" t="s">
        <v>7</v>
      </c>
      <c r="G11709" t="s">
        <v>11</v>
      </c>
      <c r="H11709" s="5">
        <f>MONTH(Tabela1[[#This Row],[data]])</f>
        <v>5</v>
      </c>
      <c r="I11709">
        <f>YEAR(Tabela1[[#This Row],[data]])</f>
        <v>2026</v>
      </c>
    </row>
    <row r="11710" spans="1:9" x14ac:dyDescent="0.25">
      <c r="A11710" t="s">
        <v>6</v>
      </c>
      <c r="B11710" s="1">
        <v>46145</v>
      </c>
      <c r="C11710">
        <v>21</v>
      </c>
      <c r="D11710">
        <v>724.92</v>
      </c>
      <c r="E11710">
        <v>152.04</v>
      </c>
      <c r="F11710" t="s">
        <v>7</v>
      </c>
      <c r="G11710" t="s">
        <v>11</v>
      </c>
      <c r="H11710" s="5">
        <f>MONTH(Tabela1[[#This Row],[data]])</f>
        <v>5</v>
      </c>
      <c r="I11710">
        <f>YEAR(Tabela1[[#This Row],[data]])</f>
        <v>2026</v>
      </c>
    </row>
    <row r="11711" spans="1:9" x14ac:dyDescent="0.25">
      <c r="A11711" t="s">
        <v>6</v>
      </c>
      <c r="B11711" s="1">
        <v>46145</v>
      </c>
      <c r="C11711">
        <v>22</v>
      </c>
      <c r="D11711">
        <v>524.16</v>
      </c>
      <c r="E11711">
        <v>63.42</v>
      </c>
      <c r="F11711" t="s">
        <v>7</v>
      </c>
      <c r="G11711" t="s">
        <v>11</v>
      </c>
      <c r="H11711" s="5">
        <f>MONTH(Tabela1[[#This Row],[data]])</f>
        <v>5</v>
      </c>
      <c r="I11711">
        <f>YEAR(Tabela1[[#This Row],[data]])</f>
        <v>2026</v>
      </c>
    </row>
    <row r="11712" spans="1:9" x14ac:dyDescent="0.25">
      <c r="A11712" t="s">
        <v>6</v>
      </c>
      <c r="B11712" s="1">
        <v>46145</v>
      </c>
      <c r="C11712">
        <v>23</v>
      </c>
      <c r="D11712">
        <v>333.48</v>
      </c>
      <c r="E11712">
        <v>0</v>
      </c>
      <c r="F11712" t="s">
        <v>7</v>
      </c>
      <c r="G11712" t="s">
        <v>11</v>
      </c>
      <c r="H11712" s="5">
        <f>MONTH(Tabela1[[#This Row],[data]])</f>
        <v>5</v>
      </c>
      <c r="I11712">
        <f>YEAR(Tabela1[[#This Row],[data]])</f>
        <v>2026</v>
      </c>
    </row>
    <row r="11713" spans="1:9" x14ac:dyDescent="0.25">
      <c r="A11713" t="s">
        <v>6</v>
      </c>
      <c r="B11713" s="1">
        <v>46145</v>
      </c>
      <c r="C11713">
        <v>24</v>
      </c>
      <c r="D11713">
        <v>277.2</v>
      </c>
      <c r="E11713">
        <v>0</v>
      </c>
      <c r="F11713" t="s">
        <v>7</v>
      </c>
      <c r="G11713" t="s">
        <v>11</v>
      </c>
      <c r="H11713" s="5">
        <f>MONTH(Tabela1[[#This Row],[data]])</f>
        <v>5</v>
      </c>
      <c r="I11713">
        <f>YEAR(Tabela1[[#This Row],[data]])</f>
        <v>2026</v>
      </c>
    </row>
    <row r="11714" spans="1:9" x14ac:dyDescent="0.25">
      <c r="A11714" t="s">
        <v>6</v>
      </c>
      <c r="B11714" s="1">
        <v>46146</v>
      </c>
      <c r="C11714">
        <v>1</v>
      </c>
      <c r="D11714">
        <v>248.64</v>
      </c>
      <c r="E11714">
        <v>0</v>
      </c>
      <c r="F11714" t="s">
        <v>7</v>
      </c>
      <c r="G11714" t="s">
        <v>11</v>
      </c>
      <c r="H11714" s="5">
        <f>MONTH(Tabela1[[#This Row],[data]])</f>
        <v>5</v>
      </c>
      <c r="I11714">
        <f>YEAR(Tabela1[[#This Row],[data]])</f>
        <v>2026</v>
      </c>
    </row>
    <row r="11715" spans="1:9" x14ac:dyDescent="0.25">
      <c r="A11715" t="s">
        <v>6</v>
      </c>
      <c r="B11715" s="1">
        <v>46146</v>
      </c>
      <c r="C11715">
        <v>2</v>
      </c>
      <c r="D11715">
        <v>242.34</v>
      </c>
      <c r="E11715">
        <v>0</v>
      </c>
      <c r="F11715" t="s">
        <v>7</v>
      </c>
      <c r="G11715" t="s">
        <v>11</v>
      </c>
      <c r="H11715" s="5">
        <f>MONTH(Tabela1[[#This Row],[data]])</f>
        <v>5</v>
      </c>
      <c r="I11715">
        <f>YEAR(Tabela1[[#This Row],[data]])</f>
        <v>2026</v>
      </c>
    </row>
    <row r="11716" spans="1:9" x14ac:dyDescent="0.25">
      <c r="A11716" t="s">
        <v>6</v>
      </c>
      <c r="B11716" s="1">
        <v>46146</v>
      </c>
      <c r="C11716">
        <v>3</v>
      </c>
      <c r="D11716">
        <v>242.76</v>
      </c>
      <c r="E11716">
        <v>0</v>
      </c>
      <c r="F11716" t="s">
        <v>7</v>
      </c>
      <c r="G11716" t="s">
        <v>11</v>
      </c>
      <c r="H11716" s="5">
        <f>MONTH(Tabela1[[#This Row],[data]])</f>
        <v>5</v>
      </c>
      <c r="I11716">
        <f>YEAR(Tabela1[[#This Row],[data]])</f>
        <v>2026</v>
      </c>
    </row>
    <row r="11717" spans="1:9" x14ac:dyDescent="0.25">
      <c r="A11717" t="s">
        <v>6</v>
      </c>
      <c r="B11717" s="1">
        <v>46146</v>
      </c>
      <c r="C11717">
        <v>4</v>
      </c>
      <c r="D11717">
        <v>242.34</v>
      </c>
      <c r="E11717">
        <v>0</v>
      </c>
      <c r="F11717" t="s">
        <v>7</v>
      </c>
      <c r="G11717" t="s">
        <v>11</v>
      </c>
      <c r="H11717" s="5">
        <f>MONTH(Tabela1[[#This Row],[data]])</f>
        <v>5</v>
      </c>
      <c r="I11717">
        <f>YEAR(Tabela1[[#This Row],[data]])</f>
        <v>2026</v>
      </c>
    </row>
    <row r="11718" spans="1:9" x14ac:dyDescent="0.25">
      <c r="A11718" t="s">
        <v>6</v>
      </c>
      <c r="B11718" s="1">
        <v>46146</v>
      </c>
      <c r="C11718">
        <v>5</v>
      </c>
      <c r="D11718">
        <v>249.9</v>
      </c>
      <c r="E11718">
        <v>0</v>
      </c>
      <c r="F11718" t="s">
        <v>7</v>
      </c>
      <c r="G11718" t="s">
        <v>11</v>
      </c>
      <c r="H11718" s="5">
        <f>MONTH(Tabela1[[#This Row],[data]])</f>
        <v>5</v>
      </c>
      <c r="I11718">
        <f>YEAR(Tabela1[[#This Row],[data]])</f>
        <v>2026</v>
      </c>
    </row>
    <row r="11719" spans="1:9" x14ac:dyDescent="0.25">
      <c r="A11719" t="s">
        <v>6</v>
      </c>
      <c r="B11719" s="1">
        <v>46146</v>
      </c>
      <c r="C11719">
        <v>6</v>
      </c>
      <c r="D11719">
        <v>244.44</v>
      </c>
      <c r="E11719">
        <v>0</v>
      </c>
      <c r="F11719" t="s">
        <v>7</v>
      </c>
      <c r="G11719" t="s">
        <v>11</v>
      </c>
      <c r="H11719" s="5">
        <f>MONTH(Tabela1[[#This Row],[data]])</f>
        <v>5</v>
      </c>
      <c r="I11719">
        <f>YEAR(Tabela1[[#This Row],[data]])</f>
        <v>2026</v>
      </c>
    </row>
    <row r="11720" spans="1:9" x14ac:dyDescent="0.25">
      <c r="A11720" t="s">
        <v>6</v>
      </c>
      <c r="B11720" s="1">
        <v>46146</v>
      </c>
      <c r="C11720">
        <v>7</v>
      </c>
      <c r="D11720">
        <v>241.5</v>
      </c>
      <c r="E11720">
        <v>0</v>
      </c>
      <c r="F11720" t="s">
        <v>7</v>
      </c>
      <c r="G11720" t="s">
        <v>11</v>
      </c>
      <c r="H11720" s="5">
        <f>MONTH(Tabela1[[#This Row],[data]])</f>
        <v>5</v>
      </c>
      <c r="I11720">
        <f>YEAR(Tabela1[[#This Row],[data]])</f>
        <v>2026</v>
      </c>
    </row>
    <row r="11721" spans="1:9" x14ac:dyDescent="0.25">
      <c r="A11721" t="s">
        <v>6</v>
      </c>
      <c r="B11721" s="1">
        <v>46146</v>
      </c>
      <c r="C11721">
        <v>8</v>
      </c>
      <c r="D11721">
        <v>260.39999999999998</v>
      </c>
      <c r="E11721">
        <v>0</v>
      </c>
      <c r="F11721" t="s">
        <v>7</v>
      </c>
      <c r="G11721" t="s">
        <v>11</v>
      </c>
      <c r="H11721" s="5">
        <f>MONTH(Tabela1[[#This Row],[data]])</f>
        <v>5</v>
      </c>
      <c r="I11721">
        <f>YEAR(Tabela1[[#This Row],[data]])</f>
        <v>2026</v>
      </c>
    </row>
    <row r="11722" spans="1:9" x14ac:dyDescent="0.25">
      <c r="A11722" t="s">
        <v>6</v>
      </c>
      <c r="B11722" s="1">
        <v>46146</v>
      </c>
      <c r="C11722">
        <v>9</v>
      </c>
      <c r="D11722">
        <v>322.14</v>
      </c>
      <c r="E11722">
        <v>0</v>
      </c>
      <c r="F11722" t="s">
        <v>7</v>
      </c>
      <c r="G11722" t="s">
        <v>11</v>
      </c>
      <c r="H11722" s="5">
        <f>MONTH(Tabela1[[#This Row],[data]])</f>
        <v>5</v>
      </c>
      <c r="I11722">
        <f>YEAR(Tabela1[[#This Row],[data]])</f>
        <v>2026</v>
      </c>
    </row>
    <row r="11723" spans="1:9" x14ac:dyDescent="0.25">
      <c r="A11723" t="s">
        <v>6</v>
      </c>
      <c r="B11723" s="1">
        <v>46146</v>
      </c>
      <c r="C11723">
        <v>10</v>
      </c>
      <c r="D11723">
        <v>411.18</v>
      </c>
      <c r="E11723">
        <v>13.44</v>
      </c>
      <c r="F11723" t="s">
        <v>7</v>
      </c>
      <c r="G11723" t="s">
        <v>11</v>
      </c>
      <c r="H11723" s="5">
        <f>MONTH(Tabela1[[#This Row],[data]])</f>
        <v>5</v>
      </c>
      <c r="I11723">
        <f>YEAR(Tabela1[[#This Row],[data]])</f>
        <v>2026</v>
      </c>
    </row>
    <row r="11724" spans="1:9" x14ac:dyDescent="0.25">
      <c r="A11724" t="s">
        <v>6</v>
      </c>
      <c r="B11724" s="1">
        <v>46146</v>
      </c>
      <c r="C11724">
        <v>11</v>
      </c>
      <c r="D11724">
        <v>699.72</v>
      </c>
      <c r="E11724">
        <v>130.62</v>
      </c>
      <c r="F11724" t="s">
        <v>7</v>
      </c>
      <c r="G11724" t="s">
        <v>11</v>
      </c>
      <c r="H11724" s="5">
        <f>MONTH(Tabela1[[#This Row],[data]])</f>
        <v>5</v>
      </c>
      <c r="I11724">
        <f>YEAR(Tabela1[[#This Row],[data]])</f>
        <v>2026</v>
      </c>
    </row>
    <row r="11725" spans="1:9" x14ac:dyDescent="0.25">
      <c r="A11725" t="s">
        <v>6</v>
      </c>
      <c r="B11725" s="1">
        <v>46146</v>
      </c>
      <c r="C11725">
        <v>12</v>
      </c>
      <c r="D11725">
        <v>751.8</v>
      </c>
      <c r="E11725">
        <v>153.72</v>
      </c>
      <c r="F11725" t="s">
        <v>7</v>
      </c>
      <c r="G11725" t="s">
        <v>11</v>
      </c>
      <c r="H11725" s="5">
        <f>MONTH(Tabela1[[#This Row],[data]])</f>
        <v>5</v>
      </c>
      <c r="I11725">
        <f>YEAR(Tabela1[[#This Row],[data]])</f>
        <v>2026</v>
      </c>
    </row>
    <row r="11726" spans="1:9" x14ac:dyDescent="0.25">
      <c r="A11726" t="s">
        <v>6</v>
      </c>
      <c r="B11726" s="1">
        <v>46146</v>
      </c>
      <c r="C11726">
        <v>13</v>
      </c>
      <c r="D11726">
        <v>718.2</v>
      </c>
      <c r="E11726">
        <v>155.82</v>
      </c>
      <c r="F11726" t="s">
        <v>7</v>
      </c>
      <c r="G11726" t="s">
        <v>11</v>
      </c>
      <c r="H11726" s="5">
        <f>MONTH(Tabela1[[#This Row],[data]])</f>
        <v>5</v>
      </c>
      <c r="I11726">
        <f>YEAR(Tabela1[[#This Row],[data]])</f>
        <v>2026</v>
      </c>
    </row>
    <row r="11727" spans="1:9" x14ac:dyDescent="0.25">
      <c r="A11727" t="s">
        <v>6</v>
      </c>
      <c r="B11727" s="1">
        <v>46146</v>
      </c>
      <c r="C11727">
        <v>14</v>
      </c>
      <c r="D11727">
        <v>770.7</v>
      </c>
      <c r="E11727">
        <v>162.96</v>
      </c>
      <c r="F11727" t="s">
        <v>7</v>
      </c>
      <c r="G11727" t="s">
        <v>11</v>
      </c>
      <c r="H11727" s="5">
        <f>MONTH(Tabela1[[#This Row],[data]])</f>
        <v>5</v>
      </c>
      <c r="I11727">
        <f>YEAR(Tabela1[[#This Row],[data]])</f>
        <v>2026</v>
      </c>
    </row>
    <row r="11728" spans="1:9" x14ac:dyDescent="0.25">
      <c r="A11728" t="s">
        <v>6</v>
      </c>
      <c r="B11728" s="1">
        <v>46146</v>
      </c>
      <c r="C11728">
        <v>15</v>
      </c>
      <c r="D11728">
        <v>773.64</v>
      </c>
      <c r="E11728">
        <v>159.6</v>
      </c>
      <c r="F11728" t="s">
        <v>7</v>
      </c>
      <c r="G11728" t="s">
        <v>11</v>
      </c>
      <c r="H11728" s="5">
        <f>MONTH(Tabela1[[#This Row],[data]])</f>
        <v>5</v>
      </c>
      <c r="I11728">
        <f>YEAR(Tabela1[[#This Row],[data]])</f>
        <v>2026</v>
      </c>
    </row>
    <row r="11729" spans="1:9" x14ac:dyDescent="0.25">
      <c r="A11729" t="s">
        <v>6</v>
      </c>
      <c r="B11729" s="1">
        <v>46146</v>
      </c>
      <c r="C11729">
        <v>16</v>
      </c>
      <c r="D11729">
        <v>935.34</v>
      </c>
      <c r="E11729">
        <v>241.5</v>
      </c>
      <c r="F11729" t="s">
        <v>7</v>
      </c>
      <c r="G11729" t="s">
        <v>11</v>
      </c>
      <c r="H11729" s="5">
        <f>MONTH(Tabela1[[#This Row],[data]])</f>
        <v>5</v>
      </c>
      <c r="I11729">
        <f>YEAR(Tabela1[[#This Row],[data]])</f>
        <v>2026</v>
      </c>
    </row>
    <row r="11730" spans="1:9" x14ac:dyDescent="0.25">
      <c r="A11730" t="s">
        <v>6</v>
      </c>
      <c r="B11730" s="1">
        <v>46146</v>
      </c>
      <c r="C11730">
        <v>17</v>
      </c>
      <c r="D11730">
        <v>729.12</v>
      </c>
      <c r="E11730">
        <v>159.18</v>
      </c>
      <c r="F11730" t="s">
        <v>7</v>
      </c>
      <c r="G11730" t="s">
        <v>11</v>
      </c>
      <c r="H11730" s="5">
        <f>MONTH(Tabela1[[#This Row],[data]])</f>
        <v>5</v>
      </c>
      <c r="I11730">
        <f>YEAR(Tabela1[[#This Row],[data]])</f>
        <v>2026</v>
      </c>
    </row>
    <row r="11731" spans="1:9" x14ac:dyDescent="0.25">
      <c r="A11731" t="s">
        <v>6</v>
      </c>
      <c r="B11731" s="1">
        <v>46146</v>
      </c>
      <c r="C11731">
        <v>18</v>
      </c>
      <c r="D11731">
        <v>608.58000000000004</v>
      </c>
      <c r="E11731">
        <v>91.56</v>
      </c>
      <c r="F11731" t="s">
        <v>7</v>
      </c>
      <c r="G11731" t="s">
        <v>11</v>
      </c>
      <c r="H11731" s="5">
        <f>MONTH(Tabela1[[#This Row],[data]])</f>
        <v>5</v>
      </c>
      <c r="I11731">
        <f>YEAR(Tabela1[[#This Row],[data]])</f>
        <v>2026</v>
      </c>
    </row>
    <row r="11732" spans="1:9" x14ac:dyDescent="0.25">
      <c r="A11732" t="s">
        <v>6</v>
      </c>
      <c r="B11732" s="1">
        <v>46146</v>
      </c>
      <c r="C11732">
        <v>19</v>
      </c>
      <c r="D11732">
        <v>601.44000000000005</v>
      </c>
      <c r="E11732">
        <v>55.44</v>
      </c>
      <c r="F11732" t="s">
        <v>7</v>
      </c>
      <c r="G11732" t="s">
        <v>11</v>
      </c>
      <c r="H11732" s="5">
        <f>MONTH(Tabela1[[#This Row],[data]])</f>
        <v>5</v>
      </c>
      <c r="I11732">
        <f>YEAR(Tabela1[[#This Row],[data]])</f>
        <v>2026</v>
      </c>
    </row>
    <row r="11733" spans="1:9" x14ac:dyDescent="0.25">
      <c r="A11733" t="s">
        <v>6</v>
      </c>
      <c r="B11733" s="1">
        <v>46146</v>
      </c>
      <c r="C11733">
        <v>20</v>
      </c>
      <c r="D11733">
        <v>590.94000000000005</v>
      </c>
      <c r="E11733">
        <v>55.44</v>
      </c>
      <c r="F11733" t="s">
        <v>7</v>
      </c>
      <c r="G11733" t="s">
        <v>11</v>
      </c>
      <c r="H11733" s="5">
        <f>MONTH(Tabela1[[#This Row],[data]])</f>
        <v>5</v>
      </c>
      <c r="I11733">
        <f>YEAR(Tabela1[[#This Row],[data]])</f>
        <v>2026</v>
      </c>
    </row>
    <row r="11734" spans="1:9" x14ac:dyDescent="0.25">
      <c r="A11734" t="s">
        <v>6</v>
      </c>
      <c r="B11734" s="1">
        <v>46146</v>
      </c>
      <c r="C11734">
        <v>21</v>
      </c>
      <c r="D11734">
        <v>594.29999999999995</v>
      </c>
      <c r="E11734">
        <v>65.099999999999994</v>
      </c>
      <c r="F11734" t="s">
        <v>7</v>
      </c>
      <c r="G11734" t="s">
        <v>11</v>
      </c>
      <c r="H11734" s="5">
        <f>MONTH(Tabela1[[#This Row],[data]])</f>
        <v>5</v>
      </c>
      <c r="I11734">
        <f>YEAR(Tabela1[[#This Row],[data]])</f>
        <v>2026</v>
      </c>
    </row>
    <row r="11735" spans="1:9" x14ac:dyDescent="0.25">
      <c r="A11735" t="s">
        <v>6</v>
      </c>
      <c r="B11735" s="1">
        <v>46146</v>
      </c>
      <c r="C11735">
        <v>22</v>
      </c>
      <c r="D11735">
        <v>569.52</v>
      </c>
      <c r="E11735">
        <v>55.44</v>
      </c>
      <c r="F11735" t="s">
        <v>7</v>
      </c>
      <c r="G11735" t="s">
        <v>11</v>
      </c>
      <c r="H11735" s="5">
        <f>MONTH(Tabela1[[#This Row],[data]])</f>
        <v>5</v>
      </c>
      <c r="I11735">
        <f>YEAR(Tabela1[[#This Row],[data]])</f>
        <v>2026</v>
      </c>
    </row>
    <row r="11736" spans="1:9" x14ac:dyDescent="0.25">
      <c r="A11736" t="s">
        <v>6</v>
      </c>
      <c r="B11736" s="1">
        <v>46146</v>
      </c>
      <c r="C11736">
        <v>23</v>
      </c>
      <c r="D11736">
        <v>375.9</v>
      </c>
      <c r="E11736">
        <v>3.36</v>
      </c>
      <c r="F11736" t="s">
        <v>7</v>
      </c>
      <c r="G11736" t="s">
        <v>11</v>
      </c>
      <c r="H11736" s="5">
        <f>MONTH(Tabela1[[#This Row],[data]])</f>
        <v>5</v>
      </c>
      <c r="I11736">
        <f>YEAR(Tabela1[[#This Row],[data]])</f>
        <v>2026</v>
      </c>
    </row>
    <row r="11737" spans="1:9" x14ac:dyDescent="0.25">
      <c r="A11737" t="s">
        <v>6</v>
      </c>
      <c r="B11737" s="1">
        <v>46146</v>
      </c>
      <c r="C11737">
        <v>24</v>
      </c>
      <c r="D11737">
        <v>283.08</v>
      </c>
      <c r="E11737">
        <v>0</v>
      </c>
      <c r="F11737" t="s">
        <v>7</v>
      </c>
      <c r="G11737" t="s">
        <v>11</v>
      </c>
      <c r="H11737" s="5">
        <f>MONTH(Tabela1[[#This Row],[data]])</f>
        <v>5</v>
      </c>
      <c r="I11737">
        <f>YEAR(Tabela1[[#This Row],[data]])</f>
        <v>2026</v>
      </c>
    </row>
    <row r="11738" spans="1:9" x14ac:dyDescent="0.25">
      <c r="A11738" t="s">
        <v>6</v>
      </c>
      <c r="B11738" s="1">
        <v>46147</v>
      </c>
      <c r="C11738">
        <v>1</v>
      </c>
      <c r="D11738">
        <v>256.2</v>
      </c>
      <c r="E11738">
        <v>0</v>
      </c>
      <c r="F11738" t="s">
        <v>7</v>
      </c>
      <c r="G11738" t="s">
        <v>11</v>
      </c>
      <c r="H11738" s="5">
        <f>MONTH(Tabela1[[#This Row],[data]])</f>
        <v>5</v>
      </c>
      <c r="I11738">
        <f>YEAR(Tabela1[[#This Row],[data]])</f>
        <v>2026</v>
      </c>
    </row>
    <row r="11739" spans="1:9" x14ac:dyDescent="0.25">
      <c r="A11739" t="s">
        <v>6</v>
      </c>
      <c r="B11739" s="1">
        <v>46147</v>
      </c>
      <c r="C11739">
        <v>2</v>
      </c>
      <c r="D11739">
        <v>224.7</v>
      </c>
      <c r="E11739">
        <v>0</v>
      </c>
      <c r="F11739" t="s">
        <v>7</v>
      </c>
      <c r="G11739" t="s">
        <v>11</v>
      </c>
      <c r="H11739" s="5">
        <f>MONTH(Tabela1[[#This Row],[data]])</f>
        <v>5</v>
      </c>
      <c r="I11739">
        <f>YEAR(Tabela1[[#This Row],[data]])</f>
        <v>2026</v>
      </c>
    </row>
    <row r="11740" spans="1:9" x14ac:dyDescent="0.25">
      <c r="A11740" t="s">
        <v>6</v>
      </c>
      <c r="B11740" s="1">
        <v>46147</v>
      </c>
      <c r="C11740">
        <v>3</v>
      </c>
      <c r="D11740">
        <v>221.34</v>
      </c>
      <c r="E11740">
        <v>0</v>
      </c>
      <c r="F11740" t="s">
        <v>7</v>
      </c>
      <c r="G11740" t="s">
        <v>11</v>
      </c>
      <c r="H11740" s="5">
        <f>MONTH(Tabela1[[#This Row],[data]])</f>
        <v>5</v>
      </c>
      <c r="I11740">
        <f>YEAR(Tabela1[[#This Row],[data]])</f>
        <v>2026</v>
      </c>
    </row>
    <row r="11741" spans="1:9" x14ac:dyDescent="0.25">
      <c r="A11741" t="s">
        <v>6</v>
      </c>
      <c r="B11741" s="1">
        <v>46147</v>
      </c>
      <c r="C11741">
        <v>4</v>
      </c>
      <c r="D11741">
        <v>223.44</v>
      </c>
      <c r="E11741">
        <v>0</v>
      </c>
      <c r="F11741" t="s">
        <v>7</v>
      </c>
      <c r="G11741" t="s">
        <v>11</v>
      </c>
      <c r="H11741" s="5">
        <f>MONTH(Tabela1[[#This Row],[data]])</f>
        <v>5</v>
      </c>
      <c r="I11741">
        <f>YEAR(Tabela1[[#This Row],[data]])</f>
        <v>2026</v>
      </c>
    </row>
    <row r="11742" spans="1:9" x14ac:dyDescent="0.25">
      <c r="A11742" t="s">
        <v>6</v>
      </c>
      <c r="B11742" s="1">
        <v>46147</v>
      </c>
      <c r="C11742">
        <v>5</v>
      </c>
      <c r="D11742">
        <v>235.2</v>
      </c>
      <c r="E11742">
        <v>0</v>
      </c>
      <c r="F11742" t="s">
        <v>7</v>
      </c>
      <c r="G11742" t="s">
        <v>11</v>
      </c>
      <c r="H11742" s="5">
        <f>MONTH(Tabela1[[#This Row],[data]])</f>
        <v>5</v>
      </c>
      <c r="I11742">
        <f>YEAR(Tabela1[[#This Row],[data]])</f>
        <v>2026</v>
      </c>
    </row>
    <row r="11743" spans="1:9" x14ac:dyDescent="0.25">
      <c r="A11743" t="s">
        <v>6</v>
      </c>
      <c r="B11743" s="1">
        <v>46147</v>
      </c>
      <c r="C11743">
        <v>6</v>
      </c>
      <c r="D11743">
        <v>239.4</v>
      </c>
      <c r="E11743">
        <v>0</v>
      </c>
      <c r="F11743" t="s">
        <v>7</v>
      </c>
      <c r="G11743" t="s">
        <v>11</v>
      </c>
      <c r="H11743" s="5">
        <f>MONTH(Tabela1[[#This Row],[data]])</f>
        <v>5</v>
      </c>
      <c r="I11743">
        <f>YEAR(Tabela1[[#This Row],[data]])</f>
        <v>2026</v>
      </c>
    </row>
    <row r="11744" spans="1:9" x14ac:dyDescent="0.25">
      <c r="A11744" t="s">
        <v>6</v>
      </c>
      <c r="B11744" s="1">
        <v>46147</v>
      </c>
      <c r="C11744">
        <v>7</v>
      </c>
      <c r="D11744">
        <v>224.7</v>
      </c>
      <c r="E11744">
        <v>0</v>
      </c>
      <c r="F11744" t="s">
        <v>7</v>
      </c>
      <c r="G11744" t="s">
        <v>11</v>
      </c>
      <c r="H11744" s="5">
        <f>MONTH(Tabela1[[#This Row],[data]])</f>
        <v>5</v>
      </c>
      <c r="I11744">
        <f>YEAR(Tabela1[[#This Row],[data]])</f>
        <v>2026</v>
      </c>
    </row>
    <row r="11745" spans="1:9" x14ac:dyDescent="0.25">
      <c r="A11745" t="s">
        <v>6</v>
      </c>
      <c r="B11745" s="1">
        <v>46147</v>
      </c>
      <c r="C11745">
        <v>8</v>
      </c>
      <c r="D11745">
        <v>245.7</v>
      </c>
      <c r="E11745">
        <v>0</v>
      </c>
      <c r="F11745" t="s">
        <v>7</v>
      </c>
      <c r="G11745" t="s">
        <v>11</v>
      </c>
      <c r="H11745" s="5">
        <f>MONTH(Tabela1[[#This Row],[data]])</f>
        <v>5</v>
      </c>
      <c r="I11745">
        <f>YEAR(Tabela1[[#This Row],[data]])</f>
        <v>2026</v>
      </c>
    </row>
    <row r="11746" spans="1:9" x14ac:dyDescent="0.25">
      <c r="A11746" t="s">
        <v>6</v>
      </c>
      <c r="B11746" s="1">
        <v>46147</v>
      </c>
      <c r="C11746">
        <v>9</v>
      </c>
      <c r="D11746">
        <v>351.96</v>
      </c>
      <c r="E11746">
        <v>0</v>
      </c>
      <c r="F11746" t="s">
        <v>7</v>
      </c>
      <c r="G11746" t="s">
        <v>11</v>
      </c>
      <c r="H11746" s="5">
        <f>MONTH(Tabela1[[#This Row],[data]])</f>
        <v>5</v>
      </c>
      <c r="I11746">
        <f>YEAR(Tabela1[[#This Row],[data]])</f>
        <v>2026</v>
      </c>
    </row>
    <row r="11747" spans="1:9" x14ac:dyDescent="0.25">
      <c r="A11747" t="s">
        <v>6</v>
      </c>
      <c r="B11747" s="1">
        <v>46147</v>
      </c>
      <c r="C11747">
        <v>10</v>
      </c>
      <c r="D11747">
        <v>430.92</v>
      </c>
      <c r="E11747">
        <v>18.059999999999999</v>
      </c>
      <c r="F11747" t="s">
        <v>7</v>
      </c>
      <c r="G11747" t="s">
        <v>11</v>
      </c>
      <c r="H11747" s="5">
        <f>MONTH(Tabela1[[#This Row],[data]])</f>
        <v>5</v>
      </c>
      <c r="I11747">
        <f>YEAR(Tabela1[[#This Row],[data]])</f>
        <v>2026</v>
      </c>
    </row>
    <row r="11748" spans="1:9" x14ac:dyDescent="0.25">
      <c r="A11748" t="s">
        <v>6</v>
      </c>
      <c r="B11748" s="1">
        <v>46147</v>
      </c>
      <c r="C11748">
        <v>11</v>
      </c>
      <c r="D11748">
        <v>563.64</v>
      </c>
      <c r="E11748">
        <v>63</v>
      </c>
      <c r="F11748" t="s">
        <v>7</v>
      </c>
      <c r="G11748" t="s">
        <v>11</v>
      </c>
      <c r="H11748" s="5">
        <f>MONTH(Tabela1[[#This Row],[data]])</f>
        <v>5</v>
      </c>
      <c r="I11748">
        <f>YEAR(Tabela1[[#This Row],[data]])</f>
        <v>2026</v>
      </c>
    </row>
    <row r="11749" spans="1:9" x14ac:dyDescent="0.25">
      <c r="A11749" t="s">
        <v>6</v>
      </c>
      <c r="B11749" s="1">
        <v>46147</v>
      </c>
      <c r="C11749">
        <v>12</v>
      </c>
      <c r="D11749">
        <v>835.38</v>
      </c>
      <c r="E11749">
        <v>178.92</v>
      </c>
      <c r="F11749" t="s">
        <v>7</v>
      </c>
      <c r="G11749" t="s">
        <v>11</v>
      </c>
      <c r="H11749" s="5">
        <f>MONTH(Tabela1[[#This Row],[data]])</f>
        <v>5</v>
      </c>
      <c r="I11749">
        <f>YEAR(Tabela1[[#This Row],[data]])</f>
        <v>2026</v>
      </c>
    </row>
    <row r="11750" spans="1:9" x14ac:dyDescent="0.25">
      <c r="A11750" t="s">
        <v>6</v>
      </c>
      <c r="B11750" s="1">
        <v>46147</v>
      </c>
      <c r="C11750">
        <v>13</v>
      </c>
      <c r="D11750">
        <v>937.02</v>
      </c>
      <c r="E11750">
        <v>249.06</v>
      </c>
      <c r="F11750" t="s">
        <v>7</v>
      </c>
      <c r="G11750" t="s">
        <v>11</v>
      </c>
      <c r="H11750" s="5">
        <f>MONTH(Tabela1[[#This Row],[data]])</f>
        <v>5</v>
      </c>
      <c r="I11750">
        <f>YEAR(Tabela1[[#This Row],[data]])</f>
        <v>2026</v>
      </c>
    </row>
    <row r="11751" spans="1:9" x14ac:dyDescent="0.25">
      <c r="A11751" t="s">
        <v>6</v>
      </c>
      <c r="B11751" s="1">
        <v>46147</v>
      </c>
      <c r="C11751">
        <v>14</v>
      </c>
      <c r="D11751">
        <v>908.88</v>
      </c>
      <c r="E11751">
        <v>217.56</v>
      </c>
      <c r="F11751" t="s">
        <v>7</v>
      </c>
      <c r="G11751" t="s">
        <v>11</v>
      </c>
      <c r="H11751" s="5">
        <f>MONTH(Tabela1[[#This Row],[data]])</f>
        <v>5</v>
      </c>
      <c r="I11751">
        <f>YEAR(Tabela1[[#This Row],[data]])</f>
        <v>2026</v>
      </c>
    </row>
    <row r="11752" spans="1:9" x14ac:dyDescent="0.25">
      <c r="A11752" t="s">
        <v>6</v>
      </c>
      <c r="B11752" s="1">
        <v>46147</v>
      </c>
      <c r="C11752">
        <v>15</v>
      </c>
      <c r="D11752">
        <v>902.16</v>
      </c>
      <c r="E11752">
        <v>207.9</v>
      </c>
      <c r="F11752" t="s">
        <v>7</v>
      </c>
      <c r="G11752" t="s">
        <v>11</v>
      </c>
      <c r="H11752" s="5">
        <f>MONTH(Tabela1[[#This Row],[data]])</f>
        <v>5</v>
      </c>
      <c r="I11752">
        <f>YEAR(Tabela1[[#This Row],[data]])</f>
        <v>2026</v>
      </c>
    </row>
    <row r="11753" spans="1:9" x14ac:dyDescent="0.25">
      <c r="A11753" t="s">
        <v>6</v>
      </c>
      <c r="B11753" s="1">
        <v>46147</v>
      </c>
      <c r="C11753">
        <v>16</v>
      </c>
      <c r="D11753">
        <v>912.66</v>
      </c>
      <c r="E11753">
        <v>229.32</v>
      </c>
      <c r="F11753" t="s">
        <v>7</v>
      </c>
      <c r="G11753" t="s">
        <v>11</v>
      </c>
      <c r="H11753" s="5">
        <f>MONTH(Tabela1[[#This Row],[data]])</f>
        <v>5</v>
      </c>
      <c r="I11753">
        <f>YEAR(Tabela1[[#This Row],[data]])</f>
        <v>2026</v>
      </c>
    </row>
    <row r="11754" spans="1:9" x14ac:dyDescent="0.25">
      <c r="A11754" t="s">
        <v>6</v>
      </c>
      <c r="B11754" s="1">
        <v>46147</v>
      </c>
      <c r="C11754">
        <v>17</v>
      </c>
      <c r="D11754">
        <v>885.78</v>
      </c>
      <c r="E11754">
        <v>230.58</v>
      </c>
      <c r="F11754" t="s">
        <v>7</v>
      </c>
      <c r="G11754" t="s">
        <v>11</v>
      </c>
      <c r="H11754" s="5">
        <f>MONTH(Tabela1[[#This Row],[data]])</f>
        <v>5</v>
      </c>
      <c r="I11754">
        <f>YEAR(Tabela1[[#This Row],[data]])</f>
        <v>2026</v>
      </c>
    </row>
    <row r="11755" spans="1:9" x14ac:dyDescent="0.25">
      <c r="A11755" t="s">
        <v>6</v>
      </c>
      <c r="B11755" s="1">
        <v>46147</v>
      </c>
      <c r="C11755">
        <v>18</v>
      </c>
      <c r="D11755">
        <v>872.34</v>
      </c>
      <c r="E11755">
        <v>218.82</v>
      </c>
      <c r="F11755" t="s">
        <v>7</v>
      </c>
      <c r="G11755" t="s">
        <v>11</v>
      </c>
      <c r="H11755" s="5">
        <f>MONTH(Tabela1[[#This Row],[data]])</f>
        <v>5</v>
      </c>
      <c r="I11755">
        <f>YEAR(Tabela1[[#This Row],[data]])</f>
        <v>2026</v>
      </c>
    </row>
    <row r="11756" spans="1:9" x14ac:dyDescent="0.25">
      <c r="A11756" t="s">
        <v>6</v>
      </c>
      <c r="B11756" s="1">
        <v>46147</v>
      </c>
      <c r="C11756">
        <v>19</v>
      </c>
      <c r="D11756">
        <v>666.96</v>
      </c>
      <c r="E11756">
        <v>110.46</v>
      </c>
      <c r="F11756" t="s">
        <v>7</v>
      </c>
      <c r="G11756" t="s">
        <v>11</v>
      </c>
      <c r="H11756" s="5">
        <f>MONTH(Tabela1[[#This Row],[data]])</f>
        <v>5</v>
      </c>
      <c r="I11756">
        <f>YEAR(Tabela1[[#This Row],[data]])</f>
        <v>2026</v>
      </c>
    </row>
    <row r="11757" spans="1:9" x14ac:dyDescent="0.25">
      <c r="A11757" t="s">
        <v>6</v>
      </c>
      <c r="B11757" s="1">
        <v>46147</v>
      </c>
      <c r="C11757">
        <v>20</v>
      </c>
      <c r="D11757">
        <v>622.44000000000005</v>
      </c>
      <c r="E11757">
        <v>98.7</v>
      </c>
      <c r="F11757" t="s">
        <v>7</v>
      </c>
      <c r="G11757" t="s">
        <v>11</v>
      </c>
      <c r="H11757" s="5">
        <f>MONTH(Tabela1[[#This Row],[data]])</f>
        <v>5</v>
      </c>
      <c r="I11757">
        <f>YEAR(Tabela1[[#This Row],[data]])</f>
        <v>2026</v>
      </c>
    </row>
    <row r="11758" spans="1:9" x14ac:dyDescent="0.25">
      <c r="A11758" t="s">
        <v>6</v>
      </c>
      <c r="B11758" s="1">
        <v>46147</v>
      </c>
      <c r="C11758">
        <v>21</v>
      </c>
      <c r="D11758">
        <v>618.66</v>
      </c>
      <c r="E11758">
        <v>97.44</v>
      </c>
      <c r="F11758" t="s">
        <v>7</v>
      </c>
      <c r="G11758" t="s">
        <v>11</v>
      </c>
      <c r="H11758" s="5">
        <f>MONTH(Tabela1[[#This Row],[data]])</f>
        <v>5</v>
      </c>
      <c r="I11758">
        <f>YEAR(Tabela1[[#This Row],[data]])</f>
        <v>2026</v>
      </c>
    </row>
    <row r="11759" spans="1:9" x14ac:dyDescent="0.25">
      <c r="A11759" t="s">
        <v>6</v>
      </c>
      <c r="B11759" s="1">
        <v>46147</v>
      </c>
      <c r="C11759">
        <v>22</v>
      </c>
      <c r="D11759">
        <v>601.02</v>
      </c>
      <c r="E11759">
        <v>61.32</v>
      </c>
      <c r="F11759" t="s">
        <v>7</v>
      </c>
      <c r="G11759" t="s">
        <v>11</v>
      </c>
      <c r="H11759" s="5">
        <f>MONTH(Tabela1[[#This Row],[data]])</f>
        <v>5</v>
      </c>
      <c r="I11759">
        <f>YEAR(Tabela1[[#This Row],[data]])</f>
        <v>2026</v>
      </c>
    </row>
    <row r="11760" spans="1:9" x14ac:dyDescent="0.25">
      <c r="A11760" t="s">
        <v>6</v>
      </c>
      <c r="B11760" s="1">
        <v>46147</v>
      </c>
      <c r="C11760">
        <v>23</v>
      </c>
      <c r="D11760">
        <v>384.3</v>
      </c>
      <c r="E11760">
        <v>5.88</v>
      </c>
      <c r="F11760" t="s">
        <v>7</v>
      </c>
      <c r="G11760" t="s">
        <v>11</v>
      </c>
      <c r="H11760" s="5">
        <f>MONTH(Tabela1[[#This Row],[data]])</f>
        <v>5</v>
      </c>
      <c r="I11760">
        <f>YEAR(Tabela1[[#This Row],[data]])</f>
        <v>2026</v>
      </c>
    </row>
    <row r="11761" spans="1:9" x14ac:dyDescent="0.25">
      <c r="A11761" t="s">
        <v>6</v>
      </c>
      <c r="B11761" s="1">
        <v>46147</v>
      </c>
      <c r="C11761">
        <v>24</v>
      </c>
      <c r="D11761">
        <v>283.08</v>
      </c>
      <c r="E11761">
        <v>0</v>
      </c>
      <c r="F11761" t="s">
        <v>7</v>
      </c>
      <c r="G11761" t="s">
        <v>11</v>
      </c>
      <c r="H11761" s="5">
        <f>MONTH(Tabela1[[#This Row],[data]])</f>
        <v>5</v>
      </c>
      <c r="I11761">
        <f>YEAR(Tabela1[[#This Row],[data]])</f>
        <v>2026</v>
      </c>
    </row>
    <row r="11762" spans="1:9" x14ac:dyDescent="0.25">
      <c r="A11762" t="s">
        <v>6</v>
      </c>
      <c r="B11762" s="1">
        <v>46148</v>
      </c>
      <c r="C11762">
        <v>1</v>
      </c>
      <c r="D11762">
        <v>247.38</v>
      </c>
      <c r="E11762">
        <v>0</v>
      </c>
      <c r="F11762" t="s">
        <v>7</v>
      </c>
      <c r="G11762" t="s">
        <v>11</v>
      </c>
      <c r="H11762" s="5">
        <f>MONTH(Tabela1[[#This Row],[data]])</f>
        <v>5</v>
      </c>
      <c r="I11762">
        <f>YEAR(Tabela1[[#This Row],[data]])</f>
        <v>2026</v>
      </c>
    </row>
    <row r="11763" spans="1:9" x14ac:dyDescent="0.25">
      <c r="A11763" t="s">
        <v>6</v>
      </c>
      <c r="B11763" s="1">
        <v>46148</v>
      </c>
      <c r="C11763">
        <v>2</v>
      </c>
      <c r="D11763">
        <v>236.88</v>
      </c>
      <c r="E11763">
        <v>0</v>
      </c>
      <c r="F11763" t="s">
        <v>7</v>
      </c>
      <c r="G11763" t="s">
        <v>11</v>
      </c>
      <c r="H11763" s="5">
        <f>MONTH(Tabela1[[#This Row],[data]])</f>
        <v>5</v>
      </c>
      <c r="I11763">
        <f>YEAR(Tabela1[[#This Row],[data]])</f>
        <v>2026</v>
      </c>
    </row>
    <row r="11764" spans="1:9" x14ac:dyDescent="0.25">
      <c r="A11764" t="s">
        <v>6</v>
      </c>
      <c r="B11764" s="1">
        <v>46148</v>
      </c>
      <c r="C11764">
        <v>3</v>
      </c>
      <c r="D11764">
        <v>234.78</v>
      </c>
      <c r="E11764">
        <v>0</v>
      </c>
      <c r="F11764" t="s">
        <v>7</v>
      </c>
      <c r="G11764" t="s">
        <v>11</v>
      </c>
      <c r="H11764" s="5">
        <f>MONTH(Tabela1[[#This Row],[data]])</f>
        <v>5</v>
      </c>
      <c r="I11764">
        <f>YEAR(Tabela1[[#This Row],[data]])</f>
        <v>2026</v>
      </c>
    </row>
    <row r="11765" spans="1:9" x14ac:dyDescent="0.25">
      <c r="A11765" t="s">
        <v>6</v>
      </c>
      <c r="B11765" s="1">
        <v>46148</v>
      </c>
      <c r="C11765">
        <v>4</v>
      </c>
      <c r="D11765">
        <v>232.26</v>
      </c>
      <c r="E11765">
        <v>0</v>
      </c>
      <c r="F11765" t="s">
        <v>7</v>
      </c>
      <c r="G11765" t="s">
        <v>11</v>
      </c>
      <c r="H11765" s="5">
        <f>MONTH(Tabela1[[#This Row],[data]])</f>
        <v>5</v>
      </c>
      <c r="I11765">
        <f>YEAR(Tabela1[[#This Row],[data]])</f>
        <v>2026</v>
      </c>
    </row>
    <row r="11766" spans="1:9" x14ac:dyDescent="0.25">
      <c r="A11766" t="s">
        <v>6</v>
      </c>
      <c r="B11766" s="1">
        <v>46148</v>
      </c>
      <c r="C11766">
        <v>5</v>
      </c>
      <c r="D11766">
        <v>242.76</v>
      </c>
      <c r="E11766">
        <v>0</v>
      </c>
      <c r="F11766" t="s">
        <v>7</v>
      </c>
      <c r="G11766" t="s">
        <v>11</v>
      </c>
      <c r="H11766" s="5">
        <f>MONTH(Tabela1[[#This Row],[data]])</f>
        <v>5</v>
      </c>
      <c r="I11766">
        <f>YEAR(Tabela1[[#This Row],[data]])</f>
        <v>2026</v>
      </c>
    </row>
    <row r="11767" spans="1:9" x14ac:dyDescent="0.25">
      <c r="A11767" t="s">
        <v>6</v>
      </c>
      <c r="B11767" s="1">
        <v>46148</v>
      </c>
      <c r="C11767">
        <v>6</v>
      </c>
      <c r="D11767">
        <v>239.4</v>
      </c>
      <c r="E11767">
        <v>0</v>
      </c>
      <c r="F11767" t="s">
        <v>7</v>
      </c>
      <c r="G11767" t="s">
        <v>11</v>
      </c>
      <c r="H11767" s="5">
        <f>MONTH(Tabela1[[#This Row],[data]])</f>
        <v>5</v>
      </c>
      <c r="I11767">
        <f>YEAR(Tabela1[[#This Row],[data]])</f>
        <v>2026</v>
      </c>
    </row>
    <row r="11768" spans="1:9" x14ac:dyDescent="0.25">
      <c r="A11768" t="s">
        <v>6</v>
      </c>
      <c r="B11768" s="1">
        <v>46148</v>
      </c>
      <c r="C11768">
        <v>7</v>
      </c>
      <c r="D11768">
        <v>231</v>
      </c>
      <c r="E11768">
        <v>0</v>
      </c>
      <c r="F11768" t="s">
        <v>7</v>
      </c>
      <c r="G11768" t="s">
        <v>11</v>
      </c>
      <c r="H11768" s="5">
        <f>MONTH(Tabela1[[#This Row],[data]])</f>
        <v>5</v>
      </c>
      <c r="I11768">
        <f>YEAR(Tabela1[[#This Row],[data]])</f>
        <v>2026</v>
      </c>
    </row>
    <row r="11769" spans="1:9" x14ac:dyDescent="0.25">
      <c r="A11769" t="s">
        <v>6</v>
      </c>
      <c r="B11769" s="1">
        <v>46148</v>
      </c>
      <c r="C11769">
        <v>8</v>
      </c>
      <c r="D11769">
        <v>228.48</v>
      </c>
      <c r="E11769">
        <v>0</v>
      </c>
      <c r="F11769" t="s">
        <v>7</v>
      </c>
      <c r="G11769" t="s">
        <v>11</v>
      </c>
      <c r="H11769" s="5">
        <f>MONTH(Tabela1[[#This Row],[data]])</f>
        <v>5</v>
      </c>
      <c r="I11769">
        <f>YEAR(Tabela1[[#This Row],[data]])</f>
        <v>2026</v>
      </c>
    </row>
    <row r="11770" spans="1:9" x14ac:dyDescent="0.25">
      <c r="A11770" t="s">
        <v>6</v>
      </c>
      <c r="B11770" s="1">
        <v>46148</v>
      </c>
      <c r="C11770">
        <v>9</v>
      </c>
      <c r="D11770">
        <v>342.3</v>
      </c>
      <c r="E11770">
        <v>0</v>
      </c>
      <c r="F11770" t="s">
        <v>7</v>
      </c>
      <c r="G11770" t="s">
        <v>11</v>
      </c>
      <c r="H11770" s="5">
        <f>MONTH(Tabela1[[#This Row],[data]])</f>
        <v>5</v>
      </c>
      <c r="I11770">
        <f>YEAR(Tabela1[[#This Row],[data]])</f>
        <v>2026</v>
      </c>
    </row>
    <row r="11771" spans="1:9" x14ac:dyDescent="0.25">
      <c r="A11771" t="s">
        <v>6</v>
      </c>
      <c r="B11771" s="1">
        <v>46148</v>
      </c>
      <c r="C11771">
        <v>10</v>
      </c>
      <c r="D11771">
        <v>457.8</v>
      </c>
      <c r="E11771">
        <v>35.28</v>
      </c>
      <c r="F11771" t="s">
        <v>7</v>
      </c>
      <c r="G11771" t="s">
        <v>11</v>
      </c>
      <c r="H11771" s="5">
        <f>MONTH(Tabela1[[#This Row],[data]])</f>
        <v>5</v>
      </c>
      <c r="I11771">
        <f>YEAR(Tabela1[[#This Row],[data]])</f>
        <v>2026</v>
      </c>
    </row>
    <row r="11772" spans="1:9" x14ac:dyDescent="0.25">
      <c r="A11772" t="s">
        <v>6</v>
      </c>
      <c r="B11772" s="1">
        <v>46148</v>
      </c>
      <c r="C11772">
        <v>11</v>
      </c>
      <c r="D11772">
        <v>572.04</v>
      </c>
      <c r="E11772">
        <v>80.22</v>
      </c>
      <c r="F11772" t="s">
        <v>7</v>
      </c>
      <c r="G11772" t="s">
        <v>11</v>
      </c>
      <c r="H11772" s="5">
        <f>MONTH(Tabela1[[#This Row],[data]])</f>
        <v>5</v>
      </c>
      <c r="I11772">
        <f>YEAR(Tabela1[[#This Row],[data]])</f>
        <v>2026</v>
      </c>
    </row>
    <row r="11773" spans="1:9" x14ac:dyDescent="0.25">
      <c r="A11773" t="s">
        <v>6</v>
      </c>
      <c r="B11773" s="1">
        <v>46148</v>
      </c>
      <c r="C11773">
        <v>12</v>
      </c>
      <c r="D11773">
        <v>869.4</v>
      </c>
      <c r="E11773">
        <v>235.62</v>
      </c>
      <c r="F11773" t="s">
        <v>7</v>
      </c>
      <c r="G11773" t="s">
        <v>11</v>
      </c>
      <c r="H11773" s="5">
        <f>MONTH(Tabela1[[#This Row],[data]])</f>
        <v>5</v>
      </c>
      <c r="I11773">
        <f>YEAR(Tabela1[[#This Row],[data]])</f>
        <v>2026</v>
      </c>
    </row>
    <row r="11774" spans="1:9" x14ac:dyDescent="0.25">
      <c r="A11774" t="s">
        <v>6</v>
      </c>
      <c r="B11774" s="1">
        <v>46148</v>
      </c>
      <c r="C11774">
        <v>13</v>
      </c>
      <c r="D11774">
        <v>965.16</v>
      </c>
      <c r="E11774">
        <v>276.36</v>
      </c>
      <c r="F11774" t="s">
        <v>7</v>
      </c>
      <c r="G11774" t="s">
        <v>11</v>
      </c>
      <c r="H11774" s="5">
        <f>MONTH(Tabela1[[#This Row],[data]])</f>
        <v>5</v>
      </c>
      <c r="I11774">
        <f>YEAR(Tabela1[[#This Row],[data]])</f>
        <v>2026</v>
      </c>
    </row>
    <row r="11775" spans="1:9" x14ac:dyDescent="0.25">
      <c r="A11775" t="s">
        <v>6</v>
      </c>
      <c r="B11775" s="1">
        <v>46148</v>
      </c>
      <c r="C11775">
        <v>14</v>
      </c>
      <c r="D11775">
        <v>940.8</v>
      </c>
      <c r="E11775">
        <v>252</v>
      </c>
      <c r="F11775" t="s">
        <v>7</v>
      </c>
      <c r="G11775" t="s">
        <v>11</v>
      </c>
      <c r="H11775" s="5">
        <f>MONTH(Tabela1[[#This Row],[data]])</f>
        <v>5</v>
      </c>
      <c r="I11775">
        <f>YEAR(Tabela1[[#This Row],[data]])</f>
        <v>2026</v>
      </c>
    </row>
    <row r="11776" spans="1:9" x14ac:dyDescent="0.25">
      <c r="A11776" t="s">
        <v>6</v>
      </c>
      <c r="B11776" s="1">
        <v>46148</v>
      </c>
      <c r="C11776">
        <v>15</v>
      </c>
      <c r="D11776">
        <v>946.26</v>
      </c>
      <c r="E11776">
        <v>242.34</v>
      </c>
      <c r="F11776" t="s">
        <v>7</v>
      </c>
      <c r="G11776" t="s">
        <v>11</v>
      </c>
      <c r="H11776" s="5">
        <f>MONTH(Tabela1[[#This Row],[data]])</f>
        <v>5</v>
      </c>
      <c r="I11776">
        <f>YEAR(Tabela1[[#This Row],[data]])</f>
        <v>2026</v>
      </c>
    </row>
    <row r="11777" spans="1:9" x14ac:dyDescent="0.25">
      <c r="A11777" t="s">
        <v>6</v>
      </c>
      <c r="B11777" s="1">
        <v>46148</v>
      </c>
      <c r="C11777">
        <v>16</v>
      </c>
      <c r="D11777">
        <v>950.46</v>
      </c>
      <c r="E11777">
        <v>245.7</v>
      </c>
      <c r="F11777" t="s">
        <v>7</v>
      </c>
      <c r="G11777" t="s">
        <v>11</v>
      </c>
      <c r="H11777" s="5">
        <f>MONTH(Tabela1[[#This Row],[data]])</f>
        <v>5</v>
      </c>
      <c r="I11777">
        <f>YEAR(Tabela1[[#This Row],[data]])</f>
        <v>2026</v>
      </c>
    </row>
    <row r="11778" spans="1:9" x14ac:dyDescent="0.25">
      <c r="A11778" t="s">
        <v>6</v>
      </c>
      <c r="B11778" s="1">
        <v>46148</v>
      </c>
      <c r="C11778">
        <v>17</v>
      </c>
      <c r="D11778">
        <v>914.76</v>
      </c>
      <c r="E11778">
        <v>247.8</v>
      </c>
      <c r="F11778" t="s">
        <v>7</v>
      </c>
      <c r="G11778" t="s">
        <v>11</v>
      </c>
      <c r="H11778" s="5">
        <f>MONTH(Tabela1[[#This Row],[data]])</f>
        <v>5</v>
      </c>
      <c r="I11778">
        <f>YEAR(Tabela1[[#This Row],[data]])</f>
        <v>2026</v>
      </c>
    </row>
    <row r="11779" spans="1:9" x14ac:dyDescent="0.25">
      <c r="A11779" t="s">
        <v>6</v>
      </c>
      <c r="B11779" s="1">
        <v>46148</v>
      </c>
      <c r="C11779">
        <v>18</v>
      </c>
      <c r="D11779">
        <v>887.04</v>
      </c>
      <c r="E11779">
        <v>236.46</v>
      </c>
      <c r="F11779" t="s">
        <v>7</v>
      </c>
      <c r="G11779" t="s">
        <v>11</v>
      </c>
      <c r="H11779" s="5">
        <f>MONTH(Tabela1[[#This Row],[data]])</f>
        <v>5</v>
      </c>
      <c r="I11779">
        <f>YEAR(Tabela1[[#This Row],[data]])</f>
        <v>2026</v>
      </c>
    </row>
    <row r="11780" spans="1:9" x14ac:dyDescent="0.25">
      <c r="A11780" t="s">
        <v>6</v>
      </c>
      <c r="B11780" s="1">
        <v>46148</v>
      </c>
      <c r="C11780">
        <v>19</v>
      </c>
      <c r="D11780">
        <v>663.6</v>
      </c>
      <c r="E11780">
        <v>101.64</v>
      </c>
      <c r="F11780" t="s">
        <v>7</v>
      </c>
      <c r="G11780" t="s">
        <v>11</v>
      </c>
      <c r="H11780" s="5">
        <f>MONTH(Tabela1[[#This Row],[data]])</f>
        <v>5</v>
      </c>
      <c r="I11780">
        <f>YEAR(Tabela1[[#This Row],[data]])</f>
        <v>2026</v>
      </c>
    </row>
    <row r="11781" spans="1:9" x14ac:dyDescent="0.25">
      <c r="A11781" t="s">
        <v>6</v>
      </c>
      <c r="B11781" s="1">
        <v>46148</v>
      </c>
      <c r="C11781">
        <v>20</v>
      </c>
      <c r="D11781">
        <v>621.17999999999995</v>
      </c>
      <c r="E11781">
        <v>86.94</v>
      </c>
      <c r="F11781" t="s">
        <v>7</v>
      </c>
      <c r="G11781" t="s">
        <v>11</v>
      </c>
      <c r="H11781" s="5">
        <f>MONTH(Tabela1[[#This Row],[data]])</f>
        <v>5</v>
      </c>
      <c r="I11781">
        <f>YEAR(Tabela1[[#This Row],[data]])</f>
        <v>2026</v>
      </c>
    </row>
    <row r="11782" spans="1:9" x14ac:dyDescent="0.25">
      <c r="A11782" t="s">
        <v>6</v>
      </c>
      <c r="B11782" s="1">
        <v>46148</v>
      </c>
      <c r="C11782">
        <v>21</v>
      </c>
      <c r="D11782">
        <v>632.52</v>
      </c>
      <c r="E11782">
        <v>109.2</v>
      </c>
      <c r="F11782" t="s">
        <v>7</v>
      </c>
      <c r="G11782" t="s">
        <v>11</v>
      </c>
      <c r="H11782" s="5">
        <f>MONTH(Tabela1[[#This Row],[data]])</f>
        <v>5</v>
      </c>
      <c r="I11782">
        <f>YEAR(Tabela1[[#This Row],[data]])</f>
        <v>2026</v>
      </c>
    </row>
    <row r="11783" spans="1:9" x14ac:dyDescent="0.25">
      <c r="A11783" t="s">
        <v>6</v>
      </c>
      <c r="B11783" s="1">
        <v>46148</v>
      </c>
      <c r="C11783">
        <v>22</v>
      </c>
      <c r="D11783">
        <v>599.34</v>
      </c>
      <c r="E11783">
        <v>73.92</v>
      </c>
      <c r="F11783" t="s">
        <v>7</v>
      </c>
      <c r="G11783" t="s">
        <v>11</v>
      </c>
      <c r="H11783" s="5">
        <f>MONTH(Tabela1[[#This Row],[data]])</f>
        <v>5</v>
      </c>
      <c r="I11783">
        <f>YEAR(Tabela1[[#This Row],[data]])</f>
        <v>2026</v>
      </c>
    </row>
    <row r="11784" spans="1:9" x14ac:dyDescent="0.25">
      <c r="A11784" t="s">
        <v>6</v>
      </c>
      <c r="B11784" s="1">
        <v>46148</v>
      </c>
      <c r="C11784">
        <v>23</v>
      </c>
      <c r="D11784">
        <v>380.52</v>
      </c>
      <c r="E11784">
        <v>5.04</v>
      </c>
      <c r="F11784" t="s">
        <v>7</v>
      </c>
      <c r="G11784" t="s">
        <v>11</v>
      </c>
      <c r="H11784" s="5">
        <f>MONTH(Tabela1[[#This Row],[data]])</f>
        <v>5</v>
      </c>
      <c r="I11784">
        <f>YEAR(Tabela1[[#This Row],[data]])</f>
        <v>2026</v>
      </c>
    </row>
    <row r="11785" spans="1:9" x14ac:dyDescent="0.25">
      <c r="A11785" t="s">
        <v>6</v>
      </c>
      <c r="B11785" s="1">
        <v>46148</v>
      </c>
      <c r="C11785">
        <v>24</v>
      </c>
      <c r="D11785">
        <v>288.12</v>
      </c>
      <c r="E11785">
        <v>0</v>
      </c>
      <c r="F11785" t="s">
        <v>7</v>
      </c>
      <c r="G11785" t="s">
        <v>11</v>
      </c>
      <c r="H11785" s="5">
        <f>MONTH(Tabela1[[#This Row],[data]])</f>
        <v>5</v>
      </c>
      <c r="I11785">
        <f>YEAR(Tabela1[[#This Row],[data]])</f>
        <v>2026</v>
      </c>
    </row>
    <row r="11786" spans="1:9" x14ac:dyDescent="0.25">
      <c r="A11786" t="s">
        <v>6</v>
      </c>
      <c r="B11786" s="1">
        <v>46149</v>
      </c>
      <c r="C11786">
        <v>1</v>
      </c>
      <c r="D11786">
        <v>267.95999999999998</v>
      </c>
      <c r="E11786">
        <v>0</v>
      </c>
      <c r="F11786" t="s">
        <v>7</v>
      </c>
      <c r="G11786" t="s">
        <v>11</v>
      </c>
      <c r="H11786" s="5">
        <f>MONTH(Tabela1[[#This Row],[data]])</f>
        <v>5</v>
      </c>
      <c r="I11786">
        <f>YEAR(Tabela1[[#This Row],[data]])</f>
        <v>2026</v>
      </c>
    </row>
    <row r="11787" spans="1:9" x14ac:dyDescent="0.25">
      <c r="A11787" t="s">
        <v>6</v>
      </c>
      <c r="B11787" s="1">
        <v>46149</v>
      </c>
      <c r="C11787">
        <v>2</v>
      </c>
      <c r="D11787">
        <v>232.68</v>
      </c>
      <c r="E11787">
        <v>0</v>
      </c>
      <c r="F11787" t="s">
        <v>7</v>
      </c>
      <c r="G11787" t="s">
        <v>11</v>
      </c>
      <c r="H11787" s="5">
        <f>MONTH(Tabela1[[#This Row],[data]])</f>
        <v>5</v>
      </c>
      <c r="I11787">
        <f>YEAR(Tabela1[[#This Row],[data]])</f>
        <v>2026</v>
      </c>
    </row>
    <row r="11788" spans="1:9" x14ac:dyDescent="0.25">
      <c r="A11788" t="s">
        <v>6</v>
      </c>
      <c r="B11788" s="1">
        <v>46149</v>
      </c>
      <c r="C11788">
        <v>3</v>
      </c>
      <c r="D11788">
        <v>231.42</v>
      </c>
      <c r="E11788">
        <v>0</v>
      </c>
      <c r="F11788" t="s">
        <v>7</v>
      </c>
      <c r="G11788" t="s">
        <v>11</v>
      </c>
      <c r="H11788" s="5">
        <f>MONTH(Tabela1[[#This Row],[data]])</f>
        <v>5</v>
      </c>
      <c r="I11788">
        <f>YEAR(Tabela1[[#This Row],[data]])</f>
        <v>2026</v>
      </c>
    </row>
    <row r="11789" spans="1:9" x14ac:dyDescent="0.25">
      <c r="A11789" t="s">
        <v>6</v>
      </c>
      <c r="B11789" s="1">
        <v>46149</v>
      </c>
      <c r="C11789">
        <v>4</v>
      </c>
      <c r="D11789">
        <v>232.26</v>
      </c>
      <c r="E11789">
        <v>0</v>
      </c>
      <c r="F11789" t="s">
        <v>7</v>
      </c>
      <c r="G11789" t="s">
        <v>11</v>
      </c>
      <c r="H11789" s="5">
        <f>MONTH(Tabela1[[#This Row],[data]])</f>
        <v>5</v>
      </c>
      <c r="I11789">
        <f>YEAR(Tabela1[[#This Row],[data]])</f>
        <v>2026</v>
      </c>
    </row>
    <row r="11790" spans="1:9" x14ac:dyDescent="0.25">
      <c r="A11790" t="s">
        <v>6</v>
      </c>
      <c r="B11790" s="1">
        <v>46149</v>
      </c>
      <c r="C11790">
        <v>5</v>
      </c>
      <c r="D11790">
        <v>241.92</v>
      </c>
      <c r="E11790">
        <v>0</v>
      </c>
      <c r="F11790" t="s">
        <v>7</v>
      </c>
      <c r="G11790" t="s">
        <v>11</v>
      </c>
      <c r="H11790" s="5">
        <f>MONTH(Tabela1[[#This Row],[data]])</f>
        <v>5</v>
      </c>
      <c r="I11790">
        <f>YEAR(Tabela1[[#This Row],[data]])</f>
        <v>2026</v>
      </c>
    </row>
    <row r="11791" spans="1:9" x14ac:dyDescent="0.25">
      <c r="A11791" t="s">
        <v>6</v>
      </c>
      <c r="B11791" s="1">
        <v>46149</v>
      </c>
      <c r="C11791">
        <v>6</v>
      </c>
      <c r="D11791">
        <v>236.46</v>
      </c>
      <c r="E11791">
        <v>0</v>
      </c>
      <c r="F11791" t="s">
        <v>7</v>
      </c>
      <c r="G11791" t="s">
        <v>11</v>
      </c>
      <c r="H11791" s="5">
        <f>MONTH(Tabela1[[#This Row],[data]])</f>
        <v>5</v>
      </c>
      <c r="I11791">
        <f>YEAR(Tabela1[[#This Row],[data]])</f>
        <v>2026</v>
      </c>
    </row>
    <row r="11792" spans="1:9" x14ac:dyDescent="0.25">
      <c r="A11792" t="s">
        <v>6</v>
      </c>
      <c r="B11792" s="1">
        <v>46149</v>
      </c>
      <c r="C11792">
        <v>7</v>
      </c>
      <c r="D11792">
        <v>226.38</v>
      </c>
      <c r="E11792">
        <v>0</v>
      </c>
      <c r="F11792" t="s">
        <v>7</v>
      </c>
      <c r="G11792" t="s">
        <v>11</v>
      </c>
      <c r="H11792" s="5">
        <f>MONTH(Tabela1[[#This Row],[data]])</f>
        <v>5</v>
      </c>
      <c r="I11792">
        <f>YEAR(Tabela1[[#This Row],[data]])</f>
        <v>2026</v>
      </c>
    </row>
    <row r="11793" spans="1:9" x14ac:dyDescent="0.25">
      <c r="A11793" t="s">
        <v>6</v>
      </c>
      <c r="B11793" s="1">
        <v>46149</v>
      </c>
      <c r="C11793">
        <v>8</v>
      </c>
      <c r="D11793">
        <v>257.45999999999998</v>
      </c>
      <c r="E11793">
        <v>0</v>
      </c>
      <c r="F11793" t="s">
        <v>7</v>
      </c>
      <c r="G11793" t="s">
        <v>11</v>
      </c>
      <c r="H11793" s="5">
        <f>MONTH(Tabela1[[#This Row],[data]])</f>
        <v>5</v>
      </c>
      <c r="I11793">
        <f>YEAR(Tabela1[[#This Row],[data]])</f>
        <v>2026</v>
      </c>
    </row>
    <row r="11794" spans="1:9" x14ac:dyDescent="0.25">
      <c r="A11794" t="s">
        <v>6</v>
      </c>
      <c r="B11794" s="1">
        <v>46149</v>
      </c>
      <c r="C11794">
        <v>9</v>
      </c>
      <c r="D11794">
        <v>364.14</v>
      </c>
      <c r="E11794">
        <v>3.78</v>
      </c>
      <c r="F11794" t="s">
        <v>7</v>
      </c>
      <c r="G11794" t="s">
        <v>11</v>
      </c>
      <c r="H11794" s="5">
        <f>MONTH(Tabela1[[#This Row],[data]])</f>
        <v>5</v>
      </c>
      <c r="I11794">
        <f>YEAR(Tabela1[[#This Row],[data]])</f>
        <v>2026</v>
      </c>
    </row>
    <row r="11795" spans="1:9" x14ac:dyDescent="0.25">
      <c r="A11795" t="s">
        <v>6</v>
      </c>
      <c r="B11795" s="1">
        <v>46149</v>
      </c>
      <c r="C11795">
        <v>10</v>
      </c>
      <c r="D11795">
        <v>446.46</v>
      </c>
      <c r="E11795">
        <v>31.92</v>
      </c>
      <c r="F11795" t="s">
        <v>7</v>
      </c>
      <c r="G11795" t="s">
        <v>11</v>
      </c>
      <c r="H11795" s="5">
        <f>MONTH(Tabela1[[#This Row],[data]])</f>
        <v>5</v>
      </c>
      <c r="I11795">
        <f>YEAR(Tabela1[[#This Row],[data]])</f>
        <v>2026</v>
      </c>
    </row>
    <row r="11796" spans="1:9" x14ac:dyDescent="0.25">
      <c r="A11796" t="s">
        <v>6</v>
      </c>
      <c r="B11796" s="1">
        <v>46149</v>
      </c>
      <c r="C11796">
        <v>11</v>
      </c>
      <c r="D11796">
        <v>595.55999999999995</v>
      </c>
      <c r="E11796">
        <v>94.5</v>
      </c>
      <c r="F11796" t="s">
        <v>7</v>
      </c>
      <c r="G11796" t="s">
        <v>11</v>
      </c>
      <c r="H11796" s="5">
        <f>MONTH(Tabela1[[#This Row],[data]])</f>
        <v>5</v>
      </c>
      <c r="I11796">
        <f>YEAR(Tabela1[[#This Row],[data]])</f>
        <v>2026</v>
      </c>
    </row>
    <row r="11797" spans="1:9" x14ac:dyDescent="0.25">
      <c r="A11797" t="s">
        <v>6</v>
      </c>
      <c r="B11797" s="1">
        <v>46149</v>
      </c>
      <c r="C11797">
        <v>12</v>
      </c>
      <c r="D11797">
        <v>793.38</v>
      </c>
      <c r="E11797">
        <v>190.68</v>
      </c>
      <c r="F11797" t="s">
        <v>7</v>
      </c>
      <c r="G11797" t="s">
        <v>11</v>
      </c>
      <c r="H11797" s="5">
        <f>MONTH(Tabela1[[#This Row],[data]])</f>
        <v>5</v>
      </c>
      <c r="I11797">
        <f>YEAR(Tabela1[[#This Row],[data]])</f>
        <v>2026</v>
      </c>
    </row>
    <row r="11798" spans="1:9" x14ac:dyDescent="0.25">
      <c r="A11798" t="s">
        <v>6</v>
      </c>
      <c r="B11798" s="1">
        <v>46149</v>
      </c>
      <c r="C11798">
        <v>13</v>
      </c>
      <c r="D11798">
        <v>825.72</v>
      </c>
      <c r="E11798">
        <v>175.14</v>
      </c>
      <c r="F11798" t="s">
        <v>7</v>
      </c>
      <c r="G11798" t="s">
        <v>11</v>
      </c>
      <c r="H11798" s="5">
        <f>MONTH(Tabela1[[#This Row],[data]])</f>
        <v>5</v>
      </c>
      <c r="I11798">
        <f>YEAR(Tabela1[[#This Row],[data]])</f>
        <v>2026</v>
      </c>
    </row>
    <row r="11799" spans="1:9" x14ac:dyDescent="0.25">
      <c r="A11799" t="s">
        <v>6</v>
      </c>
      <c r="B11799" s="1">
        <v>46149</v>
      </c>
      <c r="C11799">
        <v>14</v>
      </c>
      <c r="D11799">
        <v>843.36</v>
      </c>
      <c r="E11799">
        <v>182.28</v>
      </c>
      <c r="F11799" t="s">
        <v>7</v>
      </c>
      <c r="G11799" t="s">
        <v>11</v>
      </c>
      <c r="H11799" s="5">
        <f>MONTH(Tabela1[[#This Row],[data]])</f>
        <v>5</v>
      </c>
      <c r="I11799">
        <f>YEAR(Tabela1[[#This Row],[data]])</f>
        <v>2026</v>
      </c>
    </row>
    <row r="11800" spans="1:9" x14ac:dyDescent="0.25">
      <c r="A11800" t="s">
        <v>6</v>
      </c>
      <c r="B11800" s="1">
        <v>46149</v>
      </c>
      <c r="C11800">
        <v>15</v>
      </c>
      <c r="D11800">
        <v>830.76</v>
      </c>
      <c r="E11800">
        <v>167.58</v>
      </c>
      <c r="F11800" t="s">
        <v>7</v>
      </c>
      <c r="G11800" t="s">
        <v>11</v>
      </c>
      <c r="H11800" s="5">
        <f>MONTH(Tabela1[[#This Row],[data]])</f>
        <v>5</v>
      </c>
      <c r="I11800">
        <f>YEAR(Tabela1[[#This Row],[data]])</f>
        <v>2026</v>
      </c>
    </row>
    <row r="11801" spans="1:9" x14ac:dyDescent="0.25">
      <c r="A11801" t="s">
        <v>6</v>
      </c>
      <c r="B11801" s="1">
        <v>46149</v>
      </c>
      <c r="C11801">
        <v>16</v>
      </c>
      <c r="D11801">
        <v>842.1</v>
      </c>
      <c r="E11801">
        <v>177.66</v>
      </c>
      <c r="F11801" t="s">
        <v>7</v>
      </c>
      <c r="G11801" t="s">
        <v>11</v>
      </c>
      <c r="H11801" s="5">
        <f>MONTH(Tabela1[[#This Row],[data]])</f>
        <v>5</v>
      </c>
      <c r="I11801">
        <f>YEAR(Tabela1[[#This Row],[data]])</f>
        <v>2026</v>
      </c>
    </row>
    <row r="11802" spans="1:9" x14ac:dyDescent="0.25">
      <c r="A11802" t="s">
        <v>6</v>
      </c>
      <c r="B11802" s="1">
        <v>46149</v>
      </c>
      <c r="C11802">
        <v>17</v>
      </c>
      <c r="D11802">
        <v>824.04</v>
      </c>
      <c r="E11802">
        <v>179.76</v>
      </c>
      <c r="F11802" t="s">
        <v>7</v>
      </c>
      <c r="G11802" t="s">
        <v>11</v>
      </c>
      <c r="H11802" s="5">
        <f>MONTH(Tabela1[[#This Row],[data]])</f>
        <v>5</v>
      </c>
      <c r="I11802">
        <f>YEAR(Tabela1[[#This Row],[data]])</f>
        <v>2026</v>
      </c>
    </row>
    <row r="11803" spans="1:9" x14ac:dyDescent="0.25">
      <c r="A11803" t="s">
        <v>6</v>
      </c>
      <c r="B11803" s="1">
        <v>46149</v>
      </c>
      <c r="C11803">
        <v>18</v>
      </c>
      <c r="D11803">
        <v>831.6</v>
      </c>
      <c r="E11803">
        <v>198.66</v>
      </c>
      <c r="F11803" t="s">
        <v>7</v>
      </c>
      <c r="G11803" t="s">
        <v>11</v>
      </c>
      <c r="H11803" s="5">
        <f>MONTH(Tabela1[[#This Row],[data]])</f>
        <v>5</v>
      </c>
      <c r="I11803">
        <f>YEAR(Tabela1[[#This Row],[data]])</f>
        <v>2026</v>
      </c>
    </row>
    <row r="11804" spans="1:9" x14ac:dyDescent="0.25">
      <c r="A11804" t="s">
        <v>6</v>
      </c>
      <c r="B11804" s="1">
        <v>46149</v>
      </c>
      <c r="C11804">
        <v>19</v>
      </c>
      <c r="D11804">
        <v>679.56</v>
      </c>
      <c r="E11804">
        <v>103.32</v>
      </c>
      <c r="F11804" t="s">
        <v>7</v>
      </c>
      <c r="G11804" t="s">
        <v>11</v>
      </c>
      <c r="H11804" s="5">
        <f>MONTH(Tabela1[[#This Row],[data]])</f>
        <v>5</v>
      </c>
      <c r="I11804">
        <f>YEAR(Tabela1[[#This Row],[data]])</f>
        <v>2026</v>
      </c>
    </row>
    <row r="11805" spans="1:9" x14ac:dyDescent="0.25">
      <c r="A11805" t="s">
        <v>6</v>
      </c>
      <c r="B11805" s="1">
        <v>46149</v>
      </c>
      <c r="C11805">
        <v>20</v>
      </c>
      <c r="D11805">
        <v>626.64</v>
      </c>
      <c r="E11805">
        <v>93.66</v>
      </c>
      <c r="F11805" t="s">
        <v>7</v>
      </c>
      <c r="G11805" t="s">
        <v>11</v>
      </c>
      <c r="H11805" s="5">
        <f>MONTH(Tabela1[[#This Row],[data]])</f>
        <v>5</v>
      </c>
      <c r="I11805">
        <f>YEAR(Tabela1[[#This Row],[data]])</f>
        <v>2026</v>
      </c>
    </row>
    <row r="11806" spans="1:9" x14ac:dyDescent="0.25">
      <c r="A11806" t="s">
        <v>6</v>
      </c>
      <c r="B11806" s="1">
        <v>46149</v>
      </c>
      <c r="C11806">
        <v>21</v>
      </c>
      <c r="D11806">
        <v>620.34</v>
      </c>
      <c r="E11806">
        <v>61.32</v>
      </c>
      <c r="F11806" t="s">
        <v>7</v>
      </c>
      <c r="G11806" t="s">
        <v>11</v>
      </c>
      <c r="H11806" s="5">
        <f>MONTH(Tabela1[[#This Row],[data]])</f>
        <v>5</v>
      </c>
      <c r="I11806">
        <f>YEAR(Tabela1[[#This Row],[data]])</f>
        <v>2026</v>
      </c>
    </row>
    <row r="11807" spans="1:9" x14ac:dyDescent="0.25">
      <c r="A11807" t="s">
        <v>6</v>
      </c>
      <c r="B11807" s="1">
        <v>46149</v>
      </c>
      <c r="C11807">
        <v>22</v>
      </c>
      <c r="D11807">
        <v>594.29999999999995</v>
      </c>
      <c r="E11807">
        <v>59.64</v>
      </c>
      <c r="F11807" t="s">
        <v>7</v>
      </c>
      <c r="G11807" t="s">
        <v>11</v>
      </c>
      <c r="H11807" s="5">
        <f>MONTH(Tabela1[[#This Row],[data]])</f>
        <v>5</v>
      </c>
      <c r="I11807">
        <f>YEAR(Tabela1[[#This Row],[data]])</f>
        <v>2026</v>
      </c>
    </row>
    <row r="11808" spans="1:9" x14ac:dyDescent="0.25">
      <c r="A11808" t="s">
        <v>6</v>
      </c>
      <c r="B11808" s="1">
        <v>46149</v>
      </c>
      <c r="C11808">
        <v>23</v>
      </c>
      <c r="D11808">
        <v>414.96</v>
      </c>
      <c r="E11808">
        <v>7.14</v>
      </c>
      <c r="F11808" t="s">
        <v>7</v>
      </c>
      <c r="G11808" t="s">
        <v>11</v>
      </c>
      <c r="H11808" s="5">
        <f>MONTH(Tabela1[[#This Row],[data]])</f>
        <v>5</v>
      </c>
      <c r="I11808">
        <f>YEAR(Tabela1[[#This Row],[data]])</f>
        <v>2026</v>
      </c>
    </row>
    <row r="11809" spans="1:9" x14ac:dyDescent="0.25">
      <c r="A11809" t="s">
        <v>6</v>
      </c>
      <c r="B11809" s="1">
        <v>46149</v>
      </c>
      <c r="C11809">
        <v>24</v>
      </c>
      <c r="D11809">
        <v>293.16000000000003</v>
      </c>
      <c r="E11809">
        <v>0</v>
      </c>
      <c r="F11809" t="s">
        <v>7</v>
      </c>
      <c r="G11809" t="s">
        <v>11</v>
      </c>
      <c r="H11809" s="5">
        <f>MONTH(Tabela1[[#This Row],[data]])</f>
        <v>5</v>
      </c>
      <c r="I11809">
        <f>YEAR(Tabela1[[#This Row],[data]])</f>
        <v>2026</v>
      </c>
    </row>
    <row r="11810" spans="1:9" x14ac:dyDescent="0.25">
      <c r="A11810" t="s">
        <v>6</v>
      </c>
      <c r="B11810" s="1">
        <v>46150</v>
      </c>
      <c r="C11810">
        <v>1</v>
      </c>
      <c r="D11810">
        <v>271.74</v>
      </c>
      <c r="E11810">
        <v>0</v>
      </c>
      <c r="F11810" t="s">
        <v>7</v>
      </c>
      <c r="G11810" t="s">
        <v>11</v>
      </c>
      <c r="H11810" s="5">
        <f>MONTH(Tabela1[[#This Row],[data]])</f>
        <v>5</v>
      </c>
      <c r="I11810">
        <f>YEAR(Tabela1[[#This Row],[data]])</f>
        <v>2026</v>
      </c>
    </row>
    <row r="11811" spans="1:9" x14ac:dyDescent="0.25">
      <c r="A11811" t="s">
        <v>6</v>
      </c>
      <c r="B11811" s="1">
        <v>46150</v>
      </c>
      <c r="C11811">
        <v>2</v>
      </c>
      <c r="D11811">
        <v>244.86</v>
      </c>
      <c r="E11811">
        <v>0</v>
      </c>
      <c r="F11811" t="s">
        <v>7</v>
      </c>
      <c r="G11811" t="s">
        <v>11</v>
      </c>
      <c r="H11811" s="5">
        <f>MONTH(Tabela1[[#This Row],[data]])</f>
        <v>5</v>
      </c>
      <c r="I11811">
        <f>YEAR(Tabela1[[#This Row],[data]])</f>
        <v>2026</v>
      </c>
    </row>
    <row r="11812" spans="1:9" x14ac:dyDescent="0.25">
      <c r="A11812" t="s">
        <v>6</v>
      </c>
      <c r="B11812" s="1">
        <v>46150</v>
      </c>
      <c r="C11812">
        <v>3</v>
      </c>
      <c r="D11812">
        <v>240.66</v>
      </c>
      <c r="E11812">
        <v>0</v>
      </c>
      <c r="F11812" t="s">
        <v>7</v>
      </c>
      <c r="G11812" t="s">
        <v>11</v>
      </c>
      <c r="H11812" s="5">
        <f>MONTH(Tabela1[[#This Row],[data]])</f>
        <v>5</v>
      </c>
      <c r="I11812">
        <f>YEAR(Tabela1[[#This Row],[data]])</f>
        <v>2026</v>
      </c>
    </row>
    <row r="11813" spans="1:9" x14ac:dyDescent="0.25">
      <c r="A11813" t="s">
        <v>6</v>
      </c>
      <c r="B11813" s="1">
        <v>46150</v>
      </c>
      <c r="C11813">
        <v>4</v>
      </c>
      <c r="D11813">
        <v>239.82</v>
      </c>
      <c r="E11813">
        <v>0</v>
      </c>
      <c r="F11813" t="s">
        <v>7</v>
      </c>
      <c r="G11813" t="s">
        <v>11</v>
      </c>
      <c r="H11813" s="5">
        <f>MONTH(Tabela1[[#This Row],[data]])</f>
        <v>5</v>
      </c>
      <c r="I11813">
        <f>YEAR(Tabela1[[#This Row],[data]])</f>
        <v>2026</v>
      </c>
    </row>
    <row r="11814" spans="1:9" x14ac:dyDescent="0.25">
      <c r="A11814" t="s">
        <v>6</v>
      </c>
      <c r="B11814" s="1">
        <v>46150</v>
      </c>
      <c r="C11814">
        <v>5</v>
      </c>
      <c r="D11814">
        <v>244.86</v>
      </c>
      <c r="E11814">
        <v>0</v>
      </c>
      <c r="F11814" t="s">
        <v>7</v>
      </c>
      <c r="G11814" t="s">
        <v>11</v>
      </c>
      <c r="H11814" s="5">
        <f>MONTH(Tabela1[[#This Row],[data]])</f>
        <v>5</v>
      </c>
      <c r="I11814">
        <f>YEAR(Tabela1[[#This Row],[data]])</f>
        <v>2026</v>
      </c>
    </row>
    <row r="11815" spans="1:9" x14ac:dyDescent="0.25">
      <c r="A11815" t="s">
        <v>6</v>
      </c>
      <c r="B11815" s="1">
        <v>46150</v>
      </c>
      <c r="C11815">
        <v>6</v>
      </c>
      <c r="D11815">
        <v>235.62</v>
      </c>
      <c r="E11815">
        <v>0</v>
      </c>
      <c r="F11815" t="s">
        <v>7</v>
      </c>
      <c r="G11815" t="s">
        <v>11</v>
      </c>
      <c r="H11815" s="5">
        <f>MONTH(Tabela1[[#This Row],[data]])</f>
        <v>5</v>
      </c>
      <c r="I11815">
        <f>YEAR(Tabela1[[#This Row],[data]])</f>
        <v>2026</v>
      </c>
    </row>
    <row r="11816" spans="1:9" x14ac:dyDescent="0.25">
      <c r="A11816" t="s">
        <v>6</v>
      </c>
      <c r="B11816" s="1">
        <v>46150</v>
      </c>
      <c r="C11816">
        <v>7</v>
      </c>
      <c r="D11816">
        <v>233.94</v>
      </c>
      <c r="E11816">
        <v>0</v>
      </c>
      <c r="F11816" t="s">
        <v>7</v>
      </c>
      <c r="G11816" t="s">
        <v>11</v>
      </c>
      <c r="H11816" s="5">
        <f>MONTH(Tabela1[[#This Row],[data]])</f>
        <v>5</v>
      </c>
      <c r="I11816">
        <f>YEAR(Tabela1[[#This Row],[data]])</f>
        <v>2026</v>
      </c>
    </row>
    <row r="11817" spans="1:9" x14ac:dyDescent="0.25">
      <c r="A11817" t="s">
        <v>6</v>
      </c>
      <c r="B11817" s="1">
        <v>46150</v>
      </c>
      <c r="C11817">
        <v>8</v>
      </c>
      <c r="D11817">
        <v>237.3</v>
      </c>
      <c r="E11817">
        <v>0</v>
      </c>
      <c r="F11817" t="s">
        <v>7</v>
      </c>
      <c r="G11817" t="s">
        <v>11</v>
      </c>
      <c r="H11817" s="5">
        <f>MONTH(Tabela1[[#This Row],[data]])</f>
        <v>5</v>
      </c>
      <c r="I11817">
        <f>YEAR(Tabela1[[#This Row],[data]])</f>
        <v>2026</v>
      </c>
    </row>
    <row r="11818" spans="1:9" x14ac:dyDescent="0.25">
      <c r="A11818" t="s">
        <v>6</v>
      </c>
      <c r="B11818" s="1">
        <v>46150</v>
      </c>
      <c r="C11818">
        <v>9</v>
      </c>
      <c r="D11818">
        <v>351.12</v>
      </c>
      <c r="E11818">
        <v>4.2</v>
      </c>
      <c r="F11818" t="s">
        <v>7</v>
      </c>
      <c r="G11818" t="s">
        <v>11</v>
      </c>
      <c r="H11818" s="5">
        <f>MONTH(Tabela1[[#This Row],[data]])</f>
        <v>5</v>
      </c>
      <c r="I11818">
        <f>YEAR(Tabela1[[#This Row],[data]])</f>
        <v>2026</v>
      </c>
    </row>
    <row r="11819" spans="1:9" x14ac:dyDescent="0.25">
      <c r="A11819" t="s">
        <v>6</v>
      </c>
      <c r="B11819" s="1">
        <v>46150</v>
      </c>
      <c r="C11819">
        <v>10</v>
      </c>
      <c r="D11819">
        <v>451.08</v>
      </c>
      <c r="E11819">
        <v>30.66</v>
      </c>
      <c r="F11819" t="s">
        <v>7</v>
      </c>
      <c r="G11819" t="s">
        <v>11</v>
      </c>
      <c r="H11819" s="5">
        <f>MONTH(Tabela1[[#This Row],[data]])</f>
        <v>5</v>
      </c>
      <c r="I11819">
        <f>YEAR(Tabela1[[#This Row],[data]])</f>
        <v>2026</v>
      </c>
    </row>
    <row r="11820" spans="1:9" x14ac:dyDescent="0.25">
      <c r="A11820" t="s">
        <v>6</v>
      </c>
      <c r="B11820" s="1">
        <v>46150</v>
      </c>
      <c r="C11820">
        <v>11</v>
      </c>
      <c r="D11820">
        <v>570.36</v>
      </c>
      <c r="E11820">
        <v>77.28</v>
      </c>
      <c r="F11820" t="s">
        <v>7</v>
      </c>
      <c r="G11820" t="s">
        <v>11</v>
      </c>
      <c r="H11820" s="5">
        <f>MONTH(Tabela1[[#This Row],[data]])</f>
        <v>5</v>
      </c>
      <c r="I11820">
        <f>YEAR(Tabela1[[#This Row],[data]])</f>
        <v>2026</v>
      </c>
    </row>
    <row r="11821" spans="1:9" x14ac:dyDescent="0.25">
      <c r="A11821" t="s">
        <v>6</v>
      </c>
      <c r="B11821" s="1">
        <v>46150</v>
      </c>
      <c r="C11821">
        <v>12</v>
      </c>
      <c r="D11821">
        <v>811.44</v>
      </c>
      <c r="E11821">
        <v>195.72</v>
      </c>
      <c r="F11821" t="s">
        <v>7</v>
      </c>
      <c r="G11821" t="s">
        <v>11</v>
      </c>
      <c r="H11821" s="5">
        <f>MONTH(Tabela1[[#This Row],[data]])</f>
        <v>5</v>
      </c>
      <c r="I11821">
        <f>YEAR(Tabela1[[#This Row],[data]])</f>
        <v>2026</v>
      </c>
    </row>
    <row r="11822" spans="1:9" x14ac:dyDescent="0.25">
      <c r="A11822" t="s">
        <v>6</v>
      </c>
      <c r="B11822" s="1">
        <v>46150</v>
      </c>
      <c r="C11822">
        <v>13</v>
      </c>
      <c r="D11822">
        <v>855.54</v>
      </c>
      <c r="E11822">
        <v>202.86</v>
      </c>
      <c r="F11822" t="s">
        <v>7</v>
      </c>
      <c r="G11822" t="s">
        <v>11</v>
      </c>
      <c r="H11822" s="5">
        <f>MONTH(Tabela1[[#This Row],[data]])</f>
        <v>5</v>
      </c>
      <c r="I11822">
        <f>YEAR(Tabela1[[#This Row],[data]])</f>
        <v>2026</v>
      </c>
    </row>
    <row r="11823" spans="1:9" x14ac:dyDescent="0.25">
      <c r="A11823" t="s">
        <v>6</v>
      </c>
      <c r="B11823" s="1">
        <v>46150</v>
      </c>
      <c r="C11823">
        <v>14</v>
      </c>
      <c r="D11823">
        <v>864.78</v>
      </c>
      <c r="E11823">
        <v>197.82</v>
      </c>
      <c r="F11823" t="s">
        <v>7</v>
      </c>
      <c r="G11823" t="s">
        <v>11</v>
      </c>
      <c r="H11823" s="5">
        <f>MONTH(Tabela1[[#This Row],[data]])</f>
        <v>5</v>
      </c>
      <c r="I11823">
        <f>YEAR(Tabela1[[#This Row],[data]])</f>
        <v>2026</v>
      </c>
    </row>
    <row r="11824" spans="1:9" x14ac:dyDescent="0.25">
      <c r="A11824" t="s">
        <v>6</v>
      </c>
      <c r="B11824" s="1">
        <v>46150</v>
      </c>
      <c r="C11824">
        <v>15</v>
      </c>
      <c r="D11824">
        <v>866.46</v>
      </c>
      <c r="E11824">
        <v>224.28</v>
      </c>
      <c r="F11824" t="s">
        <v>7</v>
      </c>
      <c r="G11824" t="s">
        <v>11</v>
      </c>
      <c r="H11824" s="5">
        <f>MONTH(Tabela1[[#This Row],[data]])</f>
        <v>5</v>
      </c>
      <c r="I11824">
        <f>YEAR(Tabela1[[#This Row],[data]])</f>
        <v>2026</v>
      </c>
    </row>
    <row r="11825" spans="1:9" x14ac:dyDescent="0.25">
      <c r="A11825" t="s">
        <v>6</v>
      </c>
      <c r="B11825" s="1">
        <v>46150</v>
      </c>
      <c r="C11825">
        <v>16</v>
      </c>
      <c r="D11825">
        <v>851.34</v>
      </c>
      <c r="E11825">
        <v>198.66</v>
      </c>
      <c r="F11825" t="s">
        <v>7</v>
      </c>
      <c r="G11825" t="s">
        <v>11</v>
      </c>
      <c r="H11825" s="5">
        <f>MONTH(Tabela1[[#This Row],[data]])</f>
        <v>5</v>
      </c>
      <c r="I11825">
        <f>YEAR(Tabela1[[#This Row],[data]])</f>
        <v>2026</v>
      </c>
    </row>
    <row r="11826" spans="1:9" x14ac:dyDescent="0.25">
      <c r="A11826" t="s">
        <v>6</v>
      </c>
      <c r="B11826" s="1">
        <v>46150</v>
      </c>
      <c r="C11826">
        <v>17</v>
      </c>
      <c r="D11826">
        <v>900.06</v>
      </c>
      <c r="E11826">
        <v>219.66</v>
      </c>
      <c r="F11826" t="s">
        <v>7</v>
      </c>
      <c r="G11826" t="s">
        <v>11</v>
      </c>
      <c r="H11826" s="5">
        <f>MONTH(Tabela1[[#This Row],[data]])</f>
        <v>5</v>
      </c>
      <c r="I11826">
        <f>YEAR(Tabela1[[#This Row],[data]])</f>
        <v>2026</v>
      </c>
    </row>
    <row r="11827" spans="1:9" x14ac:dyDescent="0.25">
      <c r="A11827" t="s">
        <v>6</v>
      </c>
      <c r="B11827" s="1">
        <v>46150</v>
      </c>
      <c r="C11827">
        <v>18</v>
      </c>
      <c r="D11827" s="2">
        <v>1026.48</v>
      </c>
      <c r="E11827">
        <v>281.39999999999998</v>
      </c>
      <c r="F11827" t="s">
        <v>7</v>
      </c>
      <c r="G11827" t="s">
        <v>11</v>
      </c>
      <c r="H11827" s="5">
        <f>MONTH(Tabela1[[#This Row],[data]])</f>
        <v>5</v>
      </c>
      <c r="I11827">
        <f>YEAR(Tabela1[[#This Row],[data]])</f>
        <v>2026</v>
      </c>
    </row>
    <row r="11828" spans="1:9" x14ac:dyDescent="0.25">
      <c r="A11828" t="s">
        <v>6</v>
      </c>
      <c r="B11828" s="1">
        <v>46150</v>
      </c>
      <c r="C11828">
        <v>19</v>
      </c>
      <c r="D11828">
        <v>756</v>
      </c>
      <c r="E11828">
        <v>133.56</v>
      </c>
      <c r="F11828" t="s">
        <v>7</v>
      </c>
      <c r="G11828" t="s">
        <v>11</v>
      </c>
      <c r="H11828" s="5">
        <f>MONTH(Tabela1[[#This Row],[data]])</f>
        <v>5</v>
      </c>
      <c r="I11828">
        <f>YEAR(Tabela1[[#This Row],[data]])</f>
        <v>2026</v>
      </c>
    </row>
    <row r="11829" spans="1:9" x14ac:dyDescent="0.25">
      <c r="A11829" t="s">
        <v>6</v>
      </c>
      <c r="B11829" s="1">
        <v>46150</v>
      </c>
      <c r="C11829">
        <v>20</v>
      </c>
      <c r="D11829">
        <v>653.1</v>
      </c>
      <c r="E11829">
        <v>97.44</v>
      </c>
      <c r="F11829" t="s">
        <v>7</v>
      </c>
      <c r="G11829" t="s">
        <v>11</v>
      </c>
      <c r="H11829" s="5">
        <f>MONTH(Tabela1[[#This Row],[data]])</f>
        <v>5</v>
      </c>
      <c r="I11829">
        <f>YEAR(Tabela1[[#This Row],[data]])</f>
        <v>2026</v>
      </c>
    </row>
    <row r="11830" spans="1:9" x14ac:dyDescent="0.25">
      <c r="A11830" t="s">
        <v>6</v>
      </c>
      <c r="B11830" s="1">
        <v>46150</v>
      </c>
      <c r="C11830">
        <v>21</v>
      </c>
      <c r="D11830">
        <v>665.7</v>
      </c>
      <c r="E11830">
        <v>93.66</v>
      </c>
      <c r="F11830" t="s">
        <v>7</v>
      </c>
      <c r="G11830" t="s">
        <v>11</v>
      </c>
      <c r="H11830" s="5">
        <f>MONTH(Tabela1[[#This Row],[data]])</f>
        <v>5</v>
      </c>
      <c r="I11830">
        <f>YEAR(Tabela1[[#This Row],[data]])</f>
        <v>2026</v>
      </c>
    </row>
    <row r="11831" spans="1:9" x14ac:dyDescent="0.25">
      <c r="A11831" t="s">
        <v>6</v>
      </c>
      <c r="B11831" s="1">
        <v>46150</v>
      </c>
      <c r="C11831">
        <v>22</v>
      </c>
      <c r="D11831">
        <v>658.98</v>
      </c>
      <c r="E11831">
        <v>75.180000000000007</v>
      </c>
      <c r="F11831" t="s">
        <v>7</v>
      </c>
      <c r="G11831" t="s">
        <v>11</v>
      </c>
      <c r="H11831" s="5">
        <f>MONTH(Tabela1[[#This Row],[data]])</f>
        <v>5</v>
      </c>
      <c r="I11831">
        <f>YEAR(Tabela1[[#This Row],[data]])</f>
        <v>2026</v>
      </c>
    </row>
    <row r="11832" spans="1:9" x14ac:dyDescent="0.25">
      <c r="A11832" t="s">
        <v>6</v>
      </c>
      <c r="B11832" s="1">
        <v>46150</v>
      </c>
      <c r="C11832">
        <v>23</v>
      </c>
      <c r="D11832">
        <v>455.28</v>
      </c>
      <c r="E11832">
        <v>8.82</v>
      </c>
      <c r="F11832" t="s">
        <v>7</v>
      </c>
      <c r="G11832" t="s">
        <v>11</v>
      </c>
      <c r="H11832" s="5">
        <f>MONTH(Tabela1[[#This Row],[data]])</f>
        <v>5</v>
      </c>
      <c r="I11832">
        <f>YEAR(Tabela1[[#This Row],[data]])</f>
        <v>2026</v>
      </c>
    </row>
    <row r="11833" spans="1:9" x14ac:dyDescent="0.25">
      <c r="A11833" t="s">
        <v>6</v>
      </c>
      <c r="B11833" s="1">
        <v>46150</v>
      </c>
      <c r="C11833">
        <v>24</v>
      </c>
      <c r="D11833">
        <v>318.77999999999997</v>
      </c>
      <c r="E11833">
        <v>0</v>
      </c>
      <c r="F11833" t="s">
        <v>7</v>
      </c>
      <c r="G11833" t="s">
        <v>11</v>
      </c>
      <c r="H11833" s="5">
        <f>MONTH(Tabela1[[#This Row],[data]])</f>
        <v>5</v>
      </c>
      <c r="I11833">
        <f>YEAR(Tabela1[[#This Row],[data]])</f>
        <v>2026</v>
      </c>
    </row>
    <row r="11834" spans="1:9" x14ac:dyDescent="0.25">
      <c r="A11834" t="s">
        <v>6</v>
      </c>
      <c r="B11834" s="1">
        <v>46151</v>
      </c>
      <c r="C11834">
        <v>1</v>
      </c>
      <c r="D11834">
        <v>277.62</v>
      </c>
      <c r="E11834">
        <v>0</v>
      </c>
      <c r="F11834" t="s">
        <v>7</v>
      </c>
      <c r="G11834" t="s">
        <v>11</v>
      </c>
      <c r="H11834" s="5">
        <f>MONTH(Tabela1[[#This Row],[data]])</f>
        <v>5</v>
      </c>
      <c r="I11834">
        <f>YEAR(Tabela1[[#This Row],[data]])</f>
        <v>2026</v>
      </c>
    </row>
    <row r="11835" spans="1:9" x14ac:dyDescent="0.25">
      <c r="A11835" t="s">
        <v>6</v>
      </c>
      <c r="B11835" s="1">
        <v>46151</v>
      </c>
      <c r="C11835">
        <v>2</v>
      </c>
      <c r="D11835">
        <v>252.84</v>
      </c>
      <c r="E11835">
        <v>0</v>
      </c>
      <c r="F11835" t="s">
        <v>7</v>
      </c>
      <c r="G11835" t="s">
        <v>11</v>
      </c>
      <c r="H11835" s="5">
        <f>MONTH(Tabela1[[#This Row],[data]])</f>
        <v>5</v>
      </c>
      <c r="I11835">
        <f>YEAR(Tabela1[[#This Row],[data]])</f>
        <v>2026</v>
      </c>
    </row>
    <row r="11836" spans="1:9" x14ac:dyDescent="0.25">
      <c r="A11836" t="s">
        <v>6</v>
      </c>
      <c r="B11836" s="1">
        <v>46151</v>
      </c>
      <c r="C11836">
        <v>3</v>
      </c>
      <c r="D11836">
        <v>250.74</v>
      </c>
      <c r="E11836">
        <v>0</v>
      </c>
      <c r="F11836" t="s">
        <v>7</v>
      </c>
      <c r="G11836" t="s">
        <v>11</v>
      </c>
      <c r="H11836" s="5">
        <f>MONTH(Tabela1[[#This Row],[data]])</f>
        <v>5</v>
      </c>
      <c r="I11836">
        <f>YEAR(Tabela1[[#This Row],[data]])</f>
        <v>2026</v>
      </c>
    </row>
    <row r="11837" spans="1:9" x14ac:dyDescent="0.25">
      <c r="A11837" t="s">
        <v>6</v>
      </c>
      <c r="B11837" s="1">
        <v>46151</v>
      </c>
      <c r="C11837">
        <v>4</v>
      </c>
      <c r="D11837">
        <v>249.9</v>
      </c>
      <c r="E11837">
        <v>0</v>
      </c>
      <c r="F11837" t="s">
        <v>7</v>
      </c>
      <c r="G11837" t="s">
        <v>11</v>
      </c>
      <c r="H11837" s="5">
        <f>MONTH(Tabela1[[#This Row],[data]])</f>
        <v>5</v>
      </c>
      <c r="I11837">
        <f>YEAR(Tabela1[[#This Row],[data]])</f>
        <v>2026</v>
      </c>
    </row>
    <row r="11838" spans="1:9" x14ac:dyDescent="0.25">
      <c r="A11838" t="s">
        <v>6</v>
      </c>
      <c r="B11838" s="1">
        <v>46151</v>
      </c>
      <c r="C11838">
        <v>5</v>
      </c>
      <c r="D11838">
        <v>256.2</v>
      </c>
      <c r="E11838">
        <v>0</v>
      </c>
      <c r="F11838" t="s">
        <v>7</v>
      </c>
      <c r="G11838" t="s">
        <v>11</v>
      </c>
      <c r="H11838" s="5">
        <f>MONTH(Tabela1[[#This Row],[data]])</f>
        <v>5</v>
      </c>
      <c r="I11838">
        <f>YEAR(Tabela1[[#This Row],[data]])</f>
        <v>2026</v>
      </c>
    </row>
    <row r="11839" spans="1:9" x14ac:dyDescent="0.25">
      <c r="A11839" t="s">
        <v>6</v>
      </c>
      <c r="B11839" s="1">
        <v>46151</v>
      </c>
      <c r="C11839">
        <v>6</v>
      </c>
      <c r="D11839">
        <v>252.42</v>
      </c>
      <c r="E11839">
        <v>0</v>
      </c>
      <c r="F11839" t="s">
        <v>7</v>
      </c>
      <c r="G11839" t="s">
        <v>11</v>
      </c>
      <c r="H11839" s="5">
        <f>MONTH(Tabela1[[#This Row],[data]])</f>
        <v>5</v>
      </c>
      <c r="I11839">
        <f>YEAR(Tabela1[[#This Row],[data]])</f>
        <v>2026</v>
      </c>
    </row>
    <row r="11840" spans="1:9" x14ac:dyDescent="0.25">
      <c r="A11840" t="s">
        <v>6</v>
      </c>
      <c r="B11840" s="1">
        <v>46151</v>
      </c>
      <c r="C11840">
        <v>7</v>
      </c>
      <c r="D11840">
        <v>234.78</v>
      </c>
      <c r="E11840">
        <v>0</v>
      </c>
      <c r="F11840" t="s">
        <v>7</v>
      </c>
      <c r="G11840" t="s">
        <v>11</v>
      </c>
      <c r="H11840" s="5">
        <f>MONTH(Tabela1[[#This Row],[data]])</f>
        <v>5</v>
      </c>
      <c r="I11840">
        <f>YEAR(Tabela1[[#This Row],[data]])</f>
        <v>2026</v>
      </c>
    </row>
    <row r="11841" spans="1:9" x14ac:dyDescent="0.25">
      <c r="A11841" t="s">
        <v>6</v>
      </c>
      <c r="B11841" s="1">
        <v>46151</v>
      </c>
      <c r="C11841">
        <v>8</v>
      </c>
      <c r="D11841">
        <v>250.74</v>
      </c>
      <c r="E11841">
        <v>0</v>
      </c>
      <c r="F11841" t="s">
        <v>7</v>
      </c>
      <c r="G11841" t="s">
        <v>11</v>
      </c>
      <c r="H11841" s="5">
        <f>MONTH(Tabela1[[#This Row],[data]])</f>
        <v>5</v>
      </c>
      <c r="I11841">
        <f>YEAR(Tabela1[[#This Row],[data]])</f>
        <v>2026</v>
      </c>
    </row>
    <row r="11842" spans="1:9" x14ac:dyDescent="0.25">
      <c r="A11842" t="s">
        <v>6</v>
      </c>
      <c r="B11842" s="1">
        <v>46151</v>
      </c>
      <c r="C11842">
        <v>9</v>
      </c>
      <c r="D11842">
        <v>364.56</v>
      </c>
      <c r="E11842">
        <v>0</v>
      </c>
      <c r="F11842" t="s">
        <v>7</v>
      </c>
      <c r="G11842" t="s">
        <v>11</v>
      </c>
      <c r="H11842" s="5">
        <f>MONTH(Tabela1[[#This Row],[data]])</f>
        <v>5</v>
      </c>
      <c r="I11842">
        <f>YEAR(Tabela1[[#This Row],[data]])</f>
        <v>2026</v>
      </c>
    </row>
    <row r="11843" spans="1:9" x14ac:dyDescent="0.25">
      <c r="A11843" t="s">
        <v>6</v>
      </c>
      <c r="B11843" s="1">
        <v>46151</v>
      </c>
      <c r="C11843">
        <v>10</v>
      </c>
      <c r="D11843">
        <v>450.66</v>
      </c>
      <c r="E11843">
        <v>16.38</v>
      </c>
      <c r="F11843" t="s">
        <v>7</v>
      </c>
      <c r="G11843" t="s">
        <v>11</v>
      </c>
      <c r="H11843" s="5">
        <f>MONTH(Tabela1[[#This Row],[data]])</f>
        <v>5</v>
      </c>
      <c r="I11843">
        <f>YEAR(Tabela1[[#This Row],[data]])</f>
        <v>2026</v>
      </c>
    </row>
    <row r="11844" spans="1:9" x14ac:dyDescent="0.25">
      <c r="A11844" t="s">
        <v>6</v>
      </c>
      <c r="B11844" s="1">
        <v>46151</v>
      </c>
      <c r="C11844">
        <v>11</v>
      </c>
      <c r="D11844">
        <v>855.12</v>
      </c>
      <c r="E11844">
        <v>183.12</v>
      </c>
      <c r="F11844" t="s">
        <v>7</v>
      </c>
      <c r="G11844" t="s">
        <v>11</v>
      </c>
      <c r="H11844" s="5">
        <f>MONTH(Tabela1[[#This Row],[data]])</f>
        <v>5</v>
      </c>
      <c r="I11844">
        <f>YEAR(Tabela1[[#This Row],[data]])</f>
        <v>2026</v>
      </c>
    </row>
    <row r="11845" spans="1:9" x14ac:dyDescent="0.25">
      <c r="A11845" t="s">
        <v>6</v>
      </c>
      <c r="B11845" s="1">
        <v>46151</v>
      </c>
      <c r="C11845">
        <v>12</v>
      </c>
      <c r="D11845" s="2">
        <v>1027.32</v>
      </c>
      <c r="E11845">
        <v>243.18</v>
      </c>
      <c r="F11845" t="s">
        <v>7</v>
      </c>
      <c r="G11845" t="s">
        <v>11</v>
      </c>
      <c r="H11845" s="5">
        <f>MONTH(Tabela1[[#This Row],[data]])</f>
        <v>5</v>
      </c>
      <c r="I11845">
        <f>YEAR(Tabela1[[#This Row],[data]])</f>
        <v>2026</v>
      </c>
    </row>
    <row r="11846" spans="1:9" x14ac:dyDescent="0.25">
      <c r="A11846" t="s">
        <v>6</v>
      </c>
      <c r="B11846" s="1">
        <v>46151</v>
      </c>
      <c r="C11846">
        <v>13</v>
      </c>
      <c r="D11846" s="2">
        <v>1043.7</v>
      </c>
      <c r="E11846">
        <v>261.66000000000003</v>
      </c>
      <c r="F11846" t="s">
        <v>7</v>
      </c>
      <c r="G11846" t="s">
        <v>11</v>
      </c>
      <c r="H11846" s="5">
        <f>MONTH(Tabela1[[#This Row],[data]])</f>
        <v>5</v>
      </c>
      <c r="I11846">
        <f>YEAR(Tabela1[[#This Row],[data]])</f>
        <v>2026</v>
      </c>
    </row>
    <row r="11847" spans="1:9" x14ac:dyDescent="0.25">
      <c r="A11847" t="s">
        <v>6</v>
      </c>
      <c r="B11847" s="1">
        <v>46151</v>
      </c>
      <c r="C11847">
        <v>14</v>
      </c>
      <c r="D11847" s="2">
        <v>1039.92</v>
      </c>
      <c r="E11847">
        <v>247.38</v>
      </c>
      <c r="F11847" t="s">
        <v>7</v>
      </c>
      <c r="G11847" t="s">
        <v>11</v>
      </c>
      <c r="H11847" s="5">
        <f>MONTH(Tabela1[[#This Row],[data]])</f>
        <v>5</v>
      </c>
      <c r="I11847">
        <f>YEAR(Tabela1[[#This Row],[data]])</f>
        <v>2026</v>
      </c>
    </row>
    <row r="11848" spans="1:9" x14ac:dyDescent="0.25">
      <c r="A11848" t="s">
        <v>6</v>
      </c>
      <c r="B11848" s="1">
        <v>46151</v>
      </c>
      <c r="C11848">
        <v>15</v>
      </c>
      <c r="D11848" s="2">
        <v>1021.02</v>
      </c>
      <c r="E11848">
        <v>240.66</v>
      </c>
      <c r="F11848" t="s">
        <v>7</v>
      </c>
      <c r="G11848" t="s">
        <v>11</v>
      </c>
      <c r="H11848" s="5">
        <f>MONTH(Tabela1[[#This Row],[data]])</f>
        <v>5</v>
      </c>
      <c r="I11848">
        <f>YEAR(Tabela1[[#This Row],[data]])</f>
        <v>2026</v>
      </c>
    </row>
    <row r="11849" spans="1:9" x14ac:dyDescent="0.25">
      <c r="A11849" t="s">
        <v>6</v>
      </c>
      <c r="B11849" s="1">
        <v>46151</v>
      </c>
      <c r="C11849">
        <v>16</v>
      </c>
      <c r="D11849" s="2">
        <v>1031.94</v>
      </c>
      <c r="E11849">
        <v>248.64</v>
      </c>
      <c r="F11849" t="s">
        <v>7</v>
      </c>
      <c r="G11849" t="s">
        <v>11</v>
      </c>
      <c r="H11849" s="5">
        <f>MONTH(Tabela1[[#This Row],[data]])</f>
        <v>5</v>
      </c>
      <c r="I11849">
        <f>YEAR(Tabela1[[#This Row],[data]])</f>
        <v>2026</v>
      </c>
    </row>
    <row r="11850" spans="1:9" x14ac:dyDescent="0.25">
      <c r="A11850" t="s">
        <v>6</v>
      </c>
      <c r="B11850" s="1">
        <v>46151</v>
      </c>
      <c r="C11850">
        <v>17</v>
      </c>
      <c r="D11850" s="2">
        <v>1029.42</v>
      </c>
      <c r="E11850">
        <v>247.38</v>
      </c>
      <c r="F11850" t="s">
        <v>7</v>
      </c>
      <c r="G11850" t="s">
        <v>11</v>
      </c>
      <c r="H11850" s="5">
        <f>MONTH(Tabela1[[#This Row],[data]])</f>
        <v>5</v>
      </c>
      <c r="I11850">
        <f>YEAR(Tabela1[[#This Row],[data]])</f>
        <v>2026</v>
      </c>
    </row>
    <row r="11851" spans="1:9" x14ac:dyDescent="0.25">
      <c r="A11851" t="s">
        <v>6</v>
      </c>
      <c r="B11851" s="1">
        <v>46151</v>
      </c>
      <c r="C11851">
        <v>18</v>
      </c>
      <c r="D11851" s="2">
        <v>1012.62</v>
      </c>
      <c r="E11851">
        <v>232.68</v>
      </c>
      <c r="F11851" t="s">
        <v>7</v>
      </c>
      <c r="G11851" t="s">
        <v>11</v>
      </c>
      <c r="H11851" s="5">
        <f>MONTH(Tabela1[[#This Row],[data]])</f>
        <v>5</v>
      </c>
      <c r="I11851">
        <f>YEAR(Tabela1[[#This Row],[data]])</f>
        <v>2026</v>
      </c>
    </row>
    <row r="11852" spans="1:9" x14ac:dyDescent="0.25">
      <c r="A11852" t="s">
        <v>6</v>
      </c>
      <c r="B11852" s="1">
        <v>46151</v>
      </c>
      <c r="C11852">
        <v>19</v>
      </c>
      <c r="D11852" s="2">
        <v>1026.9000000000001</v>
      </c>
      <c r="E11852">
        <v>220.92</v>
      </c>
      <c r="F11852" t="s">
        <v>7</v>
      </c>
      <c r="G11852" t="s">
        <v>11</v>
      </c>
      <c r="H11852" s="5">
        <f>MONTH(Tabela1[[#This Row],[data]])</f>
        <v>5</v>
      </c>
      <c r="I11852">
        <f>YEAR(Tabela1[[#This Row],[data]])</f>
        <v>2026</v>
      </c>
    </row>
    <row r="11853" spans="1:9" x14ac:dyDescent="0.25">
      <c r="A11853" t="s">
        <v>6</v>
      </c>
      <c r="B11853" s="1">
        <v>46151</v>
      </c>
      <c r="C11853">
        <v>20</v>
      </c>
      <c r="D11853" s="2">
        <v>1034.46</v>
      </c>
      <c r="E11853">
        <v>242.76</v>
      </c>
      <c r="F11853" t="s">
        <v>7</v>
      </c>
      <c r="G11853" t="s">
        <v>11</v>
      </c>
      <c r="H11853" s="5">
        <f>MONTH(Tabela1[[#This Row],[data]])</f>
        <v>5</v>
      </c>
      <c r="I11853">
        <f>YEAR(Tabela1[[#This Row],[data]])</f>
        <v>2026</v>
      </c>
    </row>
    <row r="11854" spans="1:9" x14ac:dyDescent="0.25">
      <c r="A11854" t="s">
        <v>6</v>
      </c>
      <c r="B11854" s="1">
        <v>46151</v>
      </c>
      <c r="C11854">
        <v>21</v>
      </c>
      <c r="D11854">
        <v>763.14</v>
      </c>
      <c r="E11854">
        <v>132.30000000000001</v>
      </c>
      <c r="F11854" t="s">
        <v>7</v>
      </c>
      <c r="G11854" t="s">
        <v>11</v>
      </c>
      <c r="H11854" s="5">
        <f>MONTH(Tabela1[[#This Row],[data]])</f>
        <v>5</v>
      </c>
      <c r="I11854">
        <f>YEAR(Tabela1[[#This Row],[data]])</f>
        <v>2026</v>
      </c>
    </row>
    <row r="11855" spans="1:9" x14ac:dyDescent="0.25">
      <c r="A11855" t="s">
        <v>6</v>
      </c>
      <c r="B11855" s="1">
        <v>46151</v>
      </c>
      <c r="C11855">
        <v>22</v>
      </c>
      <c r="D11855">
        <v>672.84</v>
      </c>
      <c r="E11855">
        <v>80.64</v>
      </c>
      <c r="F11855" t="s">
        <v>7</v>
      </c>
      <c r="G11855" t="s">
        <v>11</v>
      </c>
      <c r="H11855" s="5">
        <f>MONTH(Tabela1[[#This Row],[data]])</f>
        <v>5</v>
      </c>
      <c r="I11855">
        <f>YEAR(Tabela1[[#This Row],[data]])</f>
        <v>2026</v>
      </c>
    </row>
    <row r="11856" spans="1:9" x14ac:dyDescent="0.25">
      <c r="A11856" t="s">
        <v>6</v>
      </c>
      <c r="B11856" s="1">
        <v>46151</v>
      </c>
      <c r="C11856">
        <v>23</v>
      </c>
      <c r="D11856">
        <v>476.7</v>
      </c>
      <c r="E11856">
        <v>4.62</v>
      </c>
      <c r="F11856" t="s">
        <v>7</v>
      </c>
      <c r="G11856" t="s">
        <v>11</v>
      </c>
      <c r="H11856" s="5">
        <f>MONTH(Tabela1[[#This Row],[data]])</f>
        <v>5</v>
      </c>
      <c r="I11856">
        <f>YEAR(Tabela1[[#This Row],[data]])</f>
        <v>2026</v>
      </c>
    </row>
    <row r="11857" spans="1:9" x14ac:dyDescent="0.25">
      <c r="A11857" t="s">
        <v>6</v>
      </c>
      <c r="B11857" s="1">
        <v>46151</v>
      </c>
      <c r="C11857">
        <v>24</v>
      </c>
      <c r="D11857">
        <v>321.72000000000003</v>
      </c>
      <c r="E11857">
        <v>0</v>
      </c>
      <c r="F11857" t="s">
        <v>7</v>
      </c>
      <c r="G11857" t="s">
        <v>11</v>
      </c>
      <c r="H11857" s="5">
        <f>MONTH(Tabela1[[#This Row],[data]])</f>
        <v>5</v>
      </c>
      <c r="I11857">
        <f>YEAR(Tabela1[[#This Row],[data]])</f>
        <v>2026</v>
      </c>
    </row>
    <row r="11858" spans="1:9" x14ac:dyDescent="0.25">
      <c r="A11858" t="s">
        <v>6</v>
      </c>
      <c r="B11858" s="1">
        <v>46152</v>
      </c>
      <c r="C11858">
        <v>1</v>
      </c>
      <c r="D11858">
        <v>279.72000000000003</v>
      </c>
      <c r="E11858">
        <v>0</v>
      </c>
      <c r="F11858" t="s">
        <v>7</v>
      </c>
      <c r="G11858" t="s">
        <v>11</v>
      </c>
      <c r="H11858" s="5">
        <f>MONTH(Tabela1[[#This Row],[data]])</f>
        <v>5</v>
      </c>
      <c r="I11858">
        <f>YEAR(Tabela1[[#This Row],[data]])</f>
        <v>2026</v>
      </c>
    </row>
    <row r="11859" spans="1:9" x14ac:dyDescent="0.25">
      <c r="A11859" t="s">
        <v>6</v>
      </c>
      <c r="B11859" s="1">
        <v>46152</v>
      </c>
      <c r="C11859">
        <v>2</v>
      </c>
      <c r="D11859">
        <v>257.88</v>
      </c>
      <c r="E11859">
        <v>0</v>
      </c>
      <c r="F11859" t="s">
        <v>7</v>
      </c>
      <c r="G11859" t="s">
        <v>11</v>
      </c>
      <c r="H11859" s="5">
        <f>MONTH(Tabela1[[#This Row],[data]])</f>
        <v>5</v>
      </c>
      <c r="I11859">
        <f>YEAR(Tabela1[[#This Row],[data]])</f>
        <v>2026</v>
      </c>
    </row>
    <row r="11860" spans="1:9" x14ac:dyDescent="0.25">
      <c r="A11860" t="s">
        <v>6</v>
      </c>
      <c r="B11860" s="1">
        <v>46152</v>
      </c>
      <c r="C11860">
        <v>3</v>
      </c>
      <c r="D11860">
        <v>252.84</v>
      </c>
      <c r="E11860">
        <v>0</v>
      </c>
      <c r="F11860" t="s">
        <v>7</v>
      </c>
      <c r="G11860" t="s">
        <v>11</v>
      </c>
      <c r="H11860" s="5">
        <f>MONTH(Tabela1[[#This Row],[data]])</f>
        <v>5</v>
      </c>
      <c r="I11860">
        <f>YEAR(Tabela1[[#This Row],[data]])</f>
        <v>2026</v>
      </c>
    </row>
    <row r="11861" spans="1:9" x14ac:dyDescent="0.25">
      <c r="A11861" t="s">
        <v>6</v>
      </c>
      <c r="B11861" s="1">
        <v>46152</v>
      </c>
      <c r="C11861">
        <v>4</v>
      </c>
      <c r="D11861">
        <v>249.48</v>
      </c>
      <c r="E11861">
        <v>0</v>
      </c>
      <c r="F11861" t="s">
        <v>7</v>
      </c>
      <c r="G11861" t="s">
        <v>11</v>
      </c>
      <c r="H11861" s="5">
        <f>MONTH(Tabela1[[#This Row],[data]])</f>
        <v>5</v>
      </c>
      <c r="I11861">
        <f>YEAR(Tabela1[[#This Row],[data]])</f>
        <v>2026</v>
      </c>
    </row>
    <row r="11862" spans="1:9" x14ac:dyDescent="0.25">
      <c r="A11862" t="s">
        <v>6</v>
      </c>
      <c r="B11862" s="1">
        <v>46152</v>
      </c>
      <c r="C11862">
        <v>5</v>
      </c>
      <c r="D11862">
        <v>258.3</v>
      </c>
      <c r="E11862">
        <v>0</v>
      </c>
      <c r="F11862" t="s">
        <v>7</v>
      </c>
      <c r="G11862" t="s">
        <v>11</v>
      </c>
      <c r="H11862" s="5">
        <f>MONTH(Tabela1[[#This Row],[data]])</f>
        <v>5</v>
      </c>
      <c r="I11862">
        <f>YEAR(Tabela1[[#This Row],[data]])</f>
        <v>2026</v>
      </c>
    </row>
    <row r="11863" spans="1:9" x14ac:dyDescent="0.25">
      <c r="A11863" t="s">
        <v>6</v>
      </c>
      <c r="B11863" s="1">
        <v>46152</v>
      </c>
      <c r="C11863">
        <v>6</v>
      </c>
      <c r="D11863">
        <v>249.06</v>
      </c>
      <c r="E11863">
        <v>0</v>
      </c>
      <c r="F11863" t="s">
        <v>7</v>
      </c>
      <c r="G11863" t="s">
        <v>11</v>
      </c>
      <c r="H11863" s="5">
        <f>MONTH(Tabela1[[#This Row],[data]])</f>
        <v>5</v>
      </c>
      <c r="I11863">
        <f>YEAR(Tabela1[[#This Row],[data]])</f>
        <v>2026</v>
      </c>
    </row>
    <row r="11864" spans="1:9" x14ac:dyDescent="0.25">
      <c r="A11864" t="s">
        <v>6</v>
      </c>
      <c r="B11864" s="1">
        <v>46152</v>
      </c>
      <c r="C11864">
        <v>7</v>
      </c>
      <c r="D11864">
        <v>231.42</v>
      </c>
      <c r="E11864">
        <v>0</v>
      </c>
      <c r="F11864" t="s">
        <v>7</v>
      </c>
      <c r="G11864" t="s">
        <v>11</v>
      </c>
      <c r="H11864" s="5">
        <f>MONTH(Tabela1[[#This Row],[data]])</f>
        <v>5</v>
      </c>
      <c r="I11864">
        <f>YEAR(Tabela1[[#This Row],[data]])</f>
        <v>2026</v>
      </c>
    </row>
    <row r="11865" spans="1:9" x14ac:dyDescent="0.25">
      <c r="A11865" t="s">
        <v>6</v>
      </c>
      <c r="B11865" s="1">
        <v>46152</v>
      </c>
      <c r="C11865">
        <v>8</v>
      </c>
      <c r="D11865">
        <v>210.42</v>
      </c>
      <c r="E11865">
        <v>0</v>
      </c>
      <c r="F11865" t="s">
        <v>7</v>
      </c>
      <c r="G11865" t="s">
        <v>11</v>
      </c>
      <c r="H11865" s="5">
        <f>MONTH(Tabela1[[#This Row],[data]])</f>
        <v>5</v>
      </c>
      <c r="I11865">
        <f>YEAR(Tabela1[[#This Row],[data]])</f>
        <v>2026</v>
      </c>
    </row>
    <row r="11866" spans="1:9" x14ac:dyDescent="0.25">
      <c r="A11866" t="s">
        <v>6</v>
      </c>
      <c r="B11866" s="1">
        <v>46152</v>
      </c>
      <c r="C11866">
        <v>9</v>
      </c>
      <c r="D11866">
        <v>231.42</v>
      </c>
      <c r="E11866">
        <v>0</v>
      </c>
      <c r="F11866" t="s">
        <v>7</v>
      </c>
      <c r="G11866" t="s">
        <v>11</v>
      </c>
      <c r="H11866" s="5">
        <f>MONTH(Tabela1[[#This Row],[data]])</f>
        <v>5</v>
      </c>
      <c r="I11866">
        <f>YEAR(Tabela1[[#This Row],[data]])</f>
        <v>2026</v>
      </c>
    </row>
    <row r="11867" spans="1:9" x14ac:dyDescent="0.25">
      <c r="A11867" t="s">
        <v>6</v>
      </c>
      <c r="B11867" s="1">
        <v>46152</v>
      </c>
      <c r="C11867">
        <v>10</v>
      </c>
      <c r="D11867">
        <v>327.18</v>
      </c>
      <c r="E11867">
        <v>3.36</v>
      </c>
      <c r="F11867" t="s">
        <v>7</v>
      </c>
      <c r="G11867" t="s">
        <v>11</v>
      </c>
      <c r="H11867" s="5">
        <f>MONTH(Tabela1[[#This Row],[data]])</f>
        <v>5</v>
      </c>
      <c r="I11867">
        <f>YEAR(Tabela1[[#This Row],[data]])</f>
        <v>2026</v>
      </c>
    </row>
    <row r="11868" spans="1:9" x14ac:dyDescent="0.25">
      <c r="A11868" t="s">
        <v>6</v>
      </c>
      <c r="B11868" s="1">
        <v>46152</v>
      </c>
      <c r="C11868">
        <v>11</v>
      </c>
      <c r="D11868">
        <v>425.88</v>
      </c>
      <c r="E11868">
        <v>24.36</v>
      </c>
      <c r="F11868" t="s">
        <v>7</v>
      </c>
      <c r="G11868" t="s">
        <v>11</v>
      </c>
      <c r="H11868" s="5">
        <f>MONTH(Tabela1[[#This Row],[data]])</f>
        <v>5</v>
      </c>
      <c r="I11868">
        <f>YEAR(Tabela1[[#This Row],[data]])</f>
        <v>2026</v>
      </c>
    </row>
    <row r="11869" spans="1:9" x14ac:dyDescent="0.25">
      <c r="A11869" t="s">
        <v>6</v>
      </c>
      <c r="B11869" s="1">
        <v>46152</v>
      </c>
      <c r="C11869">
        <v>12</v>
      </c>
      <c r="D11869">
        <v>506.52</v>
      </c>
      <c r="E11869">
        <v>39.06</v>
      </c>
      <c r="F11869" t="s">
        <v>7</v>
      </c>
      <c r="G11869" t="s">
        <v>11</v>
      </c>
      <c r="H11869" s="5">
        <f>MONTH(Tabela1[[#This Row],[data]])</f>
        <v>5</v>
      </c>
      <c r="I11869">
        <f>YEAR(Tabela1[[#This Row],[data]])</f>
        <v>2026</v>
      </c>
    </row>
    <row r="11870" spans="1:9" x14ac:dyDescent="0.25">
      <c r="A11870" t="s">
        <v>6</v>
      </c>
      <c r="B11870" s="1">
        <v>46152</v>
      </c>
      <c r="C11870">
        <v>13</v>
      </c>
      <c r="D11870">
        <v>797.16</v>
      </c>
      <c r="E11870">
        <v>139.44</v>
      </c>
      <c r="F11870" t="s">
        <v>7</v>
      </c>
      <c r="G11870" t="s">
        <v>11</v>
      </c>
      <c r="H11870" s="5">
        <f>MONTH(Tabela1[[#This Row],[data]])</f>
        <v>5</v>
      </c>
      <c r="I11870">
        <f>YEAR(Tabela1[[#This Row],[data]])</f>
        <v>2026</v>
      </c>
    </row>
    <row r="11871" spans="1:9" x14ac:dyDescent="0.25">
      <c r="A11871" t="s">
        <v>6</v>
      </c>
      <c r="B11871" s="1">
        <v>46152</v>
      </c>
      <c r="C11871">
        <v>14</v>
      </c>
      <c r="D11871">
        <v>887.46</v>
      </c>
      <c r="E11871">
        <v>173.88</v>
      </c>
      <c r="F11871" t="s">
        <v>7</v>
      </c>
      <c r="G11871" t="s">
        <v>11</v>
      </c>
      <c r="H11871" s="5">
        <f>MONTH(Tabela1[[#This Row],[data]])</f>
        <v>5</v>
      </c>
      <c r="I11871">
        <f>YEAR(Tabela1[[#This Row],[data]])</f>
        <v>2026</v>
      </c>
    </row>
    <row r="11872" spans="1:9" x14ac:dyDescent="0.25">
      <c r="A11872" t="s">
        <v>6</v>
      </c>
      <c r="B11872" s="1">
        <v>46152</v>
      </c>
      <c r="C11872">
        <v>15</v>
      </c>
      <c r="D11872">
        <v>898.8</v>
      </c>
      <c r="E11872">
        <v>188.58</v>
      </c>
      <c r="F11872" t="s">
        <v>7</v>
      </c>
      <c r="G11872" t="s">
        <v>11</v>
      </c>
      <c r="H11872" s="5">
        <f>MONTH(Tabela1[[#This Row],[data]])</f>
        <v>5</v>
      </c>
      <c r="I11872">
        <f>YEAR(Tabela1[[#This Row],[data]])</f>
        <v>2026</v>
      </c>
    </row>
    <row r="11873" spans="1:9" x14ac:dyDescent="0.25">
      <c r="A11873" t="s">
        <v>6</v>
      </c>
      <c r="B11873" s="1">
        <v>46152</v>
      </c>
      <c r="C11873">
        <v>16</v>
      </c>
      <c r="D11873">
        <v>902.58</v>
      </c>
      <c r="E11873">
        <v>191.52</v>
      </c>
      <c r="F11873" t="s">
        <v>7</v>
      </c>
      <c r="G11873" t="s">
        <v>11</v>
      </c>
      <c r="H11873" s="5">
        <f>MONTH(Tabela1[[#This Row],[data]])</f>
        <v>5</v>
      </c>
      <c r="I11873">
        <f>YEAR(Tabela1[[#This Row],[data]])</f>
        <v>2026</v>
      </c>
    </row>
    <row r="11874" spans="1:9" x14ac:dyDescent="0.25">
      <c r="A11874" t="s">
        <v>6</v>
      </c>
      <c r="B11874" s="1">
        <v>46152</v>
      </c>
      <c r="C11874">
        <v>17</v>
      </c>
      <c r="D11874">
        <v>870.66</v>
      </c>
      <c r="E11874">
        <v>182.7</v>
      </c>
      <c r="F11874" t="s">
        <v>7</v>
      </c>
      <c r="G11874" t="s">
        <v>11</v>
      </c>
      <c r="H11874" s="5">
        <f>MONTH(Tabela1[[#This Row],[data]])</f>
        <v>5</v>
      </c>
      <c r="I11874">
        <f>YEAR(Tabela1[[#This Row],[data]])</f>
        <v>2026</v>
      </c>
    </row>
    <row r="11875" spans="1:9" x14ac:dyDescent="0.25">
      <c r="A11875" t="s">
        <v>6</v>
      </c>
      <c r="B11875" s="1">
        <v>46152</v>
      </c>
      <c r="C11875">
        <v>18</v>
      </c>
      <c r="D11875">
        <v>841.26</v>
      </c>
      <c r="E11875">
        <v>162.12</v>
      </c>
      <c r="F11875" t="s">
        <v>7</v>
      </c>
      <c r="G11875" t="s">
        <v>11</v>
      </c>
      <c r="H11875" s="5">
        <f>MONTH(Tabela1[[#This Row],[data]])</f>
        <v>5</v>
      </c>
      <c r="I11875">
        <f>YEAR(Tabela1[[#This Row],[data]])</f>
        <v>2026</v>
      </c>
    </row>
    <row r="11876" spans="1:9" x14ac:dyDescent="0.25">
      <c r="A11876" t="s">
        <v>6</v>
      </c>
      <c r="B11876" s="1">
        <v>46152</v>
      </c>
      <c r="C11876">
        <v>19</v>
      </c>
      <c r="D11876">
        <v>832.86</v>
      </c>
      <c r="E11876">
        <v>149.1</v>
      </c>
      <c r="F11876" t="s">
        <v>7</v>
      </c>
      <c r="G11876" t="s">
        <v>11</v>
      </c>
      <c r="H11876" s="5">
        <f>MONTH(Tabela1[[#This Row],[data]])</f>
        <v>5</v>
      </c>
      <c r="I11876">
        <f>YEAR(Tabela1[[#This Row],[data]])</f>
        <v>2026</v>
      </c>
    </row>
    <row r="11877" spans="1:9" x14ac:dyDescent="0.25">
      <c r="A11877" t="s">
        <v>6</v>
      </c>
      <c r="B11877" s="1">
        <v>46152</v>
      </c>
      <c r="C11877">
        <v>20</v>
      </c>
      <c r="D11877">
        <v>842.1</v>
      </c>
      <c r="E11877">
        <v>156.66</v>
      </c>
      <c r="F11877" t="s">
        <v>7</v>
      </c>
      <c r="G11877" t="s">
        <v>11</v>
      </c>
      <c r="H11877" s="5">
        <f>MONTH(Tabela1[[#This Row],[data]])</f>
        <v>5</v>
      </c>
      <c r="I11877">
        <f>YEAR(Tabela1[[#This Row],[data]])</f>
        <v>2026</v>
      </c>
    </row>
    <row r="11878" spans="1:9" x14ac:dyDescent="0.25">
      <c r="A11878" t="s">
        <v>6</v>
      </c>
      <c r="B11878" s="1">
        <v>46152</v>
      </c>
      <c r="C11878">
        <v>21</v>
      </c>
      <c r="D11878">
        <v>625.79999999999995</v>
      </c>
      <c r="E11878">
        <v>68.040000000000006</v>
      </c>
      <c r="F11878" t="s">
        <v>7</v>
      </c>
      <c r="G11878" t="s">
        <v>11</v>
      </c>
      <c r="H11878" s="5">
        <f>MONTH(Tabela1[[#This Row],[data]])</f>
        <v>5</v>
      </c>
      <c r="I11878">
        <f>YEAR(Tabela1[[#This Row],[data]])</f>
        <v>2026</v>
      </c>
    </row>
    <row r="11879" spans="1:9" x14ac:dyDescent="0.25">
      <c r="A11879" t="s">
        <v>6</v>
      </c>
      <c r="B11879" s="1">
        <v>46152</v>
      </c>
      <c r="C11879">
        <v>22</v>
      </c>
      <c r="D11879">
        <v>483.42</v>
      </c>
      <c r="E11879">
        <v>25.2</v>
      </c>
      <c r="F11879" t="s">
        <v>7</v>
      </c>
      <c r="G11879" t="s">
        <v>11</v>
      </c>
      <c r="H11879" s="5">
        <f>MONTH(Tabela1[[#This Row],[data]])</f>
        <v>5</v>
      </c>
      <c r="I11879">
        <f>YEAR(Tabela1[[#This Row],[data]])</f>
        <v>2026</v>
      </c>
    </row>
    <row r="11880" spans="1:9" x14ac:dyDescent="0.25">
      <c r="A11880" t="s">
        <v>6</v>
      </c>
      <c r="B11880" s="1">
        <v>46152</v>
      </c>
      <c r="C11880">
        <v>23</v>
      </c>
      <c r="D11880">
        <v>334.32</v>
      </c>
      <c r="E11880">
        <v>0</v>
      </c>
      <c r="F11880" t="s">
        <v>7</v>
      </c>
      <c r="G11880" t="s">
        <v>11</v>
      </c>
      <c r="H11880" s="5">
        <f>MONTH(Tabela1[[#This Row],[data]])</f>
        <v>5</v>
      </c>
      <c r="I11880">
        <f>YEAR(Tabela1[[#This Row],[data]])</f>
        <v>2026</v>
      </c>
    </row>
    <row r="11881" spans="1:9" x14ac:dyDescent="0.25">
      <c r="A11881" t="s">
        <v>6</v>
      </c>
      <c r="B11881" s="1">
        <v>46152</v>
      </c>
      <c r="C11881">
        <v>24</v>
      </c>
      <c r="D11881">
        <v>267.12</v>
      </c>
      <c r="E11881">
        <v>0</v>
      </c>
      <c r="F11881" t="s">
        <v>7</v>
      </c>
      <c r="G11881" t="s">
        <v>11</v>
      </c>
      <c r="H11881" s="5">
        <f>MONTH(Tabela1[[#This Row],[data]])</f>
        <v>5</v>
      </c>
      <c r="I11881">
        <f>YEAR(Tabela1[[#This Row],[data]])</f>
        <v>2026</v>
      </c>
    </row>
    <row r="11882" spans="1:9" x14ac:dyDescent="0.25">
      <c r="A11882" t="s">
        <v>6</v>
      </c>
      <c r="B11882" s="1">
        <v>46153</v>
      </c>
      <c r="C11882">
        <v>1</v>
      </c>
      <c r="D11882">
        <v>247.8</v>
      </c>
      <c r="E11882">
        <v>0</v>
      </c>
      <c r="F11882" t="s">
        <v>7</v>
      </c>
      <c r="G11882" t="s">
        <v>11</v>
      </c>
      <c r="H11882" s="5">
        <f>MONTH(Tabela1[[#This Row],[data]])</f>
        <v>5</v>
      </c>
      <c r="I11882">
        <f>YEAR(Tabela1[[#This Row],[data]])</f>
        <v>2026</v>
      </c>
    </row>
    <row r="11883" spans="1:9" x14ac:dyDescent="0.25">
      <c r="A11883" t="s">
        <v>6</v>
      </c>
      <c r="B11883" s="1">
        <v>46153</v>
      </c>
      <c r="C11883">
        <v>2</v>
      </c>
      <c r="D11883">
        <v>234.78</v>
      </c>
      <c r="E11883">
        <v>0</v>
      </c>
      <c r="F11883" t="s">
        <v>7</v>
      </c>
      <c r="G11883" t="s">
        <v>11</v>
      </c>
      <c r="H11883" s="5">
        <f>MONTH(Tabela1[[#This Row],[data]])</f>
        <v>5</v>
      </c>
      <c r="I11883">
        <f>YEAR(Tabela1[[#This Row],[data]])</f>
        <v>2026</v>
      </c>
    </row>
    <row r="11884" spans="1:9" x14ac:dyDescent="0.25">
      <c r="A11884" t="s">
        <v>6</v>
      </c>
      <c r="B11884" s="1">
        <v>46153</v>
      </c>
      <c r="C11884">
        <v>3</v>
      </c>
      <c r="D11884">
        <v>228.48</v>
      </c>
      <c r="E11884">
        <v>0</v>
      </c>
      <c r="F11884" t="s">
        <v>7</v>
      </c>
      <c r="G11884" t="s">
        <v>11</v>
      </c>
      <c r="H11884" s="5">
        <f>MONTH(Tabela1[[#This Row],[data]])</f>
        <v>5</v>
      </c>
      <c r="I11884">
        <f>YEAR(Tabela1[[#This Row],[data]])</f>
        <v>2026</v>
      </c>
    </row>
    <row r="11885" spans="1:9" x14ac:dyDescent="0.25">
      <c r="A11885" t="s">
        <v>6</v>
      </c>
      <c r="B11885" s="1">
        <v>46153</v>
      </c>
      <c r="C11885">
        <v>4</v>
      </c>
      <c r="D11885">
        <v>230.16</v>
      </c>
      <c r="E11885">
        <v>0</v>
      </c>
      <c r="F11885" t="s">
        <v>7</v>
      </c>
      <c r="G11885" t="s">
        <v>11</v>
      </c>
      <c r="H11885" s="5">
        <f>MONTH(Tabela1[[#This Row],[data]])</f>
        <v>5</v>
      </c>
      <c r="I11885">
        <f>YEAR(Tabela1[[#This Row],[data]])</f>
        <v>2026</v>
      </c>
    </row>
    <row r="11886" spans="1:9" x14ac:dyDescent="0.25">
      <c r="A11886" t="s">
        <v>6</v>
      </c>
      <c r="B11886" s="1">
        <v>46153</v>
      </c>
      <c r="C11886">
        <v>5</v>
      </c>
      <c r="D11886">
        <v>235.62</v>
      </c>
      <c r="E11886">
        <v>0</v>
      </c>
      <c r="F11886" t="s">
        <v>7</v>
      </c>
      <c r="G11886" t="s">
        <v>11</v>
      </c>
      <c r="H11886" s="5">
        <f>MONTH(Tabela1[[#This Row],[data]])</f>
        <v>5</v>
      </c>
      <c r="I11886">
        <f>YEAR(Tabela1[[#This Row],[data]])</f>
        <v>2026</v>
      </c>
    </row>
    <row r="11887" spans="1:9" x14ac:dyDescent="0.25">
      <c r="A11887" t="s">
        <v>6</v>
      </c>
      <c r="B11887" s="1">
        <v>46153</v>
      </c>
      <c r="C11887">
        <v>6</v>
      </c>
      <c r="D11887">
        <v>231</v>
      </c>
      <c r="E11887">
        <v>0</v>
      </c>
      <c r="F11887" t="s">
        <v>7</v>
      </c>
      <c r="G11887" t="s">
        <v>11</v>
      </c>
      <c r="H11887" s="5">
        <f>MONTH(Tabela1[[#This Row],[data]])</f>
        <v>5</v>
      </c>
      <c r="I11887">
        <f>YEAR(Tabela1[[#This Row],[data]])</f>
        <v>2026</v>
      </c>
    </row>
    <row r="11888" spans="1:9" x14ac:dyDescent="0.25">
      <c r="A11888" t="s">
        <v>6</v>
      </c>
      <c r="B11888" s="1">
        <v>46153</v>
      </c>
      <c r="C11888">
        <v>7</v>
      </c>
      <c r="D11888">
        <v>242.76</v>
      </c>
      <c r="E11888">
        <v>0</v>
      </c>
      <c r="F11888" t="s">
        <v>7</v>
      </c>
      <c r="G11888" t="s">
        <v>11</v>
      </c>
      <c r="H11888" s="5">
        <f>MONTH(Tabela1[[#This Row],[data]])</f>
        <v>5</v>
      </c>
      <c r="I11888">
        <f>YEAR(Tabela1[[#This Row],[data]])</f>
        <v>2026</v>
      </c>
    </row>
    <row r="11889" spans="1:9" x14ac:dyDescent="0.25">
      <c r="A11889" t="s">
        <v>6</v>
      </c>
      <c r="B11889" s="1">
        <v>46153</v>
      </c>
      <c r="C11889">
        <v>8</v>
      </c>
      <c r="D11889">
        <v>237.3</v>
      </c>
      <c r="E11889">
        <v>0</v>
      </c>
      <c r="F11889" t="s">
        <v>7</v>
      </c>
      <c r="G11889" t="s">
        <v>11</v>
      </c>
      <c r="H11889" s="5">
        <f>MONTH(Tabela1[[#This Row],[data]])</f>
        <v>5</v>
      </c>
      <c r="I11889">
        <f>YEAR(Tabela1[[#This Row],[data]])</f>
        <v>2026</v>
      </c>
    </row>
    <row r="11890" spans="1:9" x14ac:dyDescent="0.25">
      <c r="A11890" t="s">
        <v>6</v>
      </c>
      <c r="B11890" s="1">
        <v>46153</v>
      </c>
      <c r="C11890">
        <v>9</v>
      </c>
      <c r="D11890">
        <v>295.26</v>
      </c>
      <c r="E11890">
        <v>0</v>
      </c>
      <c r="F11890" t="s">
        <v>7</v>
      </c>
      <c r="G11890" t="s">
        <v>11</v>
      </c>
      <c r="H11890" s="5">
        <f>MONTH(Tabela1[[#This Row],[data]])</f>
        <v>5</v>
      </c>
      <c r="I11890">
        <f>YEAR(Tabela1[[#This Row],[data]])</f>
        <v>2026</v>
      </c>
    </row>
    <row r="11891" spans="1:9" x14ac:dyDescent="0.25">
      <c r="A11891" t="s">
        <v>6</v>
      </c>
      <c r="B11891" s="1">
        <v>46153</v>
      </c>
      <c r="C11891">
        <v>10</v>
      </c>
      <c r="D11891">
        <v>372.54</v>
      </c>
      <c r="E11891">
        <v>0.84</v>
      </c>
      <c r="F11891" t="s">
        <v>7</v>
      </c>
      <c r="G11891" t="s">
        <v>11</v>
      </c>
      <c r="H11891" s="5">
        <f>MONTH(Tabela1[[#This Row],[data]])</f>
        <v>5</v>
      </c>
      <c r="I11891">
        <f>YEAR(Tabela1[[#This Row],[data]])</f>
        <v>2026</v>
      </c>
    </row>
    <row r="11892" spans="1:9" x14ac:dyDescent="0.25">
      <c r="A11892" t="s">
        <v>6</v>
      </c>
      <c r="B11892" s="1">
        <v>46153</v>
      </c>
      <c r="C11892">
        <v>11</v>
      </c>
      <c r="D11892">
        <v>517.02</v>
      </c>
      <c r="E11892">
        <v>26.04</v>
      </c>
      <c r="F11892" t="s">
        <v>7</v>
      </c>
      <c r="G11892" t="s">
        <v>11</v>
      </c>
      <c r="H11892" s="5">
        <f>MONTH(Tabela1[[#This Row],[data]])</f>
        <v>5</v>
      </c>
      <c r="I11892">
        <f>YEAR(Tabela1[[#This Row],[data]])</f>
        <v>2026</v>
      </c>
    </row>
    <row r="11893" spans="1:9" x14ac:dyDescent="0.25">
      <c r="A11893" t="s">
        <v>6</v>
      </c>
      <c r="B11893" s="1">
        <v>46153</v>
      </c>
      <c r="C11893">
        <v>12</v>
      </c>
      <c r="D11893">
        <v>768.6</v>
      </c>
      <c r="E11893">
        <v>131.46</v>
      </c>
      <c r="F11893" t="s">
        <v>7</v>
      </c>
      <c r="G11893" t="s">
        <v>11</v>
      </c>
      <c r="H11893" s="5">
        <f>MONTH(Tabela1[[#This Row],[data]])</f>
        <v>5</v>
      </c>
      <c r="I11893">
        <f>YEAR(Tabela1[[#This Row],[data]])</f>
        <v>2026</v>
      </c>
    </row>
    <row r="11894" spans="1:9" x14ac:dyDescent="0.25">
      <c r="A11894" t="s">
        <v>6</v>
      </c>
      <c r="B11894" s="1">
        <v>46153</v>
      </c>
      <c r="C11894">
        <v>13</v>
      </c>
      <c r="D11894">
        <v>775.32</v>
      </c>
      <c r="E11894">
        <v>160.44</v>
      </c>
      <c r="F11894" t="s">
        <v>7</v>
      </c>
      <c r="G11894" t="s">
        <v>11</v>
      </c>
      <c r="H11894" s="5">
        <f>MONTH(Tabela1[[#This Row],[data]])</f>
        <v>5</v>
      </c>
      <c r="I11894">
        <f>YEAR(Tabela1[[#This Row],[data]])</f>
        <v>2026</v>
      </c>
    </row>
    <row r="11895" spans="1:9" x14ac:dyDescent="0.25">
      <c r="A11895" t="s">
        <v>6</v>
      </c>
      <c r="B11895" s="1">
        <v>46153</v>
      </c>
      <c r="C11895">
        <v>14</v>
      </c>
      <c r="D11895">
        <v>778.68</v>
      </c>
      <c r="E11895">
        <v>146.16</v>
      </c>
      <c r="F11895" t="s">
        <v>7</v>
      </c>
      <c r="G11895" t="s">
        <v>11</v>
      </c>
      <c r="H11895" s="5">
        <f>MONTH(Tabela1[[#This Row],[data]])</f>
        <v>5</v>
      </c>
      <c r="I11895">
        <f>YEAR(Tabela1[[#This Row],[data]])</f>
        <v>2026</v>
      </c>
    </row>
    <row r="11896" spans="1:9" x14ac:dyDescent="0.25">
      <c r="A11896" t="s">
        <v>6</v>
      </c>
      <c r="B11896" s="1">
        <v>46153</v>
      </c>
      <c r="C11896">
        <v>15</v>
      </c>
      <c r="D11896">
        <v>777.42</v>
      </c>
      <c r="E11896">
        <v>136.5</v>
      </c>
      <c r="F11896" t="s">
        <v>7</v>
      </c>
      <c r="G11896" t="s">
        <v>11</v>
      </c>
      <c r="H11896" s="5">
        <f>MONTH(Tabela1[[#This Row],[data]])</f>
        <v>5</v>
      </c>
      <c r="I11896">
        <f>YEAR(Tabela1[[#This Row],[data]])</f>
        <v>2026</v>
      </c>
    </row>
    <row r="11897" spans="1:9" x14ac:dyDescent="0.25">
      <c r="A11897" t="s">
        <v>6</v>
      </c>
      <c r="B11897" s="1">
        <v>46153</v>
      </c>
      <c r="C11897">
        <v>16</v>
      </c>
      <c r="D11897">
        <v>772.8</v>
      </c>
      <c r="E11897">
        <v>139.44</v>
      </c>
      <c r="F11897" t="s">
        <v>7</v>
      </c>
      <c r="G11897" t="s">
        <v>11</v>
      </c>
      <c r="H11897" s="5">
        <f>MONTH(Tabela1[[#This Row],[data]])</f>
        <v>5</v>
      </c>
      <c r="I11897">
        <f>YEAR(Tabela1[[#This Row],[data]])</f>
        <v>2026</v>
      </c>
    </row>
    <row r="11898" spans="1:9" x14ac:dyDescent="0.25">
      <c r="A11898" t="s">
        <v>6</v>
      </c>
      <c r="B11898" s="1">
        <v>46153</v>
      </c>
      <c r="C11898">
        <v>17</v>
      </c>
      <c r="D11898">
        <v>774.06</v>
      </c>
      <c r="E11898">
        <v>144.9</v>
      </c>
      <c r="F11898" t="s">
        <v>7</v>
      </c>
      <c r="G11898" t="s">
        <v>11</v>
      </c>
      <c r="H11898" s="5">
        <f>MONTH(Tabela1[[#This Row],[data]])</f>
        <v>5</v>
      </c>
      <c r="I11898">
        <f>YEAR(Tabela1[[#This Row],[data]])</f>
        <v>2026</v>
      </c>
    </row>
    <row r="11899" spans="1:9" x14ac:dyDescent="0.25">
      <c r="A11899" t="s">
        <v>6</v>
      </c>
      <c r="B11899" s="1">
        <v>46153</v>
      </c>
      <c r="C11899">
        <v>18</v>
      </c>
      <c r="D11899">
        <v>751.38</v>
      </c>
      <c r="E11899">
        <v>148.26</v>
      </c>
      <c r="F11899" t="s">
        <v>7</v>
      </c>
      <c r="G11899" t="s">
        <v>11</v>
      </c>
      <c r="H11899" s="5">
        <f>MONTH(Tabela1[[#This Row],[data]])</f>
        <v>5</v>
      </c>
      <c r="I11899">
        <f>YEAR(Tabela1[[#This Row],[data]])</f>
        <v>2026</v>
      </c>
    </row>
    <row r="11900" spans="1:9" x14ac:dyDescent="0.25">
      <c r="A11900" t="s">
        <v>6</v>
      </c>
      <c r="B11900" s="1">
        <v>46153</v>
      </c>
      <c r="C11900">
        <v>19</v>
      </c>
      <c r="D11900">
        <v>610.26</v>
      </c>
      <c r="E11900">
        <v>45.36</v>
      </c>
      <c r="F11900" t="s">
        <v>7</v>
      </c>
      <c r="G11900" t="s">
        <v>11</v>
      </c>
      <c r="H11900" s="5">
        <f>MONTH(Tabela1[[#This Row],[data]])</f>
        <v>5</v>
      </c>
      <c r="I11900">
        <f>YEAR(Tabela1[[#This Row],[data]])</f>
        <v>2026</v>
      </c>
    </row>
    <row r="11901" spans="1:9" x14ac:dyDescent="0.25">
      <c r="A11901" t="s">
        <v>6</v>
      </c>
      <c r="B11901" s="1">
        <v>46153</v>
      </c>
      <c r="C11901">
        <v>20</v>
      </c>
      <c r="D11901">
        <v>566.16</v>
      </c>
      <c r="E11901">
        <v>28.98</v>
      </c>
      <c r="F11901" t="s">
        <v>7</v>
      </c>
      <c r="G11901" t="s">
        <v>11</v>
      </c>
      <c r="H11901" s="5">
        <f>MONTH(Tabela1[[#This Row],[data]])</f>
        <v>5</v>
      </c>
      <c r="I11901">
        <f>YEAR(Tabela1[[#This Row],[data]])</f>
        <v>2026</v>
      </c>
    </row>
    <row r="11902" spans="1:9" x14ac:dyDescent="0.25">
      <c r="A11902" t="s">
        <v>6</v>
      </c>
      <c r="B11902" s="1">
        <v>46153</v>
      </c>
      <c r="C11902">
        <v>21</v>
      </c>
      <c r="D11902">
        <v>563.64</v>
      </c>
      <c r="E11902">
        <v>28.98</v>
      </c>
      <c r="F11902" t="s">
        <v>7</v>
      </c>
      <c r="G11902" t="s">
        <v>11</v>
      </c>
      <c r="H11902" s="5">
        <f>MONTH(Tabela1[[#This Row],[data]])</f>
        <v>5</v>
      </c>
      <c r="I11902">
        <f>YEAR(Tabela1[[#This Row],[data]])</f>
        <v>2026</v>
      </c>
    </row>
    <row r="11903" spans="1:9" x14ac:dyDescent="0.25">
      <c r="A11903" t="s">
        <v>6</v>
      </c>
      <c r="B11903" s="1">
        <v>46153</v>
      </c>
      <c r="C11903">
        <v>22</v>
      </c>
      <c r="D11903">
        <v>546</v>
      </c>
      <c r="E11903">
        <v>19.32</v>
      </c>
      <c r="F11903" t="s">
        <v>7</v>
      </c>
      <c r="G11903" t="s">
        <v>11</v>
      </c>
      <c r="H11903" s="5">
        <f>MONTH(Tabela1[[#This Row],[data]])</f>
        <v>5</v>
      </c>
      <c r="I11903">
        <f>YEAR(Tabela1[[#This Row],[data]])</f>
        <v>2026</v>
      </c>
    </row>
    <row r="11904" spans="1:9" x14ac:dyDescent="0.25">
      <c r="A11904" t="s">
        <v>6</v>
      </c>
      <c r="B11904" s="1">
        <v>46153</v>
      </c>
      <c r="C11904">
        <v>23</v>
      </c>
      <c r="D11904">
        <v>365.82</v>
      </c>
      <c r="E11904">
        <v>0</v>
      </c>
      <c r="F11904" t="s">
        <v>7</v>
      </c>
      <c r="G11904" t="s">
        <v>11</v>
      </c>
      <c r="H11904" s="5">
        <f>MONTH(Tabela1[[#This Row],[data]])</f>
        <v>5</v>
      </c>
      <c r="I11904">
        <f>YEAR(Tabela1[[#This Row],[data]])</f>
        <v>2026</v>
      </c>
    </row>
    <row r="11905" spans="1:9" x14ac:dyDescent="0.25">
      <c r="A11905" t="s">
        <v>6</v>
      </c>
      <c r="B11905" s="1">
        <v>46153</v>
      </c>
      <c r="C11905">
        <v>24</v>
      </c>
      <c r="D11905">
        <v>268.8</v>
      </c>
      <c r="E11905">
        <v>0</v>
      </c>
      <c r="F11905" t="s">
        <v>7</v>
      </c>
      <c r="G11905" t="s">
        <v>11</v>
      </c>
      <c r="H11905" s="5">
        <f>MONTH(Tabela1[[#This Row],[data]])</f>
        <v>5</v>
      </c>
      <c r="I11905">
        <f>YEAR(Tabela1[[#This Row],[data]])</f>
        <v>2026</v>
      </c>
    </row>
    <row r="11906" spans="1:9" x14ac:dyDescent="0.25">
      <c r="A11906" t="s">
        <v>6</v>
      </c>
      <c r="B11906" s="1">
        <v>46154</v>
      </c>
      <c r="C11906">
        <v>1</v>
      </c>
      <c r="D11906">
        <v>246.96</v>
      </c>
      <c r="E11906">
        <v>0</v>
      </c>
      <c r="F11906" t="s">
        <v>7</v>
      </c>
      <c r="G11906" t="s">
        <v>11</v>
      </c>
      <c r="H11906" s="5">
        <f>MONTH(Tabela1[[#This Row],[data]])</f>
        <v>5</v>
      </c>
      <c r="I11906">
        <f>YEAR(Tabela1[[#This Row],[data]])</f>
        <v>2026</v>
      </c>
    </row>
    <row r="11907" spans="1:9" x14ac:dyDescent="0.25">
      <c r="A11907" t="s">
        <v>6</v>
      </c>
      <c r="B11907" s="1">
        <v>46154</v>
      </c>
      <c r="C11907">
        <v>2</v>
      </c>
      <c r="D11907">
        <v>240.66</v>
      </c>
      <c r="E11907">
        <v>0</v>
      </c>
      <c r="F11907" t="s">
        <v>7</v>
      </c>
      <c r="G11907" t="s">
        <v>11</v>
      </c>
      <c r="H11907" s="5">
        <f>MONTH(Tabela1[[#This Row],[data]])</f>
        <v>5</v>
      </c>
      <c r="I11907">
        <f>YEAR(Tabela1[[#This Row],[data]])</f>
        <v>2026</v>
      </c>
    </row>
    <row r="11908" spans="1:9" x14ac:dyDescent="0.25">
      <c r="A11908" t="s">
        <v>6</v>
      </c>
      <c r="B11908" s="1">
        <v>46154</v>
      </c>
      <c r="C11908">
        <v>3</v>
      </c>
      <c r="D11908">
        <v>234.36</v>
      </c>
      <c r="E11908">
        <v>0</v>
      </c>
      <c r="F11908" t="s">
        <v>7</v>
      </c>
      <c r="G11908" t="s">
        <v>11</v>
      </c>
      <c r="H11908" s="5">
        <f>MONTH(Tabela1[[#This Row],[data]])</f>
        <v>5</v>
      </c>
      <c r="I11908">
        <f>YEAR(Tabela1[[#This Row],[data]])</f>
        <v>2026</v>
      </c>
    </row>
    <row r="11909" spans="1:9" x14ac:dyDescent="0.25">
      <c r="A11909" t="s">
        <v>6</v>
      </c>
      <c r="B11909" s="1">
        <v>46154</v>
      </c>
      <c r="C11909">
        <v>4</v>
      </c>
      <c r="D11909">
        <v>232.68</v>
      </c>
      <c r="E11909">
        <v>0</v>
      </c>
      <c r="F11909" t="s">
        <v>7</v>
      </c>
      <c r="G11909" t="s">
        <v>11</v>
      </c>
      <c r="H11909" s="5">
        <f>MONTH(Tabela1[[#This Row],[data]])</f>
        <v>5</v>
      </c>
      <c r="I11909">
        <f>YEAR(Tabela1[[#This Row],[data]])</f>
        <v>2026</v>
      </c>
    </row>
    <row r="11910" spans="1:9" x14ac:dyDescent="0.25">
      <c r="A11910" t="s">
        <v>6</v>
      </c>
      <c r="B11910" s="1">
        <v>46154</v>
      </c>
      <c r="C11910">
        <v>5</v>
      </c>
      <c r="D11910">
        <v>238.56</v>
      </c>
      <c r="E11910">
        <v>0</v>
      </c>
      <c r="F11910" t="s">
        <v>7</v>
      </c>
      <c r="G11910" t="s">
        <v>11</v>
      </c>
      <c r="H11910" s="5">
        <f>MONTH(Tabela1[[#This Row],[data]])</f>
        <v>5</v>
      </c>
      <c r="I11910">
        <f>YEAR(Tabela1[[#This Row],[data]])</f>
        <v>2026</v>
      </c>
    </row>
    <row r="11911" spans="1:9" x14ac:dyDescent="0.25">
      <c r="A11911" t="s">
        <v>6</v>
      </c>
      <c r="B11911" s="1">
        <v>46154</v>
      </c>
      <c r="C11911">
        <v>6</v>
      </c>
      <c r="D11911">
        <v>232.26</v>
      </c>
      <c r="E11911">
        <v>0</v>
      </c>
      <c r="F11911" t="s">
        <v>7</v>
      </c>
      <c r="G11911" t="s">
        <v>11</v>
      </c>
      <c r="H11911" s="5">
        <f>MONTH(Tabela1[[#This Row],[data]])</f>
        <v>5</v>
      </c>
      <c r="I11911">
        <f>YEAR(Tabela1[[#This Row],[data]])</f>
        <v>2026</v>
      </c>
    </row>
    <row r="11912" spans="1:9" x14ac:dyDescent="0.25">
      <c r="A11912" t="s">
        <v>6</v>
      </c>
      <c r="B11912" s="1">
        <v>46154</v>
      </c>
      <c r="C11912">
        <v>7</v>
      </c>
      <c r="D11912">
        <v>228.48</v>
      </c>
      <c r="E11912">
        <v>0</v>
      </c>
      <c r="F11912" t="s">
        <v>7</v>
      </c>
      <c r="G11912" t="s">
        <v>11</v>
      </c>
      <c r="H11912" s="5">
        <f>MONTH(Tabela1[[#This Row],[data]])</f>
        <v>5</v>
      </c>
      <c r="I11912">
        <f>YEAR(Tabela1[[#This Row],[data]])</f>
        <v>2026</v>
      </c>
    </row>
    <row r="11913" spans="1:9" x14ac:dyDescent="0.25">
      <c r="A11913" t="s">
        <v>6</v>
      </c>
      <c r="B11913" s="1">
        <v>46154</v>
      </c>
      <c r="C11913">
        <v>8</v>
      </c>
      <c r="D11913">
        <v>235.2</v>
      </c>
      <c r="E11913">
        <v>0</v>
      </c>
      <c r="F11913" t="s">
        <v>7</v>
      </c>
      <c r="G11913" t="s">
        <v>11</v>
      </c>
      <c r="H11913" s="5">
        <f>MONTH(Tabela1[[#This Row],[data]])</f>
        <v>5</v>
      </c>
      <c r="I11913">
        <f>YEAR(Tabela1[[#This Row],[data]])</f>
        <v>2026</v>
      </c>
    </row>
    <row r="11914" spans="1:9" x14ac:dyDescent="0.25">
      <c r="A11914" t="s">
        <v>6</v>
      </c>
      <c r="B11914" s="1">
        <v>46154</v>
      </c>
      <c r="C11914">
        <v>9</v>
      </c>
      <c r="D11914">
        <v>318.36</v>
      </c>
      <c r="E11914">
        <v>0</v>
      </c>
      <c r="F11914" t="s">
        <v>7</v>
      </c>
      <c r="G11914" t="s">
        <v>11</v>
      </c>
      <c r="H11914" s="5">
        <f>MONTH(Tabela1[[#This Row],[data]])</f>
        <v>5</v>
      </c>
      <c r="I11914">
        <f>YEAR(Tabela1[[#This Row],[data]])</f>
        <v>2026</v>
      </c>
    </row>
    <row r="11915" spans="1:9" x14ac:dyDescent="0.25">
      <c r="A11915" t="s">
        <v>6</v>
      </c>
      <c r="B11915" s="1">
        <v>46154</v>
      </c>
      <c r="C11915">
        <v>10</v>
      </c>
      <c r="D11915">
        <v>393.96</v>
      </c>
      <c r="E11915">
        <v>2.94</v>
      </c>
      <c r="F11915" t="s">
        <v>7</v>
      </c>
      <c r="G11915" t="s">
        <v>11</v>
      </c>
      <c r="H11915" s="5">
        <f>MONTH(Tabela1[[#This Row],[data]])</f>
        <v>5</v>
      </c>
      <c r="I11915">
        <f>YEAR(Tabela1[[#This Row],[data]])</f>
        <v>2026</v>
      </c>
    </row>
    <row r="11916" spans="1:9" x14ac:dyDescent="0.25">
      <c r="A11916" t="s">
        <v>6</v>
      </c>
      <c r="B11916" s="1">
        <v>46154</v>
      </c>
      <c r="C11916">
        <v>11</v>
      </c>
      <c r="D11916">
        <v>521.22</v>
      </c>
      <c r="E11916">
        <v>17.64</v>
      </c>
      <c r="F11916" t="s">
        <v>7</v>
      </c>
      <c r="G11916" t="s">
        <v>11</v>
      </c>
      <c r="H11916" s="5">
        <f>MONTH(Tabela1[[#This Row],[data]])</f>
        <v>5</v>
      </c>
      <c r="I11916">
        <f>YEAR(Tabela1[[#This Row],[data]])</f>
        <v>2026</v>
      </c>
    </row>
    <row r="11917" spans="1:9" x14ac:dyDescent="0.25">
      <c r="A11917" t="s">
        <v>6</v>
      </c>
      <c r="B11917" s="1">
        <v>46154</v>
      </c>
      <c r="C11917">
        <v>12</v>
      </c>
      <c r="D11917">
        <v>718.62</v>
      </c>
      <c r="E11917">
        <v>128.52000000000001</v>
      </c>
      <c r="F11917" t="s">
        <v>7</v>
      </c>
      <c r="G11917" t="s">
        <v>11</v>
      </c>
      <c r="H11917" s="5">
        <f>MONTH(Tabela1[[#This Row],[data]])</f>
        <v>5</v>
      </c>
      <c r="I11917">
        <f>YEAR(Tabela1[[#This Row],[data]])</f>
        <v>2026</v>
      </c>
    </row>
    <row r="11918" spans="1:9" x14ac:dyDescent="0.25">
      <c r="A11918" t="s">
        <v>6</v>
      </c>
      <c r="B11918" s="1">
        <v>46154</v>
      </c>
      <c r="C11918">
        <v>13</v>
      </c>
      <c r="D11918">
        <v>679.14</v>
      </c>
      <c r="E11918">
        <v>113.82</v>
      </c>
      <c r="F11918" t="s">
        <v>7</v>
      </c>
      <c r="G11918" t="s">
        <v>11</v>
      </c>
      <c r="H11918" s="5">
        <f>MONTH(Tabela1[[#This Row],[data]])</f>
        <v>5</v>
      </c>
      <c r="I11918">
        <f>YEAR(Tabela1[[#This Row],[data]])</f>
        <v>2026</v>
      </c>
    </row>
    <row r="11919" spans="1:9" x14ac:dyDescent="0.25">
      <c r="A11919" t="s">
        <v>6</v>
      </c>
      <c r="B11919" s="1">
        <v>46154</v>
      </c>
      <c r="C11919">
        <v>14</v>
      </c>
      <c r="D11919">
        <v>653.1</v>
      </c>
      <c r="E11919">
        <v>90.3</v>
      </c>
      <c r="F11919" t="s">
        <v>7</v>
      </c>
      <c r="G11919" t="s">
        <v>11</v>
      </c>
      <c r="H11919" s="5">
        <f>MONTH(Tabela1[[#This Row],[data]])</f>
        <v>5</v>
      </c>
      <c r="I11919">
        <f>YEAR(Tabela1[[#This Row],[data]])</f>
        <v>2026</v>
      </c>
    </row>
    <row r="11920" spans="1:9" x14ac:dyDescent="0.25">
      <c r="A11920" t="s">
        <v>6</v>
      </c>
      <c r="B11920" s="1">
        <v>46154</v>
      </c>
      <c r="C11920">
        <v>15</v>
      </c>
      <c r="D11920">
        <v>650.58000000000004</v>
      </c>
      <c r="E11920">
        <v>102.06</v>
      </c>
      <c r="F11920" t="s">
        <v>7</v>
      </c>
      <c r="G11920" t="s">
        <v>11</v>
      </c>
      <c r="H11920" s="5">
        <f>MONTH(Tabela1[[#This Row],[data]])</f>
        <v>5</v>
      </c>
      <c r="I11920">
        <f>YEAR(Tabela1[[#This Row],[data]])</f>
        <v>2026</v>
      </c>
    </row>
    <row r="11921" spans="1:9" x14ac:dyDescent="0.25">
      <c r="A11921" t="s">
        <v>6</v>
      </c>
      <c r="B11921" s="1">
        <v>46154</v>
      </c>
      <c r="C11921">
        <v>16</v>
      </c>
      <c r="D11921">
        <v>758.94</v>
      </c>
      <c r="E11921">
        <v>145.32</v>
      </c>
      <c r="F11921" t="s">
        <v>7</v>
      </c>
      <c r="G11921" t="s">
        <v>11</v>
      </c>
      <c r="H11921" s="5">
        <f>MONTH(Tabela1[[#This Row],[data]])</f>
        <v>5</v>
      </c>
      <c r="I11921">
        <f>YEAR(Tabela1[[#This Row],[data]])</f>
        <v>2026</v>
      </c>
    </row>
    <row r="11922" spans="1:9" x14ac:dyDescent="0.25">
      <c r="A11922" t="s">
        <v>6</v>
      </c>
      <c r="B11922" s="1">
        <v>46154</v>
      </c>
      <c r="C11922">
        <v>17</v>
      </c>
      <c r="D11922">
        <v>782.46</v>
      </c>
      <c r="E11922">
        <v>163.80000000000001</v>
      </c>
      <c r="F11922" t="s">
        <v>7</v>
      </c>
      <c r="G11922" t="s">
        <v>11</v>
      </c>
      <c r="H11922" s="5">
        <f>MONTH(Tabela1[[#This Row],[data]])</f>
        <v>5</v>
      </c>
      <c r="I11922">
        <f>YEAR(Tabela1[[#This Row],[data]])</f>
        <v>2026</v>
      </c>
    </row>
    <row r="11923" spans="1:9" x14ac:dyDescent="0.25">
      <c r="A11923" t="s">
        <v>6</v>
      </c>
      <c r="B11923" s="1">
        <v>46154</v>
      </c>
      <c r="C11923">
        <v>18</v>
      </c>
      <c r="D11923">
        <v>743.82</v>
      </c>
      <c r="E11923">
        <v>137.34</v>
      </c>
      <c r="F11923" t="s">
        <v>7</v>
      </c>
      <c r="G11923" t="s">
        <v>11</v>
      </c>
      <c r="H11923" s="5">
        <f>MONTH(Tabela1[[#This Row],[data]])</f>
        <v>5</v>
      </c>
      <c r="I11923">
        <f>YEAR(Tabela1[[#This Row],[data]])</f>
        <v>2026</v>
      </c>
    </row>
    <row r="11924" spans="1:9" x14ac:dyDescent="0.25">
      <c r="A11924" t="s">
        <v>6</v>
      </c>
      <c r="B11924" s="1">
        <v>46154</v>
      </c>
      <c r="C11924">
        <v>19</v>
      </c>
      <c r="D11924">
        <v>606.48</v>
      </c>
      <c r="E11924">
        <v>28.14</v>
      </c>
      <c r="F11924" t="s">
        <v>7</v>
      </c>
      <c r="G11924" t="s">
        <v>11</v>
      </c>
      <c r="H11924" s="5">
        <f>MONTH(Tabela1[[#This Row],[data]])</f>
        <v>5</v>
      </c>
      <c r="I11924">
        <f>YEAR(Tabela1[[#This Row],[data]])</f>
        <v>2026</v>
      </c>
    </row>
    <row r="11925" spans="1:9" x14ac:dyDescent="0.25">
      <c r="A11925" t="s">
        <v>6</v>
      </c>
      <c r="B11925" s="1">
        <v>46154</v>
      </c>
      <c r="C11925">
        <v>20</v>
      </c>
      <c r="D11925">
        <v>567.84</v>
      </c>
      <c r="E11925">
        <v>14.28</v>
      </c>
      <c r="F11925" t="s">
        <v>7</v>
      </c>
      <c r="G11925" t="s">
        <v>11</v>
      </c>
      <c r="H11925" s="5">
        <f>MONTH(Tabela1[[#This Row],[data]])</f>
        <v>5</v>
      </c>
      <c r="I11925">
        <f>YEAR(Tabela1[[#This Row],[data]])</f>
        <v>2026</v>
      </c>
    </row>
    <row r="11926" spans="1:9" x14ac:dyDescent="0.25">
      <c r="A11926" t="s">
        <v>6</v>
      </c>
      <c r="B11926" s="1">
        <v>46154</v>
      </c>
      <c r="C11926">
        <v>21</v>
      </c>
      <c r="D11926">
        <v>561.96</v>
      </c>
      <c r="E11926">
        <v>23.94</v>
      </c>
      <c r="F11926" t="s">
        <v>7</v>
      </c>
      <c r="G11926" t="s">
        <v>11</v>
      </c>
      <c r="H11926" s="5">
        <f>MONTH(Tabela1[[#This Row],[data]])</f>
        <v>5</v>
      </c>
      <c r="I11926">
        <f>YEAR(Tabela1[[#This Row],[data]])</f>
        <v>2026</v>
      </c>
    </row>
    <row r="11927" spans="1:9" x14ac:dyDescent="0.25">
      <c r="A11927" t="s">
        <v>6</v>
      </c>
      <c r="B11927" s="1">
        <v>46154</v>
      </c>
      <c r="C11927">
        <v>22</v>
      </c>
      <c r="D11927">
        <v>539.28</v>
      </c>
      <c r="E11927">
        <v>21.42</v>
      </c>
      <c r="F11927" t="s">
        <v>7</v>
      </c>
      <c r="G11927" t="s">
        <v>11</v>
      </c>
      <c r="H11927" s="5">
        <f>MONTH(Tabela1[[#This Row],[data]])</f>
        <v>5</v>
      </c>
      <c r="I11927">
        <f>YEAR(Tabela1[[#This Row],[data]])</f>
        <v>2026</v>
      </c>
    </row>
    <row r="11928" spans="1:9" x14ac:dyDescent="0.25">
      <c r="A11928" t="s">
        <v>6</v>
      </c>
      <c r="B11928" s="1">
        <v>46154</v>
      </c>
      <c r="C11928">
        <v>23</v>
      </c>
      <c r="D11928">
        <v>343.56</v>
      </c>
      <c r="E11928">
        <v>0</v>
      </c>
      <c r="F11928" t="s">
        <v>7</v>
      </c>
      <c r="G11928" t="s">
        <v>11</v>
      </c>
      <c r="H11928" s="5">
        <f>MONTH(Tabela1[[#This Row],[data]])</f>
        <v>5</v>
      </c>
      <c r="I11928">
        <f>YEAR(Tabela1[[#This Row],[data]])</f>
        <v>2026</v>
      </c>
    </row>
    <row r="11929" spans="1:9" x14ac:dyDescent="0.25">
      <c r="A11929" t="s">
        <v>6</v>
      </c>
      <c r="B11929" s="1">
        <v>46154</v>
      </c>
      <c r="C11929">
        <v>24</v>
      </c>
      <c r="D11929">
        <v>259.56</v>
      </c>
      <c r="E11929">
        <v>0</v>
      </c>
      <c r="F11929" t="s">
        <v>7</v>
      </c>
      <c r="G11929" t="s">
        <v>11</v>
      </c>
      <c r="H11929" s="5">
        <f>MONTH(Tabela1[[#This Row],[data]])</f>
        <v>5</v>
      </c>
      <c r="I11929">
        <f>YEAR(Tabela1[[#This Row],[data]])</f>
        <v>2026</v>
      </c>
    </row>
    <row r="11930" spans="1:9" x14ac:dyDescent="0.25">
      <c r="A11930" t="s">
        <v>6</v>
      </c>
      <c r="B11930" s="1">
        <v>46155</v>
      </c>
      <c r="C11930">
        <v>1</v>
      </c>
      <c r="D11930">
        <v>241.08</v>
      </c>
      <c r="E11930">
        <v>0</v>
      </c>
      <c r="F11930" t="s">
        <v>7</v>
      </c>
      <c r="G11930" t="s">
        <v>11</v>
      </c>
      <c r="H11930" s="5">
        <f>MONTH(Tabela1[[#This Row],[data]])</f>
        <v>5</v>
      </c>
      <c r="I11930">
        <f>YEAR(Tabela1[[#This Row],[data]])</f>
        <v>2026</v>
      </c>
    </row>
    <row r="11931" spans="1:9" x14ac:dyDescent="0.25">
      <c r="A11931" t="s">
        <v>6</v>
      </c>
      <c r="B11931" s="1">
        <v>46155</v>
      </c>
      <c r="C11931">
        <v>2</v>
      </c>
      <c r="D11931">
        <v>235.2</v>
      </c>
      <c r="E11931">
        <v>0</v>
      </c>
      <c r="F11931" t="s">
        <v>7</v>
      </c>
      <c r="G11931" t="s">
        <v>11</v>
      </c>
      <c r="H11931" s="5">
        <f>MONTH(Tabela1[[#This Row],[data]])</f>
        <v>5</v>
      </c>
      <c r="I11931">
        <f>YEAR(Tabela1[[#This Row],[data]])</f>
        <v>2026</v>
      </c>
    </row>
    <row r="11932" spans="1:9" x14ac:dyDescent="0.25">
      <c r="A11932" t="s">
        <v>6</v>
      </c>
      <c r="B11932" s="1">
        <v>46155</v>
      </c>
      <c r="C11932">
        <v>3</v>
      </c>
      <c r="D11932">
        <v>232.68</v>
      </c>
      <c r="E11932">
        <v>0</v>
      </c>
      <c r="F11932" t="s">
        <v>7</v>
      </c>
      <c r="G11932" t="s">
        <v>11</v>
      </c>
      <c r="H11932" s="5">
        <f>MONTH(Tabela1[[#This Row],[data]])</f>
        <v>5</v>
      </c>
      <c r="I11932">
        <f>YEAR(Tabela1[[#This Row],[data]])</f>
        <v>2026</v>
      </c>
    </row>
    <row r="11933" spans="1:9" x14ac:dyDescent="0.25">
      <c r="A11933" t="s">
        <v>6</v>
      </c>
      <c r="B11933" s="1">
        <v>46155</v>
      </c>
      <c r="C11933">
        <v>4</v>
      </c>
      <c r="D11933">
        <v>226.8</v>
      </c>
      <c r="E11933">
        <v>0</v>
      </c>
      <c r="F11933" t="s">
        <v>7</v>
      </c>
      <c r="G11933" t="s">
        <v>11</v>
      </c>
      <c r="H11933" s="5">
        <f>MONTH(Tabela1[[#This Row],[data]])</f>
        <v>5</v>
      </c>
      <c r="I11933">
        <f>YEAR(Tabela1[[#This Row],[data]])</f>
        <v>2026</v>
      </c>
    </row>
    <row r="11934" spans="1:9" x14ac:dyDescent="0.25">
      <c r="A11934" t="s">
        <v>6</v>
      </c>
      <c r="B11934" s="1">
        <v>46155</v>
      </c>
      <c r="C11934">
        <v>5</v>
      </c>
      <c r="D11934">
        <v>233.94</v>
      </c>
      <c r="E11934">
        <v>0</v>
      </c>
      <c r="F11934" t="s">
        <v>7</v>
      </c>
      <c r="G11934" t="s">
        <v>11</v>
      </c>
      <c r="H11934" s="5">
        <f>MONTH(Tabela1[[#This Row],[data]])</f>
        <v>5</v>
      </c>
      <c r="I11934">
        <f>YEAR(Tabela1[[#This Row],[data]])</f>
        <v>2026</v>
      </c>
    </row>
    <row r="11935" spans="1:9" x14ac:dyDescent="0.25">
      <c r="A11935" t="s">
        <v>6</v>
      </c>
      <c r="B11935" s="1">
        <v>46155</v>
      </c>
      <c r="C11935">
        <v>6</v>
      </c>
      <c r="D11935">
        <v>230.58</v>
      </c>
      <c r="E11935">
        <v>0</v>
      </c>
      <c r="F11935" t="s">
        <v>7</v>
      </c>
      <c r="G11935" t="s">
        <v>11</v>
      </c>
      <c r="H11935" s="5">
        <f>MONTH(Tabela1[[#This Row],[data]])</f>
        <v>5</v>
      </c>
      <c r="I11935">
        <f>YEAR(Tabela1[[#This Row],[data]])</f>
        <v>2026</v>
      </c>
    </row>
    <row r="11936" spans="1:9" x14ac:dyDescent="0.25">
      <c r="A11936" t="s">
        <v>6</v>
      </c>
      <c r="B11936" s="1">
        <v>46155</v>
      </c>
      <c r="C11936">
        <v>7</v>
      </c>
      <c r="D11936">
        <v>229.74</v>
      </c>
      <c r="E11936">
        <v>0</v>
      </c>
      <c r="F11936" t="s">
        <v>7</v>
      </c>
      <c r="G11936" t="s">
        <v>11</v>
      </c>
      <c r="H11936" s="5">
        <f>MONTH(Tabela1[[#This Row],[data]])</f>
        <v>5</v>
      </c>
      <c r="I11936">
        <f>YEAR(Tabela1[[#This Row],[data]])</f>
        <v>2026</v>
      </c>
    </row>
    <row r="11937" spans="1:9" x14ac:dyDescent="0.25">
      <c r="A11937" t="s">
        <v>6</v>
      </c>
      <c r="B11937" s="1">
        <v>46155</v>
      </c>
      <c r="C11937">
        <v>8</v>
      </c>
      <c r="D11937">
        <v>240.66</v>
      </c>
      <c r="E11937">
        <v>0</v>
      </c>
      <c r="F11937" t="s">
        <v>7</v>
      </c>
      <c r="G11937" t="s">
        <v>11</v>
      </c>
      <c r="H11937" s="5">
        <f>MONTH(Tabela1[[#This Row],[data]])</f>
        <v>5</v>
      </c>
      <c r="I11937">
        <f>YEAR(Tabela1[[#This Row],[data]])</f>
        <v>2026</v>
      </c>
    </row>
    <row r="11938" spans="1:9" x14ac:dyDescent="0.25">
      <c r="A11938" t="s">
        <v>6</v>
      </c>
      <c r="B11938" s="1">
        <v>46155</v>
      </c>
      <c r="C11938">
        <v>9</v>
      </c>
      <c r="D11938">
        <v>311.22000000000003</v>
      </c>
      <c r="E11938">
        <v>0</v>
      </c>
      <c r="F11938" t="s">
        <v>7</v>
      </c>
      <c r="G11938" t="s">
        <v>11</v>
      </c>
      <c r="H11938" s="5">
        <f>MONTH(Tabela1[[#This Row],[data]])</f>
        <v>5</v>
      </c>
      <c r="I11938">
        <f>YEAR(Tabela1[[#This Row],[data]])</f>
        <v>2026</v>
      </c>
    </row>
    <row r="11939" spans="1:9" x14ac:dyDescent="0.25">
      <c r="A11939" t="s">
        <v>6</v>
      </c>
      <c r="B11939" s="1">
        <v>46155</v>
      </c>
      <c r="C11939">
        <v>10</v>
      </c>
      <c r="D11939">
        <v>402.78</v>
      </c>
      <c r="E11939">
        <v>1.26</v>
      </c>
      <c r="F11939" t="s">
        <v>7</v>
      </c>
      <c r="G11939" t="s">
        <v>11</v>
      </c>
      <c r="H11939" s="5">
        <f>MONTH(Tabela1[[#This Row],[data]])</f>
        <v>5</v>
      </c>
      <c r="I11939">
        <f>YEAR(Tabela1[[#This Row],[data]])</f>
        <v>2026</v>
      </c>
    </row>
    <row r="11940" spans="1:9" x14ac:dyDescent="0.25">
      <c r="A11940" t="s">
        <v>6</v>
      </c>
      <c r="B11940" s="1">
        <v>46155</v>
      </c>
      <c r="C11940">
        <v>11</v>
      </c>
      <c r="D11940">
        <v>540.96</v>
      </c>
      <c r="E11940">
        <v>21</v>
      </c>
      <c r="F11940" t="s">
        <v>7</v>
      </c>
      <c r="G11940" t="s">
        <v>11</v>
      </c>
      <c r="H11940" s="5">
        <f>MONTH(Tabela1[[#This Row],[data]])</f>
        <v>5</v>
      </c>
      <c r="I11940">
        <f>YEAR(Tabela1[[#This Row],[data]])</f>
        <v>2026</v>
      </c>
    </row>
    <row r="11941" spans="1:9" x14ac:dyDescent="0.25">
      <c r="A11941" t="s">
        <v>6</v>
      </c>
      <c r="B11941" s="1">
        <v>46155</v>
      </c>
      <c r="C11941">
        <v>12</v>
      </c>
      <c r="D11941">
        <v>720.3</v>
      </c>
      <c r="E11941">
        <v>120.96</v>
      </c>
      <c r="F11941" t="s">
        <v>7</v>
      </c>
      <c r="G11941" t="s">
        <v>11</v>
      </c>
      <c r="H11941" s="5">
        <f>MONTH(Tabela1[[#This Row],[data]])</f>
        <v>5</v>
      </c>
      <c r="I11941">
        <f>YEAR(Tabela1[[#This Row],[data]])</f>
        <v>2026</v>
      </c>
    </row>
    <row r="11942" spans="1:9" x14ac:dyDescent="0.25">
      <c r="A11942" t="s">
        <v>6</v>
      </c>
      <c r="B11942" s="1">
        <v>46155</v>
      </c>
      <c r="C11942">
        <v>13</v>
      </c>
      <c r="D11942">
        <v>735.84</v>
      </c>
      <c r="E11942">
        <v>158.34</v>
      </c>
      <c r="F11942" t="s">
        <v>7</v>
      </c>
      <c r="G11942" t="s">
        <v>11</v>
      </c>
      <c r="H11942" s="5">
        <f>MONTH(Tabela1[[#This Row],[data]])</f>
        <v>5</v>
      </c>
      <c r="I11942">
        <f>YEAR(Tabela1[[#This Row],[data]])</f>
        <v>2026</v>
      </c>
    </row>
    <row r="11943" spans="1:9" x14ac:dyDescent="0.25">
      <c r="A11943" t="s">
        <v>6</v>
      </c>
      <c r="B11943" s="1">
        <v>46155</v>
      </c>
      <c r="C11943">
        <v>14</v>
      </c>
      <c r="D11943">
        <v>735.84</v>
      </c>
      <c r="E11943">
        <v>152.46</v>
      </c>
      <c r="F11943" t="s">
        <v>7</v>
      </c>
      <c r="G11943" t="s">
        <v>11</v>
      </c>
      <c r="H11943" s="5">
        <f>MONTH(Tabela1[[#This Row],[data]])</f>
        <v>5</v>
      </c>
      <c r="I11943">
        <f>YEAR(Tabela1[[#This Row],[data]])</f>
        <v>2026</v>
      </c>
    </row>
    <row r="11944" spans="1:9" x14ac:dyDescent="0.25">
      <c r="A11944" t="s">
        <v>6</v>
      </c>
      <c r="B11944" s="1">
        <v>46155</v>
      </c>
      <c r="C11944">
        <v>15</v>
      </c>
      <c r="D11944">
        <v>767.34</v>
      </c>
      <c r="E11944">
        <v>158.76</v>
      </c>
      <c r="F11944" t="s">
        <v>7</v>
      </c>
      <c r="G11944" t="s">
        <v>11</v>
      </c>
      <c r="H11944" s="5">
        <f>MONTH(Tabela1[[#This Row],[data]])</f>
        <v>5</v>
      </c>
      <c r="I11944">
        <f>YEAR(Tabela1[[#This Row],[data]])</f>
        <v>2026</v>
      </c>
    </row>
    <row r="11945" spans="1:9" x14ac:dyDescent="0.25">
      <c r="A11945" t="s">
        <v>6</v>
      </c>
      <c r="B11945" s="1">
        <v>46155</v>
      </c>
      <c r="C11945">
        <v>16</v>
      </c>
      <c r="D11945">
        <v>766.08</v>
      </c>
      <c r="E11945">
        <v>159.6</v>
      </c>
      <c r="F11945" t="s">
        <v>7</v>
      </c>
      <c r="G11945" t="s">
        <v>11</v>
      </c>
      <c r="H11945" s="5">
        <f>MONTH(Tabela1[[#This Row],[data]])</f>
        <v>5</v>
      </c>
      <c r="I11945">
        <f>YEAR(Tabela1[[#This Row],[data]])</f>
        <v>2026</v>
      </c>
    </row>
    <row r="11946" spans="1:9" x14ac:dyDescent="0.25">
      <c r="A11946" t="s">
        <v>6</v>
      </c>
      <c r="B11946" s="1">
        <v>46155</v>
      </c>
      <c r="C11946">
        <v>17</v>
      </c>
      <c r="D11946">
        <v>761.88</v>
      </c>
      <c r="E11946">
        <v>161.28</v>
      </c>
      <c r="F11946" t="s">
        <v>7</v>
      </c>
      <c r="G11946" t="s">
        <v>11</v>
      </c>
      <c r="H11946" s="5">
        <f>MONTH(Tabela1[[#This Row],[data]])</f>
        <v>5</v>
      </c>
      <c r="I11946">
        <f>YEAR(Tabela1[[#This Row],[data]])</f>
        <v>2026</v>
      </c>
    </row>
    <row r="11947" spans="1:9" x14ac:dyDescent="0.25">
      <c r="A11947" t="s">
        <v>6</v>
      </c>
      <c r="B11947" s="1">
        <v>46155</v>
      </c>
      <c r="C11947">
        <v>18</v>
      </c>
      <c r="D11947">
        <v>737.94</v>
      </c>
      <c r="E11947">
        <v>157.5</v>
      </c>
      <c r="F11947" t="s">
        <v>7</v>
      </c>
      <c r="G11947" t="s">
        <v>11</v>
      </c>
      <c r="H11947" s="5">
        <f>MONTH(Tabela1[[#This Row],[data]])</f>
        <v>5</v>
      </c>
      <c r="I11947">
        <f>YEAR(Tabela1[[#This Row],[data]])</f>
        <v>2026</v>
      </c>
    </row>
    <row r="11948" spans="1:9" x14ac:dyDescent="0.25">
      <c r="A11948" t="s">
        <v>6</v>
      </c>
      <c r="B11948" s="1">
        <v>46155</v>
      </c>
      <c r="C11948">
        <v>19</v>
      </c>
      <c r="D11948">
        <v>603.96</v>
      </c>
      <c r="E11948">
        <v>31.08</v>
      </c>
      <c r="F11948" t="s">
        <v>7</v>
      </c>
      <c r="G11948" t="s">
        <v>11</v>
      </c>
      <c r="H11948" s="5">
        <f>MONTH(Tabela1[[#This Row],[data]])</f>
        <v>5</v>
      </c>
      <c r="I11948">
        <f>YEAR(Tabela1[[#This Row],[data]])</f>
        <v>2026</v>
      </c>
    </row>
    <row r="11949" spans="1:9" x14ac:dyDescent="0.25">
      <c r="A11949" t="s">
        <v>6</v>
      </c>
      <c r="B11949" s="1">
        <v>46155</v>
      </c>
      <c r="C11949">
        <v>20</v>
      </c>
      <c r="D11949">
        <v>568.67999999999995</v>
      </c>
      <c r="E11949">
        <v>25.2</v>
      </c>
      <c r="F11949" t="s">
        <v>7</v>
      </c>
      <c r="G11949" t="s">
        <v>11</v>
      </c>
      <c r="H11949" s="5">
        <f>MONTH(Tabela1[[#This Row],[data]])</f>
        <v>5</v>
      </c>
      <c r="I11949">
        <f>YEAR(Tabela1[[#This Row],[data]])</f>
        <v>2026</v>
      </c>
    </row>
    <row r="11950" spans="1:9" x14ac:dyDescent="0.25">
      <c r="A11950" t="s">
        <v>6</v>
      </c>
      <c r="B11950" s="1">
        <v>46155</v>
      </c>
      <c r="C11950">
        <v>21</v>
      </c>
      <c r="D11950">
        <v>566.58000000000004</v>
      </c>
      <c r="E11950">
        <v>29.4</v>
      </c>
      <c r="F11950" t="s">
        <v>7</v>
      </c>
      <c r="G11950" t="s">
        <v>11</v>
      </c>
      <c r="H11950" s="5">
        <f>MONTH(Tabela1[[#This Row],[data]])</f>
        <v>5</v>
      </c>
      <c r="I11950">
        <f>YEAR(Tabela1[[#This Row],[data]])</f>
        <v>2026</v>
      </c>
    </row>
    <row r="11951" spans="1:9" x14ac:dyDescent="0.25">
      <c r="A11951" t="s">
        <v>6</v>
      </c>
      <c r="B11951" s="1">
        <v>46155</v>
      </c>
      <c r="C11951">
        <v>22</v>
      </c>
      <c r="D11951">
        <v>539.28</v>
      </c>
      <c r="E11951">
        <v>21.84</v>
      </c>
      <c r="F11951" t="s">
        <v>7</v>
      </c>
      <c r="G11951" t="s">
        <v>11</v>
      </c>
      <c r="H11951" s="5">
        <f>MONTH(Tabela1[[#This Row],[data]])</f>
        <v>5</v>
      </c>
      <c r="I11951">
        <f>YEAR(Tabela1[[#This Row],[data]])</f>
        <v>2026</v>
      </c>
    </row>
    <row r="11952" spans="1:9" x14ac:dyDescent="0.25">
      <c r="A11952" t="s">
        <v>6</v>
      </c>
      <c r="B11952" s="1">
        <v>46155</v>
      </c>
      <c r="C11952">
        <v>23</v>
      </c>
      <c r="D11952">
        <v>344.82</v>
      </c>
      <c r="E11952">
        <v>0</v>
      </c>
      <c r="F11952" t="s">
        <v>7</v>
      </c>
      <c r="G11952" t="s">
        <v>11</v>
      </c>
      <c r="H11952" s="5">
        <f>MONTH(Tabela1[[#This Row],[data]])</f>
        <v>5</v>
      </c>
      <c r="I11952">
        <f>YEAR(Tabela1[[#This Row],[data]])</f>
        <v>2026</v>
      </c>
    </row>
    <row r="11953" spans="1:9" x14ac:dyDescent="0.25">
      <c r="A11953" t="s">
        <v>6</v>
      </c>
      <c r="B11953" s="1">
        <v>46155</v>
      </c>
      <c r="C11953">
        <v>24</v>
      </c>
      <c r="D11953">
        <v>252.84</v>
      </c>
      <c r="E11953">
        <v>0</v>
      </c>
      <c r="F11953" t="s">
        <v>7</v>
      </c>
      <c r="G11953" t="s">
        <v>11</v>
      </c>
      <c r="H11953" s="5">
        <f>MONTH(Tabela1[[#This Row],[data]])</f>
        <v>5</v>
      </c>
      <c r="I11953">
        <f>YEAR(Tabela1[[#This Row],[data]])</f>
        <v>2026</v>
      </c>
    </row>
    <row r="11954" spans="1:9" x14ac:dyDescent="0.25">
      <c r="A11954" t="s">
        <v>6</v>
      </c>
      <c r="B11954" s="1">
        <v>46156</v>
      </c>
      <c r="C11954">
        <v>1</v>
      </c>
      <c r="D11954">
        <v>225.96</v>
      </c>
      <c r="E11954">
        <v>0</v>
      </c>
      <c r="F11954" t="s">
        <v>7</v>
      </c>
      <c r="G11954" t="s">
        <v>11</v>
      </c>
      <c r="H11954" s="5">
        <f>MONTH(Tabela1[[#This Row],[data]])</f>
        <v>5</v>
      </c>
      <c r="I11954">
        <f>YEAR(Tabela1[[#This Row],[data]])</f>
        <v>2026</v>
      </c>
    </row>
    <row r="11955" spans="1:9" x14ac:dyDescent="0.25">
      <c r="A11955" t="s">
        <v>6</v>
      </c>
      <c r="B11955" s="1">
        <v>46156</v>
      </c>
      <c r="C11955">
        <v>2</v>
      </c>
      <c r="D11955">
        <v>223.86</v>
      </c>
      <c r="E11955">
        <v>0</v>
      </c>
      <c r="F11955" t="s">
        <v>7</v>
      </c>
      <c r="G11955" t="s">
        <v>11</v>
      </c>
      <c r="H11955" s="5">
        <f>MONTH(Tabela1[[#This Row],[data]])</f>
        <v>5</v>
      </c>
      <c r="I11955">
        <f>YEAR(Tabela1[[#This Row],[data]])</f>
        <v>2026</v>
      </c>
    </row>
    <row r="11956" spans="1:9" x14ac:dyDescent="0.25">
      <c r="A11956" t="s">
        <v>6</v>
      </c>
      <c r="B11956" s="1">
        <v>46156</v>
      </c>
      <c r="C11956">
        <v>3</v>
      </c>
      <c r="D11956">
        <v>220.08</v>
      </c>
      <c r="E11956">
        <v>0</v>
      </c>
      <c r="F11956" t="s">
        <v>7</v>
      </c>
      <c r="G11956" t="s">
        <v>11</v>
      </c>
      <c r="H11956" s="5">
        <f>MONTH(Tabela1[[#This Row],[data]])</f>
        <v>5</v>
      </c>
      <c r="I11956">
        <f>YEAR(Tabela1[[#This Row],[data]])</f>
        <v>2026</v>
      </c>
    </row>
    <row r="11957" spans="1:9" x14ac:dyDescent="0.25">
      <c r="A11957" t="s">
        <v>6</v>
      </c>
      <c r="B11957" s="1">
        <v>46156</v>
      </c>
      <c r="C11957">
        <v>4</v>
      </c>
      <c r="D11957">
        <v>220.08</v>
      </c>
      <c r="E11957">
        <v>0</v>
      </c>
      <c r="F11957" t="s">
        <v>7</v>
      </c>
      <c r="G11957" t="s">
        <v>11</v>
      </c>
      <c r="H11957" s="5">
        <f>MONTH(Tabela1[[#This Row],[data]])</f>
        <v>5</v>
      </c>
      <c r="I11957">
        <f>YEAR(Tabela1[[#This Row],[data]])</f>
        <v>2026</v>
      </c>
    </row>
    <row r="11958" spans="1:9" x14ac:dyDescent="0.25">
      <c r="A11958" t="s">
        <v>6</v>
      </c>
      <c r="B11958" s="1">
        <v>46156</v>
      </c>
      <c r="C11958">
        <v>5</v>
      </c>
      <c r="D11958">
        <v>228.48</v>
      </c>
      <c r="E11958">
        <v>0</v>
      </c>
      <c r="F11958" t="s">
        <v>7</v>
      </c>
      <c r="G11958" t="s">
        <v>11</v>
      </c>
      <c r="H11958" s="5">
        <f>MONTH(Tabela1[[#This Row],[data]])</f>
        <v>5</v>
      </c>
      <c r="I11958">
        <f>YEAR(Tabela1[[#This Row],[data]])</f>
        <v>2026</v>
      </c>
    </row>
    <row r="11959" spans="1:9" x14ac:dyDescent="0.25">
      <c r="A11959" t="s">
        <v>6</v>
      </c>
      <c r="B11959" s="1">
        <v>46156</v>
      </c>
      <c r="C11959">
        <v>6</v>
      </c>
      <c r="D11959">
        <v>224.28</v>
      </c>
      <c r="E11959">
        <v>0</v>
      </c>
      <c r="F11959" t="s">
        <v>7</v>
      </c>
      <c r="G11959" t="s">
        <v>11</v>
      </c>
      <c r="H11959" s="5">
        <f>MONTH(Tabela1[[#This Row],[data]])</f>
        <v>5</v>
      </c>
      <c r="I11959">
        <f>YEAR(Tabela1[[#This Row],[data]])</f>
        <v>2026</v>
      </c>
    </row>
    <row r="11960" spans="1:9" x14ac:dyDescent="0.25">
      <c r="A11960" t="s">
        <v>6</v>
      </c>
      <c r="B11960" s="1">
        <v>46156</v>
      </c>
      <c r="C11960">
        <v>7</v>
      </c>
      <c r="D11960">
        <v>222.6</v>
      </c>
      <c r="E11960">
        <v>0</v>
      </c>
      <c r="F11960" t="s">
        <v>7</v>
      </c>
      <c r="G11960" t="s">
        <v>11</v>
      </c>
      <c r="H11960" s="5">
        <f>MONTH(Tabela1[[#This Row],[data]])</f>
        <v>5</v>
      </c>
      <c r="I11960">
        <f>YEAR(Tabela1[[#This Row],[data]])</f>
        <v>2026</v>
      </c>
    </row>
    <row r="11961" spans="1:9" x14ac:dyDescent="0.25">
      <c r="A11961" t="s">
        <v>6</v>
      </c>
      <c r="B11961" s="1">
        <v>46156</v>
      </c>
      <c r="C11961">
        <v>8</v>
      </c>
      <c r="D11961">
        <v>244.44</v>
      </c>
      <c r="E11961">
        <v>0</v>
      </c>
      <c r="F11961" t="s">
        <v>7</v>
      </c>
      <c r="G11961" t="s">
        <v>11</v>
      </c>
      <c r="H11961" s="5">
        <f>MONTH(Tabela1[[#This Row],[data]])</f>
        <v>5</v>
      </c>
      <c r="I11961">
        <f>YEAR(Tabela1[[#This Row],[data]])</f>
        <v>2026</v>
      </c>
    </row>
    <row r="11962" spans="1:9" x14ac:dyDescent="0.25">
      <c r="A11962" t="s">
        <v>6</v>
      </c>
      <c r="B11962" s="1">
        <v>46156</v>
      </c>
      <c r="C11962">
        <v>9</v>
      </c>
      <c r="D11962">
        <v>315</v>
      </c>
      <c r="E11962">
        <v>0</v>
      </c>
      <c r="F11962" t="s">
        <v>7</v>
      </c>
      <c r="G11962" t="s">
        <v>11</v>
      </c>
      <c r="H11962" s="5">
        <f>MONTH(Tabela1[[#This Row],[data]])</f>
        <v>5</v>
      </c>
      <c r="I11962">
        <f>YEAR(Tabela1[[#This Row],[data]])</f>
        <v>2026</v>
      </c>
    </row>
    <row r="11963" spans="1:9" x14ac:dyDescent="0.25">
      <c r="A11963" t="s">
        <v>6</v>
      </c>
      <c r="B11963" s="1">
        <v>46156</v>
      </c>
      <c r="C11963">
        <v>10</v>
      </c>
      <c r="D11963">
        <v>390.6</v>
      </c>
      <c r="E11963">
        <v>2.1</v>
      </c>
      <c r="F11963" t="s">
        <v>7</v>
      </c>
      <c r="G11963" t="s">
        <v>11</v>
      </c>
      <c r="H11963" s="5">
        <f>MONTH(Tabela1[[#This Row],[data]])</f>
        <v>5</v>
      </c>
      <c r="I11963">
        <f>YEAR(Tabela1[[#This Row],[data]])</f>
        <v>2026</v>
      </c>
    </row>
    <row r="11964" spans="1:9" x14ac:dyDescent="0.25">
      <c r="A11964" t="s">
        <v>6</v>
      </c>
      <c r="B11964" s="1">
        <v>46156</v>
      </c>
      <c r="C11964">
        <v>11</v>
      </c>
      <c r="D11964">
        <v>534.24</v>
      </c>
      <c r="E11964">
        <v>14.7</v>
      </c>
      <c r="F11964" t="s">
        <v>7</v>
      </c>
      <c r="G11964" t="s">
        <v>11</v>
      </c>
      <c r="H11964" s="5">
        <f>MONTH(Tabela1[[#This Row],[data]])</f>
        <v>5</v>
      </c>
      <c r="I11964">
        <f>YEAR(Tabela1[[#This Row],[data]])</f>
        <v>2026</v>
      </c>
    </row>
    <row r="11965" spans="1:9" x14ac:dyDescent="0.25">
      <c r="A11965" t="s">
        <v>6</v>
      </c>
      <c r="B11965" s="1">
        <v>46156</v>
      </c>
      <c r="C11965">
        <v>12</v>
      </c>
      <c r="D11965">
        <v>767.76</v>
      </c>
      <c r="E11965">
        <v>123.9</v>
      </c>
      <c r="F11965" t="s">
        <v>7</v>
      </c>
      <c r="G11965" t="s">
        <v>11</v>
      </c>
      <c r="H11965" s="5">
        <f>MONTH(Tabela1[[#This Row],[data]])</f>
        <v>5</v>
      </c>
      <c r="I11965">
        <f>YEAR(Tabela1[[#This Row],[data]])</f>
        <v>2026</v>
      </c>
    </row>
    <row r="11966" spans="1:9" x14ac:dyDescent="0.25">
      <c r="A11966" t="s">
        <v>6</v>
      </c>
      <c r="B11966" s="1">
        <v>46156</v>
      </c>
      <c r="C11966">
        <v>13</v>
      </c>
      <c r="D11966">
        <v>808.08</v>
      </c>
      <c r="E11966">
        <v>177.24</v>
      </c>
      <c r="F11966" t="s">
        <v>7</v>
      </c>
      <c r="G11966" t="s">
        <v>11</v>
      </c>
      <c r="H11966" s="5">
        <f>MONTH(Tabela1[[#This Row],[data]])</f>
        <v>5</v>
      </c>
      <c r="I11966">
        <f>YEAR(Tabela1[[#This Row],[data]])</f>
        <v>2026</v>
      </c>
    </row>
    <row r="11967" spans="1:9" x14ac:dyDescent="0.25">
      <c r="A11967" t="s">
        <v>6</v>
      </c>
      <c r="B11967" s="1">
        <v>46156</v>
      </c>
      <c r="C11967">
        <v>14</v>
      </c>
      <c r="D11967">
        <v>818.58</v>
      </c>
      <c r="E11967">
        <v>159.18</v>
      </c>
      <c r="F11967" t="s">
        <v>7</v>
      </c>
      <c r="G11967" t="s">
        <v>11</v>
      </c>
      <c r="H11967" s="5">
        <f>MONTH(Tabela1[[#This Row],[data]])</f>
        <v>5</v>
      </c>
      <c r="I11967">
        <f>YEAR(Tabela1[[#This Row],[data]])</f>
        <v>2026</v>
      </c>
    </row>
    <row r="11968" spans="1:9" x14ac:dyDescent="0.25">
      <c r="A11968" t="s">
        <v>6</v>
      </c>
      <c r="B11968" s="1">
        <v>46156</v>
      </c>
      <c r="C11968">
        <v>15</v>
      </c>
      <c r="D11968">
        <v>834.12</v>
      </c>
      <c r="E11968">
        <v>168.42</v>
      </c>
      <c r="F11968" t="s">
        <v>7</v>
      </c>
      <c r="G11968" t="s">
        <v>11</v>
      </c>
      <c r="H11968" s="5">
        <f>MONTH(Tabela1[[#This Row],[data]])</f>
        <v>5</v>
      </c>
      <c r="I11968">
        <f>YEAR(Tabela1[[#This Row],[data]])</f>
        <v>2026</v>
      </c>
    </row>
    <row r="11969" spans="1:9" x14ac:dyDescent="0.25">
      <c r="A11969" t="s">
        <v>6</v>
      </c>
      <c r="B11969" s="1">
        <v>46156</v>
      </c>
      <c r="C11969">
        <v>16</v>
      </c>
      <c r="D11969">
        <v>832.44</v>
      </c>
      <c r="E11969">
        <v>185.22</v>
      </c>
      <c r="F11969" t="s">
        <v>7</v>
      </c>
      <c r="G11969" t="s">
        <v>11</v>
      </c>
      <c r="H11969" s="5">
        <f>MONTH(Tabela1[[#This Row],[data]])</f>
        <v>5</v>
      </c>
      <c r="I11969">
        <f>YEAR(Tabela1[[#This Row],[data]])</f>
        <v>2026</v>
      </c>
    </row>
    <row r="11970" spans="1:9" x14ac:dyDescent="0.25">
      <c r="A11970" t="s">
        <v>6</v>
      </c>
      <c r="B11970" s="1">
        <v>46156</v>
      </c>
      <c r="C11970">
        <v>17</v>
      </c>
      <c r="D11970">
        <v>814.8</v>
      </c>
      <c r="E11970">
        <v>178.92</v>
      </c>
      <c r="F11970" t="s">
        <v>7</v>
      </c>
      <c r="G11970" t="s">
        <v>11</v>
      </c>
      <c r="H11970" s="5">
        <f>MONTH(Tabela1[[#This Row],[data]])</f>
        <v>5</v>
      </c>
      <c r="I11970">
        <f>YEAR(Tabela1[[#This Row],[data]])</f>
        <v>2026</v>
      </c>
    </row>
    <row r="11971" spans="1:9" x14ac:dyDescent="0.25">
      <c r="A11971" t="s">
        <v>6</v>
      </c>
      <c r="B11971" s="1">
        <v>46156</v>
      </c>
      <c r="C11971">
        <v>18</v>
      </c>
      <c r="D11971">
        <v>770.7</v>
      </c>
      <c r="E11971">
        <v>156.66</v>
      </c>
      <c r="F11971" t="s">
        <v>7</v>
      </c>
      <c r="G11971" t="s">
        <v>11</v>
      </c>
      <c r="H11971" s="5">
        <f>MONTH(Tabela1[[#This Row],[data]])</f>
        <v>5</v>
      </c>
      <c r="I11971">
        <f>YEAR(Tabela1[[#This Row],[data]])</f>
        <v>2026</v>
      </c>
    </row>
    <row r="11972" spans="1:9" x14ac:dyDescent="0.25">
      <c r="A11972" t="s">
        <v>6</v>
      </c>
      <c r="B11972" s="1">
        <v>46156</v>
      </c>
      <c r="C11972">
        <v>19</v>
      </c>
      <c r="D11972">
        <v>623.28</v>
      </c>
      <c r="E11972">
        <v>47.88</v>
      </c>
      <c r="F11972" t="s">
        <v>7</v>
      </c>
      <c r="G11972" t="s">
        <v>11</v>
      </c>
      <c r="H11972" s="5">
        <f>MONTH(Tabela1[[#This Row],[data]])</f>
        <v>5</v>
      </c>
      <c r="I11972">
        <f>YEAR(Tabela1[[#This Row],[data]])</f>
        <v>2026</v>
      </c>
    </row>
    <row r="11973" spans="1:9" x14ac:dyDescent="0.25">
      <c r="A11973" t="s">
        <v>6</v>
      </c>
      <c r="B11973" s="1">
        <v>46156</v>
      </c>
      <c r="C11973">
        <v>20</v>
      </c>
      <c r="D11973">
        <v>575.4</v>
      </c>
      <c r="E11973">
        <v>32.76</v>
      </c>
      <c r="F11973" t="s">
        <v>7</v>
      </c>
      <c r="G11973" t="s">
        <v>11</v>
      </c>
      <c r="H11973" s="5">
        <f>MONTH(Tabela1[[#This Row],[data]])</f>
        <v>5</v>
      </c>
      <c r="I11973">
        <f>YEAR(Tabela1[[#This Row],[data]])</f>
        <v>2026</v>
      </c>
    </row>
    <row r="11974" spans="1:9" x14ac:dyDescent="0.25">
      <c r="A11974" t="s">
        <v>6</v>
      </c>
      <c r="B11974" s="1">
        <v>46156</v>
      </c>
      <c r="C11974">
        <v>21</v>
      </c>
      <c r="D11974">
        <v>570.78</v>
      </c>
      <c r="E11974">
        <v>29.82</v>
      </c>
      <c r="F11974" t="s">
        <v>7</v>
      </c>
      <c r="G11974" t="s">
        <v>11</v>
      </c>
      <c r="H11974" s="5">
        <f>MONTH(Tabela1[[#This Row],[data]])</f>
        <v>5</v>
      </c>
      <c r="I11974">
        <f>YEAR(Tabela1[[#This Row],[data]])</f>
        <v>2026</v>
      </c>
    </row>
    <row r="11975" spans="1:9" x14ac:dyDescent="0.25">
      <c r="A11975" t="s">
        <v>6</v>
      </c>
      <c r="B11975" s="1">
        <v>46156</v>
      </c>
      <c r="C11975">
        <v>22</v>
      </c>
      <c r="D11975">
        <v>556.91999999999996</v>
      </c>
      <c r="E11975">
        <v>27.3</v>
      </c>
      <c r="F11975" t="s">
        <v>7</v>
      </c>
      <c r="G11975" t="s">
        <v>11</v>
      </c>
      <c r="H11975" s="5">
        <f>MONTH(Tabela1[[#This Row],[data]])</f>
        <v>5</v>
      </c>
      <c r="I11975">
        <f>YEAR(Tabela1[[#This Row],[data]])</f>
        <v>2026</v>
      </c>
    </row>
    <row r="11976" spans="1:9" x14ac:dyDescent="0.25">
      <c r="A11976" t="s">
        <v>6</v>
      </c>
      <c r="B11976" s="1">
        <v>46156</v>
      </c>
      <c r="C11976">
        <v>23</v>
      </c>
      <c r="D11976">
        <v>359.1</v>
      </c>
      <c r="E11976">
        <v>0</v>
      </c>
      <c r="F11976" t="s">
        <v>7</v>
      </c>
      <c r="G11976" t="s">
        <v>11</v>
      </c>
      <c r="H11976" s="5">
        <f>MONTH(Tabela1[[#This Row],[data]])</f>
        <v>5</v>
      </c>
      <c r="I11976">
        <f>YEAR(Tabela1[[#This Row],[data]])</f>
        <v>2026</v>
      </c>
    </row>
    <row r="11977" spans="1:9" x14ac:dyDescent="0.25">
      <c r="A11977" t="s">
        <v>6</v>
      </c>
      <c r="B11977" s="1">
        <v>46156</v>
      </c>
      <c r="C11977">
        <v>24</v>
      </c>
      <c r="D11977">
        <v>263.76</v>
      </c>
      <c r="E11977">
        <v>0</v>
      </c>
      <c r="F11977" t="s">
        <v>7</v>
      </c>
      <c r="G11977" t="s">
        <v>11</v>
      </c>
      <c r="H11977" s="5">
        <f>MONTH(Tabela1[[#This Row],[data]])</f>
        <v>5</v>
      </c>
      <c r="I11977">
        <f>YEAR(Tabela1[[#This Row],[data]])</f>
        <v>2026</v>
      </c>
    </row>
    <row r="11978" spans="1:9" x14ac:dyDescent="0.25">
      <c r="A11978" t="s">
        <v>6</v>
      </c>
      <c r="B11978" s="1">
        <v>46157</v>
      </c>
      <c r="C11978">
        <v>1</v>
      </c>
      <c r="D11978">
        <v>250.32</v>
      </c>
      <c r="E11978">
        <v>0</v>
      </c>
      <c r="F11978" t="s">
        <v>7</v>
      </c>
      <c r="G11978" t="s">
        <v>11</v>
      </c>
      <c r="H11978" s="5">
        <f>MONTH(Tabela1[[#This Row],[data]])</f>
        <v>5</v>
      </c>
      <c r="I11978">
        <f>YEAR(Tabela1[[#This Row],[data]])</f>
        <v>2026</v>
      </c>
    </row>
    <row r="11979" spans="1:9" x14ac:dyDescent="0.25">
      <c r="A11979" t="s">
        <v>6</v>
      </c>
      <c r="B11979" s="1">
        <v>46157</v>
      </c>
      <c r="C11979">
        <v>2</v>
      </c>
      <c r="D11979">
        <v>234.36</v>
      </c>
      <c r="E11979">
        <v>0</v>
      </c>
      <c r="F11979" t="s">
        <v>7</v>
      </c>
      <c r="G11979" t="s">
        <v>11</v>
      </c>
      <c r="H11979" s="5">
        <f>MONTH(Tabela1[[#This Row],[data]])</f>
        <v>5</v>
      </c>
      <c r="I11979">
        <f>YEAR(Tabela1[[#This Row],[data]])</f>
        <v>2026</v>
      </c>
    </row>
    <row r="11980" spans="1:9" x14ac:dyDescent="0.25">
      <c r="A11980" t="s">
        <v>6</v>
      </c>
      <c r="B11980" s="1">
        <v>46157</v>
      </c>
      <c r="C11980">
        <v>3</v>
      </c>
      <c r="D11980">
        <v>231.42</v>
      </c>
      <c r="E11980">
        <v>0</v>
      </c>
      <c r="F11980" t="s">
        <v>7</v>
      </c>
      <c r="G11980" t="s">
        <v>11</v>
      </c>
      <c r="H11980" s="5">
        <f>MONTH(Tabela1[[#This Row],[data]])</f>
        <v>5</v>
      </c>
      <c r="I11980">
        <f>YEAR(Tabela1[[#This Row],[data]])</f>
        <v>2026</v>
      </c>
    </row>
    <row r="11981" spans="1:9" x14ac:dyDescent="0.25">
      <c r="A11981" t="s">
        <v>6</v>
      </c>
      <c r="B11981" s="1">
        <v>46157</v>
      </c>
      <c r="C11981">
        <v>4</v>
      </c>
      <c r="D11981">
        <v>228.48</v>
      </c>
      <c r="E11981">
        <v>0</v>
      </c>
      <c r="F11981" t="s">
        <v>7</v>
      </c>
      <c r="G11981" t="s">
        <v>11</v>
      </c>
      <c r="H11981" s="5">
        <f>MONTH(Tabela1[[#This Row],[data]])</f>
        <v>5</v>
      </c>
      <c r="I11981">
        <f>YEAR(Tabela1[[#This Row],[data]])</f>
        <v>2026</v>
      </c>
    </row>
    <row r="11982" spans="1:9" x14ac:dyDescent="0.25">
      <c r="A11982" t="s">
        <v>6</v>
      </c>
      <c r="B11982" s="1">
        <v>46157</v>
      </c>
      <c r="C11982">
        <v>5</v>
      </c>
      <c r="D11982">
        <v>234.36</v>
      </c>
      <c r="E11982">
        <v>0</v>
      </c>
      <c r="F11982" t="s">
        <v>7</v>
      </c>
      <c r="G11982" t="s">
        <v>11</v>
      </c>
      <c r="H11982" s="5">
        <f>MONTH(Tabela1[[#This Row],[data]])</f>
        <v>5</v>
      </c>
      <c r="I11982">
        <f>YEAR(Tabela1[[#This Row],[data]])</f>
        <v>2026</v>
      </c>
    </row>
    <row r="11983" spans="1:9" x14ac:dyDescent="0.25">
      <c r="A11983" t="s">
        <v>6</v>
      </c>
      <c r="B11983" s="1">
        <v>46157</v>
      </c>
      <c r="C11983">
        <v>6</v>
      </c>
      <c r="D11983">
        <v>231</v>
      </c>
      <c r="E11983">
        <v>0</v>
      </c>
      <c r="F11983" t="s">
        <v>7</v>
      </c>
      <c r="G11983" t="s">
        <v>11</v>
      </c>
      <c r="H11983" s="5">
        <f>MONTH(Tabela1[[#This Row],[data]])</f>
        <v>5</v>
      </c>
      <c r="I11983">
        <f>YEAR(Tabela1[[#This Row],[data]])</f>
        <v>2026</v>
      </c>
    </row>
    <row r="11984" spans="1:9" x14ac:dyDescent="0.25">
      <c r="A11984" t="s">
        <v>6</v>
      </c>
      <c r="B11984" s="1">
        <v>46157</v>
      </c>
      <c r="C11984">
        <v>7</v>
      </c>
      <c r="D11984">
        <v>234.78</v>
      </c>
      <c r="E11984">
        <v>0</v>
      </c>
      <c r="F11984" t="s">
        <v>7</v>
      </c>
      <c r="G11984" t="s">
        <v>11</v>
      </c>
      <c r="H11984" s="5">
        <f>MONTH(Tabela1[[#This Row],[data]])</f>
        <v>5</v>
      </c>
      <c r="I11984">
        <f>YEAR(Tabela1[[#This Row],[data]])</f>
        <v>2026</v>
      </c>
    </row>
    <row r="11985" spans="1:9" x14ac:dyDescent="0.25">
      <c r="A11985" t="s">
        <v>6</v>
      </c>
      <c r="B11985" s="1">
        <v>46157</v>
      </c>
      <c r="C11985">
        <v>8</v>
      </c>
      <c r="D11985">
        <v>258.72000000000003</v>
      </c>
      <c r="E11985">
        <v>0</v>
      </c>
      <c r="F11985" t="s">
        <v>7</v>
      </c>
      <c r="G11985" t="s">
        <v>11</v>
      </c>
      <c r="H11985" s="5">
        <f>MONTH(Tabela1[[#This Row],[data]])</f>
        <v>5</v>
      </c>
      <c r="I11985">
        <f>YEAR(Tabela1[[#This Row],[data]])</f>
        <v>2026</v>
      </c>
    </row>
    <row r="11986" spans="1:9" x14ac:dyDescent="0.25">
      <c r="A11986" t="s">
        <v>6</v>
      </c>
      <c r="B11986" s="1">
        <v>46157</v>
      </c>
      <c r="C11986">
        <v>9</v>
      </c>
      <c r="D11986">
        <v>325.5</v>
      </c>
      <c r="E11986">
        <v>0</v>
      </c>
      <c r="F11986" t="s">
        <v>7</v>
      </c>
      <c r="G11986" t="s">
        <v>11</v>
      </c>
      <c r="H11986" s="5">
        <f>MONTH(Tabela1[[#This Row],[data]])</f>
        <v>5</v>
      </c>
      <c r="I11986">
        <f>YEAR(Tabela1[[#This Row],[data]])</f>
        <v>2026</v>
      </c>
    </row>
    <row r="11987" spans="1:9" x14ac:dyDescent="0.25">
      <c r="A11987" t="s">
        <v>6</v>
      </c>
      <c r="B11987" s="1">
        <v>46157</v>
      </c>
      <c r="C11987">
        <v>10</v>
      </c>
      <c r="D11987">
        <v>395.22</v>
      </c>
      <c r="E11987">
        <v>5.04</v>
      </c>
      <c r="F11987" t="s">
        <v>7</v>
      </c>
      <c r="G11987" t="s">
        <v>11</v>
      </c>
      <c r="H11987" s="5">
        <f>MONTH(Tabela1[[#This Row],[data]])</f>
        <v>5</v>
      </c>
      <c r="I11987">
        <f>YEAR(Tabela1[[#This Row],[data]])</f>
        <v>2026</v>
      </c>
    </row>
    <row r="11988" spans="1:9" x14ac:dyDescent="0.25">
      <c r="A11988" t="s">
        <v>6</v>
      </c>
      <c r="B11988" s="1">
        <v>46157</v>
      </c>
      <c r="C11988">
        <v>11</v>
      </c>
      <c r="D11988">
        <v>540.96</v>
      </c>
      <c r="E11988">
        <v>26.04</v>
      </c>
      <c r="F11988" t="s">
        <v>7</v>
      </c>
      <c r="G11988" t="s">
        <v>11</v>
      </c>
      <c r="H11988" s="5">
        <f>MONTH(Tabela1[[#This Row],[data]])</f>
        <v>5</v>
      </c>
      <c r="I11988">
        <f>YEAR(Tabela1[[#This Row],[data]])</f>
        <v>2026</v>
      </c>
    </row>
    <row r="11989" spans="1:9" x14ac:dyDescent="0.25">
      <c r="A11989" t="s">
        <v>6</v>
      </c>
      <c r="B11989" s="1">
        <v>46157</v>
      </c>
      <c r="C11989">
        <v>12</v>
      </c>
      <c r="D11989">
        <v>769.44</v>
      </c>
      <c r="E11989">
        <v>142.38</v>
      </c>
      <c r="F11989" t="s">
        <v>7</v>
      </c>
      <c r="G11989" t="s">
        <v>11</v>
      </c>
      <c r="H11989" s="5">
        <f>MONTH(Tabela1[[#This Row],[data]])</f>
        <v>5</v>
      </c>
      <c r="I11989">
        <f>YEAR(Tabela1[[#This Row],[data]])</f>
        <v>2026</v>
      </c>
    </row>
    <row r="11990" spans="1:9" x14ac:dyDescent="0.25">
      <c r="A11990" t="s">
        <v>6</v>
      </c>
      <c r="B11990" s="1">
        <v>46157</v>
      </c>
      <c r="C11990">
        <v>13</v>
      </c>
      <c r="D11990">
        <v>772.8</v>
      </c>
      <c r="E11990">
        <v>168.84</v>
      </c>
      <c r="F11990" t="s">
        <v>7</v>
      </c>
      <c r="G11990" t="s">
        <v>11</v>
      </c>
      <c r="H11990" s="5">
        <f>MONTH(Tabela1[[#This Row],[data]])</f>
        <v>5</v>
      </c>
      <c r="I11990">
        <f>YEAR(Tabela1[[#This Row],[data]])</f>
        <v>2026</v>
      </c>
    </row>
    <row r="11991" spans="1:9" x14ac:dyDescent="0.25">
      <c r="A11991" t="s">
        <v>6</v>
      </c>
      <c r="B11991" s="1">
        <v>46157</v>
      </c>
      <c r="C11991">
        <v>14</v>
      </c>
      <c r="D11991">
        <v>772.38</v>
      </c>
      <c r="E11991">
        <v>160.86000000000001</v>
      </c>
      <c r="F11991" t="s">
        <v>7</v>
      </c>
      <c r="G11991" t="s">
        <v>12</v>
      </c>
      <c r="H11991" s="5">
        <f>MONTH(Tabela1[[#This Row],[data]])</f>
        <v>5</v>
      </c>
      <c r="I11991">
        <f>YEAR(Tabela1[[#This Row],[data]])</f>
        <v>2026</v>
      </c>
    </row>
    <row r="11992" spans="1:9" x14ac:dyDescent="0.25">
      <c r="A11992" t="s">
        <v>6</v>
      </c>
      <c r="B11992" s="1">
        <v>46157</v>
      </c>
      <c r="C11992">
        <v>15</v>
      </c>
      <c r="D11992">
        <v>790.02</v>
      </c>
      <c r="E11992">
        <v>169.26</v>
      </c>
      <c r="F11992" t="s">
        <v>7</v>
      </c>
      <c r="G11992" t="s">
        <v>12</v>
      </c>
      <c r="H11992" s="5">
        <f>MONTH(Tabela1[[#This Row],[data]])</f>
        <v>5</v>
      </c>
      <c r="I11992">
        <f>YEAR(Tabela1[[#This Row],[data]])</f>
        <v>2026</v>
      </c>
    </row>
    <row r="11993" spans="1:9" x14ac:dyDescent="0.25">
      <c r="A11993" t="s">
        <v>6</v>
      </c>
      <c r="B11993" s="1">
        <v>46157</v>
      </c>
      <c r="C11993">
        <v>16</v>
      </c>
      <c r="D11993">
        <v>786.24</v>
      </c>
      <c r="E11993">
        <v>185.64</v>
      </c>
      <c r="F11993" t="s">
        <v>7</v>
      </c>
      <c r="G11993" t="s">
        <v>12</v>
      </c>
      <c r="H11993" s="5">
        <f>MONTH(Tabela1[[#This Row],[data]])</f>
        <v>5</v>
      </c>
      <c r="I11993">
        <f>YEAR(Tabela1[[#This Row],[data]])</f>
        <v>2026</v>
      </c>
    </row>
    <row r="11994" spans="1:9" x14ac:dyDescent="0.25">
      <c r="A11994" t="s">
        <v>6</v>
      </c>
      <c r="B11994" s="1">
        <v>46157</v>
      </c>
      <c r="C11994">
        <v>17</v>
      </c>
      <c r="D11994">
        <v>777.84</v>
      </c>
      <c r="E11994">
        <v>177.66</v>
      </c>
      <c r="F11994" t="s">
        <v>7</v>
      </c>
      <c r="G11994" t="s">
        <v>12</v>
      </c>
      <c r="H11994" s="5">
        <f>MONTH(Tabela1[[#This Row],[data]])</f>
        <v>5</v>
      </c>
      <c r="I11994">
        <f>YEAR(Tabela1[[#This Row],[data]])</f>
        <v>2026</v>
      </c>
    </row>
    <row r="11995" spans="1:9" x14ac:dyDescent="0.25">
      <c r="A11995" t="s">
        <v>6</v>
      </c>
      <c r="B11995" s="1">
        <v>46157</v>
      </c>
      <c r="C11995">
        <v>18</v>
      </c>
      <c r="D11995">
        <v>771.96</v>
      </c>
      <c r="E11995">
        <v>168.84</v>
      </c>
      <c r="F11995" t="s">
        <v>7</v>
      </c>
      <c r="G11995" t="s">
        <v>12</v>
      </c>
      <c r="H11995" s="5">
        <f>MONTH(Tabela1[[#This Row],[data]])</f>
        <v>5</v>
      </c>
      <c r="I11995">
        <f>YEAR(Tabela1[[#This Row],[data]])</f>
        <v>2026</v>
      </c>
    </row>
    <row r="11996" spans="1:9" x14ac:dyDescent="0.25">
      <c r="A11996" t="s">
        <v>6</v>
      </c>
      <c r="B11996" s="1">
        <v>46157</v>
      </c>
      <c r="C11996">
        <v>19</v>
      </c>
      <c r="D11996">
        <v>635.04</v>
      </c>
      <c r="E11996">
        <v>56.28</v>
      </c>
      <c r="F11996" t="s">
        <v>7</v>
      </c>
      <c r="G11996" t="s">
        <v>12</v>
      </c>
      <c r="H11996" s="5">
        <f>MONTH(Tabela1[[#This Row],[data]])</f>
        <v>5</v>
      </c>
      <c r="I11996">
        <f>YEAR(Tabela1[[#This Row],[data]])</f>
        <v>2026</v>
      </c>
    </row>
    <row r="11997" spans="1:9" x14ac:dyDescent="0.25">
      <c r="A11997" t="s">
        <v>6</v>
      </c>
      <c r="B11997" s="1">
        <v>46157</v>
      </c>
      <c r="C11997">
        <v>20</v>
      </c>
      <c r="D11997">
        <v>589.26</v>
      </c>
      <c r="E11997">
        <v>39.06</v>
      </c>
      <c r="F11997" t="s">
        <v>7</v>
      </c>
      <c r="G11997" t="s">
        <v>12</v>
      </c>
      <c r="H11997" s="5">
        <f>MONTH(Tabela1[[#This Row],[data]])</f>
        <v>5</v>
      </c>
      <c r="I11997">
        <f>YEAR(Tabela1[[#This Row],[data]])</f>
        <v>2026</v>
      </c>
    </row>
    <row r="11998" spans="1:9" x14ac:dyDescent="0.25">
      <c r="A11998" t="s">
        <v>6</v>
      </c>
      <c r="B11998" s="1">
        <v>46157</v>
      </c>
      <c r="C11998">
        <v>21</v>
      </c>
      <c r="D11998">
        <v>593.88</v>
      </c>
      <c r="E11998">
        <v>32.340000000000003</v>
      </c>
      <c r="F11998" t="s">
        <v>7</v>
      </c>
      <c r="G11998" t="s">
        <v>12</v>
      </c>
      <c r="H11998" s="5">
        <f>MONTH(Tabela1[[#This Row],[data]])</f>
        <v>5</v>
      </c>
      <c r="I11998">
        <f>YEAR(Tabela1[[#This Row],[data]])</f>
        <v>2026</v>
      </c>
    </row>
    <row r="11999" spans="1:9" x14ac:dyDescent="0.25">
      <c r="A11999" t="s">
        <v>6</v>
      </c>
      <c r="B11999" s="1">
        <v>46157</v>
      </c>
      <c r="C11999">
        <v>22</v>
      </c>
      <c r="D11999">
        <v>571.20000000000005</v>
      </c>
      <c r="E11999">
        <v>30.66</v>
      </c>
      <c r="F11999" t="s">
        <v>7</v>
      </c>
      <c r="G11999" t="s">
        <v>12</v>
      </c>
      <c r="H11999" s="5">
        <f>MONTH(Tabela1[[#This Row],[data]])</f>
        <v>5</v>
      </c>
      <c r="I11999">
        <f>YEAR(Tabela1[[#This Row],[data]])</f>
        <v>2026</v>
      </c>
    </row>
    <row r="12000" spans="1:9" x14ac:dyDescent="0.25">
      <c r="A12000" t="s">
        <v>6</v>
      </c>
      <c r="B12000" s="1">
        <v>46157</v>
      </c>
      <c r="C12000">
        <v>23</v>
      </c>
      <c r="D12000">
        <v>379.68</v>
      </c>
      <c r="E12000">
        <v>0</v>
      </c>
      <c r="F12000" t="s">
        <v>7</v>
      </c>
      <c r="G12000" t="s">
        <v>12</v>
      </c>
      <c r="H12000" s="5">
        <f>MONTH(Tabela1[[#This Row],[data]])</f>
        <v>5</v>
      </c>
      <c r="I12000">
        <f>YEAR(Tabela1[[#This Row],[data]])</f>
        <v>2026</v>
      </c>
    </row>
    <row r="12001" spans="1:9" x14ac:dyDescent="0.25">
      <c r="A12001" t="s">
        <v>6</v>
      </c>
      <c r="B12001" s="1">
        <v>46157</v>
      </c>
      <c r="C12001">
        <v>24</v>
      </c>
      <c r="D12001">
        <v>271.32</v>
      </c>
      <c r="E12001">
        <v>0</v>
      </c>
      <c r="F12001" t="s">
        <v>7</v>
      </c>
      <c r="G12001" t="s">
        <v>12</v>
      </c>
      <c r="H12001" s="5">
        <f>MONTH(Tabela1[[#This Row],[data]])</f>
        <v>5</v>
      </c>
      <c r="I12001">
        <f>YEAR(Tabela1[[#This Row],[data]])</f>
        <v>2026</v>
      </c>
    </row>
    <row r="12002" spans="1:9" x14ac:dyDescent="0.25">
      <c r="A12002" t="s">
        <v>6</v>
      </c>
      <c r="B12002" s="1">
        <v>46158</v>
      </c>
      <c r="C12002">
        <v>1</v>
      </c>
      <c r="D12002">
        <v>236.04</v>
      </c>
      <c r="E12002">
        <v>0</v>
      </c>
      <c r="F12002" t="s">
        <v>7</v>
      </c>
      <c r="G12002" t="s">
        <v>12</v>
      </c>
      <c r="H12002" s="5">
        <f>MONTH(Tabela1[[#This Row],[data]])</f>
        <v>5</v>
      </c>
      <c r="I12002">
        <f>YEAR(Tabela1[[#This Row],[data]])</f>
        <v>2026</v>
      </c>
    </row>
    <row r="12003" spans="1:9" x14ac:dyDescent="0.25">
      <c r="A12003" t="s">
        <v>6</v>
      </c>
      <c r="B12003" s="1">
        <v>46158</v>
      </c>
      <c r="C12003">
        <v>2</v>
      </c>
      <c r="D12003">
        <v>226.38</v>
      </c>
      <c r="E12003">
        <v>0</v>
      </c>
      <c r="F12003" t="s">
        <v>7</v>
      </c>
      <c r="G12003" t="s">
        <v>12</v>
      </c>
      <c r="H12003" s="5">
        <f>MONTH(Tabela1[[#This Row],[data]])</f>
        <v>5</v>
      </c>
      <c r="I12003">
        <f>YEAR(Tabela1[[#This Row],[data]])</f>
        <v>2026</v>
      </c>
    </row>
    <row r="12004" spans="1:9" x14ac:dyDescent="0.25">
      <c r="A12004" t="s">
        <v>6</v>
      </c>
      <c r="B12004" s="1">
        <v>46158</v>
      </c>
      <c r="C12004">
        <v>3</v>
      </c>
      <c r="D12004">
        <v>229.32</v>
      </c>
      <c r="E12004">
        <v>0</v>
      </c>
      <c r="F12004" t="s">
        <v>7</v>
      </c>
      <c r="G12004" t="s">
        <v>12</v>
      </c>
      <c r="H12004" s="5">
        <f>MONTH(Tabela1[[#This Row],[data]])</f>
        <v>5</v>
      </c>
      <c r="I12004">
        <f>YEAR(Tabela1[[#This Row],[data]])</f>
        <v>2026</v>
      </c>
    </row>
    <row r="12005" spans="1:9" x14ac:dyDescent="0.25">
      <c r="A12005" t="s">
        <v>6</v>
      </c>
      <c r="B12005" s="1">
        <v>46158</v>
      </c>
      <c r="C12005">
        <v>4</v>
      </c>
      <c r="D12005">
        <v>224.28</v>
      </c>
      <c r="E12005">
        <v>0</v>
      </c>
      <c r="F12005" t="s">
        <v>7</v>
      </c>
      <c r="G12005" t="s">
        <v>12</v>
      </c>
      <c r="H12005" s="5">
        <f>MONTH(Tabela1[[#This Row],[data]])</f>
        <v>5</v>
      </c>
      <c r="I12005">
        <f>YEAR(Tabela1[[#This Row],[data]])</f>
        <v>2026</v>
      </c>
    </row>
    <row r="12006" spans="1:9" x14ac:dyDescent="0.25">
      <c r="A12006" t="s">
        <v>6</v>
      </c>
      <c r="B12006" s="1">
        <v>46158</v>
      </c>
      <c r="C12006">
        <v>5</v>
      </c>
      <c r="D12006">
        <v>235.2</v>
      </c>
      <c r="E12006">
        <v>0</v>
      </c>
      <c r="F12006" t="s">
        <v>7</v>
      </c>
      <c r="G12006" t="s">
        <v>12</v>
      </c>
      <c r="H12006" s="5">
        <f>MONTH(Tabela1[[#This Row],[data]])</f>
        <v>5</v>
      </c>
      <c r="I12006">
        <f>YEAR(Tabela1[[#This Row],[data]])</f>
        <v>2026</v>
      </c>
    </row>
    <row r="12007" spans="1:9" x14ac:dyDescent="0.25">
      <c r="A12007" t="s">
        <v>6</v>
      </c>
      <c r="B12007" s="1">
        <v>46158</v>
      </c>
      <c r="C12007">
        <v>6</v>
      </c>
      <c r="D12007">
        <v>229.32</v>
      </c>
      <c r="E12007">
        <v>0</v>
      </c>
      <c r="F12007" t="s">
        <v>7</v>
      </c>
      <c r="G12007" t="s">
        <v>12</v>
      </c>
      <c r="H12007" s="5">
        <f>MONTH(Tabela1[[#This Row],[data]])</f>
        <v>5</v>
      </c>
      <c r="I12007">
        <f>YEAR(Tabela1[[#This Row],[data]])</f>
        <v>2026</v>
      </c>
    </row>
    <row r="12008" spans="1:9" x14ac:dyDescent="0.25">
      <c r="A12008" t="s">
        <v>6</v>
      </c>
      <c r="B12008" s="1">
        <v>46158</v>
      </c>
      <c r="C12008">
        <v>7</v>
      </c>
      <c r="D12008">
        <v>225.96</v>
      </c>
      <c r="E12008">
        <v>0</v>
      </c>
      <c r="F12008" t="s">
        <v>7</v>
      </c>
      <c r="G12008" t="s">
        <v>12</v>
      </c>
      <c r="H12008" s="5">
        <f>MONTH(Tabela1[[#This Row],[data]])</f>
        <v>5</v>
      </c>
      <c r="I12008">
        <f>YEAR(Tabela1[[#This Row],[data]])</f>
        <v>2026</v>
      </c>
    </row>
    <row r="12009" spans="1:9" x14ac:dyDescent="0.25">
      <c r="A12009" t="s">
        <v>6</v>
      </c>
      <c r="B12009" s="1">
        <v>46158</v>
      </c>
      <c r="C12009">
        <v>8</v>
      </c>
      <c r="D12009">
        <v>237.3</v>
      </c>
      <c r="E12009">
        <v>0</v>
      </c>
      <c r="F12009" t="s">
        <v>7</v>
      </c>
      <c r="G12009" t="s">
        <v>12</v>
      </c>
      <c r="H12009" s="5">
        <f>MONTH(Tabela1[[#This Row],[data]])</f>
        <v>5</v>
      </c>
      <c r="I12009">
        <f>YEAR(Tabela1[[#This Row],[data]])</f>
        <v>2026</v>
      </c>
    </row>
    <row r="12010" spans="1:9" x14ac:dyDescent="0.25">
      <c r="A12010" t="s">
        <v>6</v>
      </c>
      <c r="B12010" s="1">
        <v>46158</v>
      </c>
      <c r="C12010">
        <v>9</v>
      </c>
      <c r="D12010">
        <v>322.56</v>
      </c>
      <c r="E12010">
        <v>0</v>
      </c>
      <c r="F12010" t="s">
        <v>7</v>
      </c>
      <c r="G12010" t="s">
        <v>12</v>
      </c>
      <c r="H12010" s="5">
        <f>MONTH(Tabela1[[#This Row],[data]])</f>
        <v>5</v>
      </c>
      <c r="I12010">
        <f>YEAR(Tabela1[[#This Row],[data]])</f>
        <v>2026</v>
      </c>
    </row>
    <row r="12011" spans="1:9" x14ac:dyDescent="0.25">
      <c r="A12011" t="s">
        <v>6</v>
      </c>
      <c r="B12011" s="1">
        <v>46158</v>
      </c>
      <c r="C12011">
        <v>10</v>
      </c>
      <c r="D12011">
        <v>382.2</v>
      </c>
      <c r="E12011">
        <v>3.36</v>
      </c>
      <c r="F12011" t="s">
        <v>7</v>
      </c>
      <c r="G12011" t="s">
        <v>12</v>
      </c>
      <c r="H12011" s="5">
        <f>MONTH(Tabela1[[#This Row],[data]])</f>
        <v>5</v>
      </c>
      <c r="I12011">
        <f>YEAR(Tabela1[[#This Row],[data]])</f>
        <v>2026</v>
      </c>
    </row>
    <row r="12012" spans="1:9" x14ac:dyDescent="0.25">
      <c r="A12012" t="s">
        <v>6</v>
      </c>
      <c r="B12012" s="1">
        <v>46158</v>
      </c>
      <c r="C12012">
        <v>11</v>
      </c>
      <c r="D12012">
        <v>731.64</v>
      </c>
      <c r="E12012">
        <v>142.38</v>
      </c>
      <c r="F12012" t="s">
        <v>7</v>
      </c>
      <c r="G12012" t="s">
        <v>12</v>
      </c>
      <c r="H12012" s="5">
        <f>MONTH(Tabela1[[#This Row],[data]])</f>
        <v>5</v>
      </c>
      <c r="I12012">
        <f>YEAR(Tabela1[[#This Row],[data]])</f>
        <v>2026</v>
      </c>
    </row>
    <row r="12013" spans="1:9" x14ac:dyDescent="0.25">
      <c r="A12013" t="s">
        <v>6</v>
      </c>
      <c r="B12013" s="1">
        <v>46158</v>
      </c>
      <c r="C12013">
        <v>12</v>
      </c>
      <c r="D12013">
        <v>786.66</v>
      </c>
      <c r="E12013">
        <v>175.14</v>
      </c>
      <c r="F12013" t="s">
        <v>7</v>
      </c>
      <c r="G12013" t="s">
        <v>12</v>
      </c>
      <c r="H12013" s="5">
        <f>MONTH(Tabela1[[#This Row],[data]])</f>
        <v>5</v>
      </c>
      <c r="I12013">
        <f>YEAR(Tabela1[[#This Row],[data]])</f>
        <v>2026</v>
      </c>
    </row>
    <row r="12014" spans="1:9" x14ac:dyDescent="0.25">
      <c r="A12014" t="s">
        <v>6</v>
      </c>
      <c r="B12014" s="1">
        <v>46158</v>
      </c>
      <c r="C12014">
        <v>13</v>
      </c>
      <c r="D12014">
        <v>809.34</v>
      </c>
      <c r="E12014">
        <v>185.22</v>
      </c>
      <c r="F12014" t="s">
        <v>7</v>
      </c>
      <c r="G12014" t="s">
        <v>12</v>
      </c>
      <c r="H12014" s="5">
        <f>MONTH(Tabela1[[#This Row],[data]])</f>
        <v>5</v>
      </c>
      <c r="I12014">
        <f>YEAR(Tabela1[[#This Row],[data]])</f>
        <v>2026</v>
      </c>
    </row>
    <row r="12015" spans="1:9" x14ac:dyDescent="0.25">
      <c r="A12015" t="s">
        <v>6</v>
      </c>
      <c r="B12015" s="1">
        <v>46158</v>
      </c>
      <c r="C12015">
        <v>14</v>
      </c>
      <c r="D12015">
        <v>832.86</v>
      </c>
      <c r="E12015">
        <v>184.38</v>
      </c>
      <c r="F12015" t="s">
        <v>7</v>
      </c>
      <c r="G12015" t="s">
        <v>12</v>
      </c>
      <c r="H12015" s="5">
        <f>MONTH(Tabela1[[#This Row],[data]])</f>
        <v>5</v>
      </c>
      <c r="I12015">
        <f>YEAR(Tabela1[[#This Row],[data]])</f>
        <v>2026</v>
      </c>
    </row>
    <row r="12016" spans="1:9" x14ac:dyDescent="0.25">
      <c r="A12016" t="s">
        <v>6</v>
      </c>
      <c r="B12016" s="1">
        <v>46158</v>
      </c>
      <c r="C12016">
        <v>15</v>
      </c>
      <c r="D12016">
        <v>848.4</v>
      </c>
      <c r="E12016">
        <v>192.78</v>
      </c>
      <c r="F12016" t="s">
        <v>7</v>
      </c>
      <c r="G12016" t="s">
        <v>12</v>
      </c>
      <c r="H12016" s="5">
        <f>MONTH(Tabela1[[#This Row],[data]])</f>
        <v>5</v>
      </c>
      <c r="I12016">
        <f>YEAR(Tabela1[[#This Row],[data]])</f>
        <v>2026</v>
      </c>
    </row>
    <row r="12017" spans="1:9" x14ac:dyDescent="0.25">
      <c r="A12017" t="s">
        <v>6</v>
      </c>
      <c r="B12017" s="1">
        <v>46158</v>
      </c>
      <c r="C12017">
        <v>16</v>
      </c>
      <c r="D12017">
        <v>854.7</v>
      </c>
      <c r="E12017">
        <v>202.44</v>
      </c>
      <c r="F12017" t="s">
        <v>7</v>
      </c>
      <c r="G12017" t="s">
        <v>12</v>
      </c>
      <c r="H12017" s="5">
        <f>MONTH(Tabela1[[#This Row],[data]])</f>
        <v>5</v>
      </c>
      <c r="I12017">
        <f>YEAR(Tabela1[[#This Row],[data]])</f>
        <v>2026</v>
      </c>
    </row>
    <row r="12018" spans="1:9" x14ac:dyDescent="0.25">
      <c r="A12018" t="s">
        <v>6</v>
      </c>
      <c r="B12018" s="1">
        <v>46158</v>
      </c>
      <c r="C12018">
        <v>17</v>
      </c>
      <c r="D12018">
        <v>854.28</v>
      </c>
      <c r="E12018">
        <v>205.38</v>
      </c>
      <c r="F12018" t="s">
        <v>7</v>
      </c>
      <c r="G12018" t="s">
        <v>12</v>
      </c>
      <c r="H12018" s="5">
        <f>MONTH(Tabela1[[#This Row],[data]])</f>
        <v>5</v>
      </c>
      <c r="I12018">
        <f>YEAR(Tabela1[[#This Row],[data]])</f>
        <v>2026</v>
      </c>
    </row>
    <row r="12019" spans="1:9" x14ac:dyDescent="0.25">
      <c r="A12019" t="s">
        <v>6</v>
      </c>
      <c r="B12019" s="1">
        <v>46158</v>
      </c>
      <c r="C12019">
        <v>18</v>
      </c>
      <c r="D12019">
        <v>847.98</v>
      </c>
      <c r="E12019">
        <v>191.52</v>
      </c>
      <c r="F12019" t="s">
        <v>7</v>
      </c>
      <c r="G12019" t="s">
        <v>12</v>
      </c>
      <c r="H12019" s="5">
        <f>MONTH(Tabela1[[#This Row],[data]])</f>
        <v>5</v>
      </c>
      <c r="I12019">
        <f>YEAR(Tabela1[[#This Row],[data]])</f>
        <v>2026</v>
      </c>
    </row>
    <row r="12020" spans="1:9" x14ac:dyDescent="0.25">
      <c r="A12020" t="s">
        <v>6</v>
      </c>
      <c r="B12020" s="1">
        <v>46158</v>
      </c>
      <c r="C12020">
        <v>19</v>
      </c>
      <c r="D12020">
        <v>859.74</v>
      </c>
      <c r="E12020">
        <v>174.72</v>
      </c>
      <c r="F12020" t="s">
        <v>7</v>
      </c>
      <c r="G12020" t="s">
        <v>12</v>
      </c>
      <c r="H12020" s="5">
        <f>MONTH(Tabela1[[#This Row],[data]])</f>
        <v>5</v>
      </c>
      <c r="I12020">
        <f>YEAR(Tabela1[[#This Row],[data]])</f>
        <v>2026</v>
      </c>
    </row>
    <row r="12021" spans="1:9" x14ac:dyDescent="0.25">
      <c r="A12021" t="s">
        <v>6</v>
      </c>
      <c r="B12021" s="1">
        <v>46158</v>
      </c>
      <c r="C12021">
        <v>20</v>
      </c>
      <c r="D12021">
        <v>840</v>
      </c>
      <c r="E12021">
        <v>181.44</v>
      </c>
      <c r="F12021" t="s">
        <v>7</v>
      </c>
      <c r="G12021" t="s">
        <v>12</v>
      </c>
      <c r="H12021" s="5">
        <f>MONTH(Tabela1[[#This Row],[data]])</f>
        <v>5</v>
      </c>
      <c r="I12021">
        <f>YEAR(Tabela1[[#This Row],[data]])</f>
        <v>2026</v>
      </c>
    </row>
    <row r="12022" spans="1:9" x14ac:dyDescent="0.25">
      <c r="A12022" t="s">
        <v>6</v>
      </c>
      <c r="B12022" s="1">
        <v>46158</v>
      </c>
      <c r="C12022">
        <v>21</v>
      </c>
      <c r="D12022">
        <v>679.14</v>
      </c>
      <c r="E12022">
        <v>73.92</v>
      </c>
      <c r="F12022" t="s">
        <v>7</v>
      </c>
      <c r="G12022" t="s">
        <v>12</v>
      </c>
      <c r="H12022" s="5">
        <f>MONTH(Tabela1[[#This Row],[data]])</f>
        <v>5</v>
      </c>
      <c r="I12022">
        <f>YEAR(Tabela1[[#This Row],[data]])</f>
        <v>2026</v>
      </c>
    </row>
    <row r="12023" spans="1:9" x14ac:dyDescent="0.25">
      <c r="A12023" t="s">
        <v>6</v>
      </c>
      <c r="B12023" s="1">
        <v>46158</v>
      </c>
      <c r="C12023">
        <v>22</v>
      </c>
      <c r="D12023">
        <v>614.04</v>
      </c>
      <c r="E12023">
        <v>46.2</v>
      </c>
      <c r="F12023" t="s">
        <v>7</v>
      </c>
      <c r="G12023" t="s">
        <v>12</v>
      </c>
      <c r="H12023" s="5">
        <f>MONTH(Tabela1[[#This Row],[data]])</f>
        <v>5</v>
      </c>
      <c r="I12023">
        <f>YEAR(Tabela1[[#This Row],[data]])</f>
        <v>2026</v>
      </c>
    </row>
    <row r="12024" spans="1:9" x14ac:dyDescent="0.25">
      <c r="A12024" t="s">
        <v>6</v>
      </c>
      <c r="B12024" s="1">
        <v>46158</v>
      </c>
      <c r="C12024">
        <v>23</v>
      </c>
      <c r="D12024">
        <v>407.82</v>
      </c>
      <c r="E12024">
        <v>0</v>
      </c>
      <c r="F12024" t="s">
        <v>7</v>
      </c>
      <c r="G12024" t="s">
        <v>12</v>
      </c>
      <c r="H12024" s="5">
        <f>MONTH(Tabela1[[#This Row],[data]])</f>
        <v>5</v>
      </c>
      <c r="I12024">
        <f>YEAR(Tabela1[[#This Row],[data]])</f>
        <v>2026</v>
      </c>
    </row>
    <row r="12025" spans="1:9" x14ac:dyDescent="0.25">
      <c r="A12025" t="s">
        <v>6</v>
      </c>
      <c r="B12025" s="1">
        <v>46158</v>
      </c>
      <c r="C12025">
        <v>24</v>
      </c>
      <c r="D12025">
        <v>282.66000000000003</v>
      </c>
      <c r="E12025">
        <v>0</v>
      </c>
      <c r="F12025" t="s">
        <v>7</v>
      </c>
      <c r="G12025" t="s">
        <v>12</v>
      </c>
      <c r="H12025" s="5">
        <f>MONTH(Tabela1[[#This Row],[data]])</f>
        <v>5</v>
      </c>
      <c r="I12025">
        <f>YEAR(Tabela1[[#This Row],[data]])</f>
        <v>2026</v>
      </c>
    </row>
    <row r="12026" spans="1:9" x14ac:dyDescent="0.25">
      <c r="A12026" t="s">
        <v>6</v>
      </c>
      <c r="B12026" s="1">
        <v>46159</v>
      </c>
      <c r="C12026">
        <v>1</v>
      </c>
      <c r="D12026">
        <v>266.27999999999997</v>
      </c>
      <c r="E12026">
        <v>0</v>
      </c>
      <c r="F12026" t="s">
        <v>7</v>
      </c>
      <c r="G12026" t="s">
        <v>12</v>
      </c>
      <c r="H12026" s="5">
        <f>MONTH(Tabela1[[#This Row],[data]])</f>
        <v>5</v>
      </c>
      <c r="I12026">
        <f>YEAR(Tabela1[[#This Row],[data]])</f>
        <v>2026</v>
      </c>
    </row>
    <row r="12027" spans="1:9" x14ac:dyDescent="0.25">
      <c r="A12027" t="s">
        <v>6</v>
      </c>
      <c r="B12027" s="1">
        <v>46159</v>
      </c>
      <c r="C12027">
        <v>2</v>
      </c>
      <c r="D12027">
        <v>233.52</v>
      </c>
      <c r="E12027">
        <v>0</v>
      </c>
      <c r="F12027" t="s">
        <v>7</v>
      </c>
      <c r="G12027" t="s">
        <v>12</v>
      </c>
      <c r="H12027" s="5">
        <f>MONTH(Tabela1[[#This Row],[data]])</f>
        <v>5</v>
      </c>
      <c r="I12027">
        <f>YEAR(Tabela1[[#This Row],[data]])</f>
        <v>2026</v>
      </c>
    </row>
    <row r="12028" spans="1:9" x14ac:dyDescent="0.25">
      <c r="A12028" t="s">
        <v>6</v>
      </c>
      <c r="B12028" s="1">
        <v>46159</v>
      </c>
      <c r="C12028">
        <v>3</v>
      </c>
      <c r="D12028">
        <v>231</v>
      </c>
      <c r="E12028">
        <v>0</v>
      </c>
      <c r="F12028" t="s">
        <v>7</v>
      </c>
      <c r="G12028" t="s">
        <v>12</v>
      </c>
      <c r="H12028" s="5">
        <f>MONTH(Tabela1[[#This Row],[data]])</f>
        <v>5</v>
      </c>
      <c r="I12028">
        <f>YEAR(Tabela1[[#This Row],[data]])</f>
        <v>2026</v>
      </c>
    </row>
    <row r="12029" spans="1:9" x14ac:dyDescent="0.25">
      <c r="A12029" t="s">
        <v>6</v>
      </c>
      <c r="B12029" s="1">
        <v>46159</v>
      </c>
      <c r="C12029">
        <v>4</v>
      </c>
      <c r="D12029">
        <v>233.1</v>
      </c>
      <c r="E12029">
        <v>0</v>
      </c>
      <c r="F12029" t="s">
        <v>7</v>
      </c>
      <c r="G12029" t="s">
        <v>12</v>
      </c>
      <c r="H12029" s="5">
        <f>MONTH(Tabela1[[#This Row],[data]])</f>
        <v>5</v>
      </c>
      <c r="I12029">
        <f>YEAR(Tabela1[[#This Row],[data]])</f>
        <v>2026</v>
      </c>
    </row>
    <row r="12030" spans="1:9" x14ac:dyDescent="0.25">
      <c r="A12030" t="s">
        <v>6</v>
      </c>
      <c r="B12030" s="1">
        <v>46159</v>
      </c>
      <c r="C12030">
        <v>5</v>
      </c>
      <c r="D12030">
        <v>237.72</v>
      </c>
      <c r="E12030">
        <v>0</v>
      </c>
      <c r="F12030" t="s">
        <v>7</v>
      </c>
      <c r="G12030" t="s">
        <v>12</v>
      </c>
      <c r="H12030" s="5">
        <f>MONTH(Tabela1[[#This Row],[data]])</f>
        <v>5</v>
      </c>
      <c r="I12030">
        <f>YEAR(Tabela1[[#This Row],[data]])</f>
        <v>2026</v>
      </c>
    </row>
    <row r="12031" spans="1:9" x14ac:dyDescent="0.25">
      <c r="A12031" t="s">
        <v>6</v>
      </c>
      <c r="B12031" s="1">
        <v>46159</v>
      </c>
      <c r="C12031">
        <v>6</v>
      </c>
      <c r="D12031">
        <v>236.04</v>
      </c>
      <c r="E12031">
        <v>0</v>
      </c>
      <c r="F12031" t="s">
        <v>7</v>
      </c>
      <c r="G12031" t="s">
        <v>12</v>
      </c>
      <c r="H12031" s="5">
        <f>MONTH(Tabela1[[#This Row],[data]])</f>
        <v>5</v>
      </c>
      <c r="I12031">
        <f>YEAR(Tabela1[[#This Row],[data]])</f>
        <v>2026</v>
      </c>
    </row>
    <row r="12032" spans="1:9" x14ac:dyDescent="0.25">
      <c r="A12032" t="s">
        <v>6</v>
      </c>
      <c r="B12032" s="1">
        <v>46159</v>
      </c>
      <c r="C12032">
        <v>7</v>
      </c>
      <c r="D12032">
        <v>220.92</v>
      </c>
      <c r="E12032">
        <v>0</v>
      </c>
      <c r="F12032" t="s">
        <v>7</v>
      </c>
      <c r="G12032" t="s">
        <v>12</v>
      </c>
      <c r="H12032" s="5">
        <f>MONTH(Tabela1[[#This Row],[data]])</f>
        <v>5</v>
      </c>
      <c r="I12032">
        <f>YEAR(Tabela1[[#This Row],[data]])</f>
        <v>2026</v>
      </c>
    </row>
    <row r="12033" spans="1:9" x14ac:dyDescent="0.25">
      <c r="A12033" t="s">
        <v>6</v>
      </c>
      <c r="B12033" s="1">
        <v>46159</v>
      </c>
      <c r="C12033">
        <v>8</v>
      </c>
      <c r="D12033">
        <v>199.08</v>
      </c>
      <c r="E12033">
        <v>0</v>
      </c>
      <c r="F12033" t="s">
        <v>7</v>
      </c>
      <c r="G12033" t="s">
        <v>12</v>
      </c>
      <c r="H12033" s="5">
        <f>MONTH(Tabela1[[#This Row],[data]])</f>
        <v>5</v>
      </c>
      <c r="I12033">
        <f>YEAR(Tabela1[[#This Row],[data]])</f>
        <v>2026</v>
      </c>
    </row>
    <row r="12034" spans="1:9" x14ac:dyDescent="0.25">
      <c r="A12034" t="s">
        <v>6</v>
      </c>
      <c r="B12034" s="1">
        <v>46159</v>
      </c>
      <c r="C12034">
        <v>9</v>
      </c>
      <c r="D12034">
        <v>260.39999999999998</v>
      </c>
      <c r="E12034">
        <v>0</v>
      </c>
      <c r="F12034" t="s">
        <v>7</v>
      </c>
      <c r="G12034" t="s">
        <v>12</v>
      </c>
      <c r="H12034" s="5">
        <f>MONTH(Tabela1[[#This Row],[data]])</f>
        <v>5</v>
      </c>
      <c r="I12034">
        <f>YEAR(Tabela1[[#This Row],[data]])</f>
        <v>2026</v>
      </c>
    </row>
    <row r="12035" spans="1:9" x14ac:dyDescent="0.25">
      <c r="A12035" t="s">
        <v>6</v>
      </c>
      <c r="B12035" s="1">
        <v>46159</v>
      </c>
      <c r="C12035">
        <v>10</v>
      </c>
      <c r="D12035">
        <v>313.32</v>
      </c>
      <c r="E12035">
        <v>0</v>
      </c>
      <c r="F12035" t="s">
        <v>7</v>
      </c>
      <c r="G12035" t="s">
        <v>12</v>
      </c>
      <c r="H12035" s="5">
        <f>MONTH(Tabela1[[#This Row],[data]])</f>
        <v>5</v>
      </c>
      <c r="I12035">
        <f>YEAR(Tabela1[[#This Row],[data]])</f>
        <v>2026</v>
      </c>
    </row>
    <row r="12036" spans="1:9" x14ac:dyDescent="0.25">
      <c r="A12036" t="s">
        <v>6</v>
      </c>
      <c r="B12036" s="1">
        <v>46159</v>
      </c>
      <c r="C12036">
        <v>11</v>
      </c>
      <c r="D12036">
        <v>386.82</v>
      </c>
      <c r="E12036">
        <v>10.92</v>
      </c>
      <c r="F12036" t="s">
        <v>7</v>
      </c>
      <c r="G12036" t="s">
        <v>12</v>
      </c>
      <c r="H12036" s="5">
        <f>MONTH(Tabela1[[#This Row],[data]])</f>
        <v>5</v>
      </c>
      <c r="I12036">
        <f>YEAR(Tabela1[[#This Row],[data]])</f>
        <v>2026</v>
      </c>
    </row>
    <row r="12037" spans="1:9" x14ac:dyDescent="0.25">
      <c r="A12037" t="s">
        <v>6</v>
      </c>
      <c r="B12037" s="1">
        <v>46159</v>
      </c>
      <c r="C12037">
        <v>12</v>
      </c>
      <c r="D12037">
        <v>478.38</v>
      </c>
      <c r="E12037">
        <v>25.2</v>
      </c>
      <c r="F12037" t="s">
        <v>7</v>
      </c>
      <c r="G12037" t="s">
        <v>12</v>
      </c>
      <c r="H12037" s="5">
        <f>MONTH(Tabela1[[#This Row],[data]])</f>
        <v>5</v>
      </c>
      <c r="I12037">
        <f>YEAR(Tabela1[[#This Row],[data]])</f>
        <v>2026</v>
      </c>
    </row>
    <row r="12038" spans="1:9" x14ac:dyDescent="0.25">
      <c r="A12038" t="s">
        <v>6</v>
      </c>
      <c r="B12038" s="1">
        <v>46159</v>
      </c>
      <c r="C12038">
        <v>13</v>
      </c>
      <c r="D12038">
        <v>760.62</v>
      </c>
      <c r="E12038">
        <v>133.56</v>
      </c>
      <c r="F12038" t="s">
        <v>7</v>
      </c>
      <c r="G12038" t="s">
        <v>12</v>
      </c>
      <c r="H12038" s="5">
        <f>MONTH(Tabela1[[#This Row],[data]])</f>
        <v>5</v>
      </c>
      <c r="I12038">
        <f>YEAR(Tabela1[[#This Row],[data]])</f>
        <v>2026</v>
      </c>
    </row>
    <row r="12039" spans="1:9" x14ac:dyDescent="0.25">
      <c r="A12039" t="s">
        <v>6</v>
      </c>
      <c r="B12039" s="1">
        <v>46159</v>
      </c>
      <c r="C12039">
        <v>14</v>
      </c>
      <c r="D12039">
        <v>816.06</v>
      </c>
      <c r="E12039">
        <v>170.1</v>
      </c>
      <c r="F12039" t="s">
        <v>7</v>
      </c>
      <c r="G12039" t="s">
        <v>12</v>
      </c>
      <c r="H12039" s="5">
        <f>MONTH(Tabela1[[#This Row],[data]])</f>
        <v>5</v>
      </c>
      <c r="I12039">
        <f>YEAR(Tabela1[[#This Row],[data]])</f>
        <v>2026</v>
      </c>
    </row>
    <row r="12040" spans="1:9" x14ac:dyDescent="0.25">
      <c r="A12040" t="s">
        <v>6</v>
      </c>
      <c r="B12040" s="1">
        <v>46159</v>
      </c>
      <c r="C12040">
        <v>15</v>
      </c>
      <c r="D12040">
        <v>838.74</v>
      </c>
      <c r="E12040">
        <v>177.24</v>
      </c>
      <c r="F12040" t="s">
        <v>7</v>
      </c>
      <c r="G12040" t="s">
        <v>12</v>
      </c>
      <c r="H12040" s="5">
        <f>MONTH(Tabela1[[#This Row],[data]])</f>
        <v>5</v>
      </c>
      <c r="I12040">
        <f>YEAR(Tabela1[[#This Row],[data]])</f>
        <v>2026</v>
      </c>
    </row>
    <row r="12041" spans="1:9" x14ac:dyDescent="0.25">
      <c r="A12041" t="s">
        <v>6</v>
      </c>
      <c r="B12041" s="1">
        <v>46159</v>
      </c>
      <c r="C12041">
        <v>16</v>
      </c>
      <c r="D12041">
        <v>854.28</v>
      </c>
      <c r="E12041">
        <v>183.54</v>
      </c>
      <c r="F12041" t="s">
        <v>7</v>
      </c>
      <c r="G12041" t="s">
        <v>12</v>
      </c>
      <c r="H12041" s="5">
        <f>MONTH(Tabela1[[#This Row],[data]])</f>
        <v>5</v>
      </c>
      <c r="I12041">
        <f>YEAR(Tabela1[[#This Row],[data]])</f>
        <v>2026</v>
      </c>
    </row>
    <row r="12042" spans="1:9" x14ac:dyDescent="0.25">
      <c r="A12042" t="s">
        <v>6</v>
      </c>
      <c r="B12042" s="1">
        <v>46159</v>
      </c>
      <c r="C12042">
        <v>17</v>
      </c>
      <c r="D12042">
        <v>832.44</v>
      </c>
      <c r="E12042">
        <v>178.08</v>
      </c>
      <c r="F12042" t="s">
        <v>7</v>
      </c>
      <c r="G12042" t="s">
        <v>12</v>
      </c>
      <c r="H12042" s="5">
        <f>MONTH(Tabela1[[#This Row],[data]])</f>
        <v>5</v>
      </c>
      <c r="I12042">
        <f>YEAR(Tabela1[[#This Row],[data]])</f>
        <v>2026</v>
      </c>
    </row>
    <row r="12043" spans="1:9" x14ac:dyDescent="0.25">
      <c r="A12043" t="s">
        <v>6</v>
      </c>
      <c r="B12043" s="1">
        <v>46159</v>
      </c>
      <c r="C12043">
        <v>18</v>
      </c>
      <c r="D12043">
        <v>794.22</v>
      </c>
      <c r="E12043">
        <v>160.02000000000001</v>
      </c>
      <c r="F12043" t="s">
        <v>7</v>
      </c>
      <c r="G12043" t="s">
        <v>12</v>
      </c>
      <c r="H12043" s="5">
        <f>MONTH(Tabela1[[#This Row],[data]])</f>
        <v>5</v>
      </c>
      <c r="I12043">
        <f>YEAR(Tabela1[[#This Row],[data]])</f>
        <v>2026</v>
      </c>
    </row>
    <row r="12044" spans="1:9" x14ac:dyDescent="0.25">
      <c r="A12044" t="s">
        <v>6</v>
      </c>
      <c r="B12044" s="1">
        <v>46159</v>
      </c>
      <c r="C12044">
        <v>19</v>
      </c>
      <c r="D12044">
        <v>806.82</v>
      </c>
      <c r="E12044">
        <v>155.4</v>
      </c>
      <c r="F12044" t="s">
        <v>7</v>
      </c>
      <c r="G12044" t="s">
        <v>12</v>
      </c>
      <c r="H12044" s="5">
        <f>MONTH(Tabela1[[#This Row],[data]])</f>
        <v>5</v>
      </c>
      <c r="I12044">
        <f>YEAR(Tabela1[[#This Row],[data]])</f>
        <v>2026</v>
      </c>
    </row>
    <row r="12045" spans="1:9" x14ac:dyDescent="0.25">
      <c r="A12045" t="s">
        <v>6</v>
      </c>
      <c r="B12045" s="1">
        <v>46159</v>
      </c>
      <c r="C12045">
        <v>20</v>
      </c>
      <c r="D12045">
        <v>800.52</v>
      </c>
      <c r="E12045">
        <v>163.80000000000001</v>
      </c>
      <c r="F12045" t="s">
        <v>7</v>
      </c>
      <c r="G12045" t="s">
        <v>12</v>
      </c>
      <c r="H12045" s="5">
        <f>MONTH(Tabela1[[#This Row],[data]])</f>
        <v>5</v>
      </c>
      <c r="I12045">
        <f>YEAR(Tabela1[[#This Row],[data]])</f>
        <v>2026</v>
      </c>
    </row>
    <row r="12046" spans="1:9" x14ac:dyDescent="0.25">
      <c r="A12046" t="s">
        <v>6</v>
      </c>
      <c r="B12046" s="1">
        <v>46159</v>
      </c>
      <c r="C12046">
        <v>21</v>
      </c>
      <c r="D12046">
        <v>588.84</v>
      </c>
      <c r="E12046">
        <v>67.2</v>
      </c>
      <c r="F12046" t="s">
        <v>7</v>
      </c>
      <c r="G12046" t="s">
        <v>12</v>
      </c>
      <c r="H12046" s="5">
        <f>MONTH(Tabela1[[#This Row],[data]])</f>
        <v>5</v>
      </c>
      <c r="I12046">
        <f>YEAR(Tabela1[[#This Row],[data]])</f>
        <v>2026</v>
      </c>
    </row>
    <row r="12047" spans="1:9" x14ac:dyDescent="0.25">
      <c r="A12047" t="s">
        <v>6</v>
      </c>
      <c r="B12047" s="1">
        <v>46159</v>
      </c>
      <c r="C12047">
        <v>22</v>
      </c>
      <c r="D12047">
        <v>464.52</v>
      </c>
      <c r="E12047">
        <v>24.36</v>
      </c>
      <c r="F12047" t="s">
        <v>7</v>
      </c>
      <c r="G12047" t="s">
        <v>12</v>
      </c>
      <c r="H12047" s="5">
        <f>MONTH(Tabela1[[#This Row],[data]])</f>
        <v>5</v>
      </c>
      <c r="I12047">
        <f>YEAR(Tabela1[[#This Row],[data]])</f>
        <v>2026</v>
      </c>
    </row>
    <row r="12048" spans="1:9" x14ac:dyDescent="0.25">
      <c r="A12048" t="s">
        <v>6</v>
      </c>
      <c r="B12048" s="1">
        <v>46159</v>
      </c>
      <c r="C12048">
        <v>23</v>
      </c>
      <c r="D12048">
        <v>307.86</v>
      </c>
      <c r="E12048">
        <v>0</v>
      </c>
      <c r="F12048" t="s">
        <v>7</v>
      </c>
      <c r="G12048" t="s">
        <v>12</v>
      </c>
      <c r="H12048" s="5">
        <f>MONTH(Tabela1[[#This Row],[data]])</f>
        <v>5</v>
      </c>
      <c r="I12048">
        <f>YEAR(Tabela1[[#This Row],[data]])</f>
        <v>2026</v>
      </c>
    </row>
    <row r="12049" spans="1:9" x14ac:dyDescent="0.25">
      <c r="A12049" t="s">
        <v>6</v>
      </c>
      <c r="B12049" s="1">
        <v>46159</v>
      </c>
      <c r="C12049">
        <v>24</v>
      </c>
      <c r="D12049">
        <v>262.92</v>
      </c>
      <c r="E12049">
        <v>0</v>
      </c>
      <c r="F12049" t="s">
        <v>7</v>
      </c>
      <c r="G12049" t="s">
        <v>12</v>
      </c>
      <c r="H12049" s="5">
        <f>MONTH(Tabela1[[#This Row],[data]])</f>
        <v>5</v>
      </c>
      <c r="I12049">
        <f>YEAR(Tabela1[[#This Row],[data]])</f>
        <v>2026</v>
      </c>
    </row>
    <row r="12050" spans="1:9" x14ac:dyDescent="0.25">
      <c r="A12050" t="s">
        <v>6</v>
      </c>
      <c r="B12050" s="1">
        <v>46160</v>
      </c>
      <c r="C12050">
        <v>1</v>
      </c>
      <c r="D12050">
        <v>236.04</v>
      </c>
      <c r="E12050">
        <v>0</v>
      </c>
      <c r="F12050" t="s">
        <v>7</v>
      </c>
      <c r="G12050" t="s">
        <v>11</v>
      </c>
      <c r="H12050" s="5">
        <f>MONTH(Tabela1[[#This Row],[data]])</f>
        <v>5</v>
      </c>
      <c r="I12050">
        <f>YEAR(Tabela1[[#This Row],[data]])</f>
        <v>2026</v>
      </c>
    </row>
    <row r="12051" spans="1:9" x14ac:dyDescent="0.25">
      <c r="A12051" t="s">
        <v>6</v>
      </c>
      <c r="B12051" s="1">
        <v>46160</v>
      </c>
      <c r="C12051">
        <v>2</v>
      </c>
      <c r="D12051">
        <v>223.44</v>
      </c>
      <c r="E12051">
        <v>0</v>
      </c>
      <c r="F12051" t="s">
        <v>7</v>
      </c>
      <c r="G12051" t="s">
        <v>11</v>
      </c>
      <c r="H12051" s="5">
        <f>MONTH(Tabela1[[#This Row],[data]])</f>
        <v>5</v>
      </c>
      <c r="I12051">
        <f>YEAR(Tabela1[[#This Row],[data]])</f>
        <v>2026</v>
      </c>
    </row>
    <row r="12052" spans="1:9" x14ac:dyDescent="0.25">
      <c r="A12052" t="s">
        <v>6</v>
      </c>
      <c r="B12052" s="1">
        <v>46160</v>
      </c>
      <c r="C12052">
        <v>3</v>
      </c>
      <c r="D12052">
        <v>217.98</v>
      </c>
      <c r="E12052">
        <v>0</v>
      </c>
      <c r="F12052" t="s">
        <v>7</v>
      </c>
      <c r="G12052" t="s">
        <v>11</v>
      </c>
      <c r="H12052" s="5">
        <f>MONTH(Tabela1[[#This Row],[data]])</f>
        <v>5</v>
      </c>
      <c r="I12052">
        <f>YEAR(Tabela1[[#This Row],[data]])</f>
        <v>2026</v>
      </c>
    </row>
    <row r="12053" spans="1:9" x14ac:dyDescent="0.25">
      <c r="A12053" t="s">
        <v>6</v>
      </c>
      <c r="B12053" s="1">
        <v>46160</v>
      </c>
      <c r="C12053">
        <v>4</v>
      </c>
      <c r="D12053">
        <v>214.62</v>
      </c>
      <c r="E12053">
        <v>0</v>
      </c>
      <c r="F12053" t="s">
        <v>7</v>
      </c>
      <c r="G12053" t="s">
        <v>11</v>
      </c>
      <c r="H12053" s="5">
        <f>MONTH(Tabela1[[#This Row],[data]])</f>
        <v>5</v>
      </c>
      <c r="I12053">
        <f>YEAR(Tabela1[[#This Row],[data]])</f>
        <v>2026</v>
      </c>
    </row>
    <row r="12054" spans="1:9" x14ac:dyDescent="0.25">
      <c r="A12054" t="s">
        <v>6</v>
      </c>
      <c r="B12054" s="1">
        <v>46160</v>
      </c>
      <c r="C12054">
        <v>5</v>
      </c>
      <c r="D12054">
        <v>223.02</v>
      </c>
      <c r="E12054">
        <v>0</v>
      </c>
      <c r="F12054" t="s">
        <v>7</v>
      </c>
      <c r="G12054" t="s">
        <v>11</v>
      </c>
      <c r="H12054" s="5">
        <f>MONTH(Tabela1[[#This Row],[data]])</f>
        <v>5</v>
      </c>
      <c r="I12054">
        <f>YEAR(Tabela1[[#This Row],[data]])</f>
        <v>2026</v>
      </c>
    </row>
    <row r="12055" spans="1:9" x14ac:dyDescent="0.25">
      <c r="A12055" t="s">
        <v>6</v>
      </c>
      <c r="B12055" s="1">
        <v>46160</v>
      </c>
      <c r="C12055">
        <v>6</v>
      </c>
      <c r="D12055">
        <v>217.56</v>
      </c>
      <c r="E12055">
        <v>0</v>
      </c>
      <c r="F12055" t="s">
        <v>7</v>
      </c>
      <c r="G12055" t="s">
        <v>11</v>
      </c>
      <c r="H12055" s="5">
        <f>MONTH(Tabela1[[#This Row],[data]])</f>
        <v>5</v>
      </c>
      <c r="I12055">
        <f>YEAR(Tabela1[[#This Row],[data]])</f>
        <v>2026</v>
      </c>
    </row>
    <row r="12056" spans="1:9" x14ac:dyDescent="0.25">
      <c r="A12056" t="s">
        <v>6</v>
      </c>
      <c r="B12056" s="1">
        <v>46160</v>
      </c>
      <c r="C12056">
        <v>7</v>
      </c>
      <c r="D12056">
        <v>242.76</v>
      </c>
      <c r="E12056">
        <v>0</v>
      </c>
      <c r="F12056" t="s">
        <v>7</v>
      </c>
      <c r="G12056" t="s">
        <v>11</v>
      </c>
      <c r="H12056" s="5">
        <f>MONTH(Tabela1[[#This Row],[data]])</f>
        <v>5</v>
      </c>
      <c r="I12056">
        <f>YEAR(Tabela1[[#This Row],[data]])</f>
        <v>2026</v>
      </c>
    </row>
    <row r="12057" spans="1:9" x14ac:dyDescent="0.25">
      <c r="A12057" t="s">
        <v>6</v>
      </c>
      <c r="B12057" s="1">
        <v>46160</v>
      </c>
      <c r="C12057">
        <v>8</v>
      </c>
      <c r="D12057">
        <v>244.86</v>
      </c>
      <c r="E12057">
        <v>0</v>
      </c>
      <c r="F12057" t="s">
        <v>7</v>
      </c>
      <c r="G12057" t="s">
        <v>11</v>
      </c>
      <c r="H12057" s="5">
        <f>MONTH(Tabela1[[#This Row],[data]])</f>
        <v>5</v>
      </c>
      <c r="I12057">
        <f>YEAR(Tabela1[[#This Row],[data]])</f>
        <v>2026</v>
      </c>
    </row>
    <row r="12058" spans="1:9" x14ac:dyDescent="0.25">
      <c r="A12058" t="s">
        <v>6</v>
      </c>
      <c r="B12058" s="1">
        <v>46160</v>
      </c>
      <c r="C12058">
        <v>9</v>
      </c>
      <c r="D12058">
        <v>315</v>
      </c>
      <c r="E12058">
        <v>0</v>
      </c>
      <c r="F12058" t="s">
        <v>7</v>
      </c>
      <c r="G12058" t="s">
        <v>11</v>
      </c>
      <c r="H12058" s="5">
        <f>MONTH(Tabela1[[#This Row],[data]])</f>
        <v>5</v>
      </c>
      <c r="I12058">
        <f>YEAR(Tabela1[[#This Row],[data]])</f>
        <v>2026</v>
      </c>
    </row>
    <row r="12059" spans="1:9" x14ac:dyDescent="0.25">
      <c r="A12059" t="s">
        <v>6</v>
      </c>
      <c r="B12059" s="1">
        <v>46160</v>
      </c>
      <c r="C12059">
        <v>10</v>
      </c>
      <c r="D12059">
        <v>416.22</v>
      </c>
      <c r="E12059">
        <v>7.56</v>
      </c>
      <c r="F12059" t="s">
        <v>7</v>
      </c>
      <c r="G12059" t="s">
        <v>11</v>
      </c>
      <c r="H12059" s="5">
        <f>MONTH(Tabela1[[#This Row],[data]])</f>
        <v>5</v>
      </c>
      <c r="I12059">
        <f>YEAR(Tabela1[[#This Row],[data]])</f>
        <v>2026</v>
      </c>
    </row>
    <row r="12060" spans="1:9" x14ac:dyDescent="0.25">
      <c r="A12060" t="s">
        <v>6</v>
      </c>
      <c r="B12060" s="1">
        <v>46160</v>
      </c>
      <c r="C12060">
        <v>11</v>
      </c>
      <c r="D12060">
        <v>537.17999999999995</v>
      </c>
      <c r="E12060">
        <v>31.92</v>
      </c>
      <c r="F12060" t="s">
        <v>7</v>
      </c>
      <c r="G12060" t="s">
        <v>11</v>
      </c>
      <c r="H12060" s="5">
        <f>MONTH(Tabela1[[#This Row],[data]])</f>
        <v>5</v>
      </c>
      <c r="I12060">
        <f>YEAR(Tabela1[[#This Row],[data]])</f>
        <v>2026</v>
      </c>
    </row>
    <row r="12061" spans="1:9" x14ac:dyDescent="0.25">
      <c r="A12061" t="s">
        <v>6</v>
      </c>
      <c r="B12061" s="1">
        <v>46160</v>
      </c>
      <c r="C12061">
        <v>12</v>
      </c>
      <c r="D12061">
        <v>812.7</v>
      </c>
      <c r="E12061">
        <v>157.5</v>
      </c>
      <c r="F12061" t="s">
        <v>7</v>
      </c>
      <c r="G12061" t="s">
        <v>11</v>
      </c>
      <c r="H12061" s="5">
        <f>MONTH(Tabela1[[#This Row],[data]])</f>
        <v>5</v>
      </c>
      <c r="I12061">
        <f>YEAR(Tabela1[[#This Row],[data]])</f>
        <v>2026</v>
      </c>
    </row>
    <row r="12062" spans="1:9" x14ac:dyDescent="0.25">
      <c r="A12062" t="s">
        <v>6</v>
      </c>
      <c r="B12062" s="1">
        <v>46160</v>
      </c>
      <c r="C12062">
        <v>13</v>
      </c>
      <c r="D12062">
        <v>847.56</v>
      </c>
      <c r="E12062">
        <v>199.5</v>
      </c>
      <c r="F12062" t="s">
        <v>7</v>
      </c>
      <c r="G12062" t="s">
        <v>11</v>
      </c>
      <c r="H12062" s="5">
        <f>MONTH(Tabela1[[#This Row],[data]])</f>
        <v>5</v>
      </c>
      <c r="I12062">
        <f>YEAR(Tabela1[[#This Row],[data]])</f>
        <v>2026</v>
      </c>
    </row>
    <row r="12063" spans="1:9" x14ac:dyDescent="0.25">
      <c r="A12063" t="s">
        <v>6</v>
      </c>
      <c r="B12063" s="1">
        <v>46160</v>
      </c>
      <c r="C12063">
        <v>14</v>
      </c>
      <c r="D12063">
        <v>807.66</v>
      </c>
      <c r="E12063">
        <v>164.64</v>
      </c>
      <c r="F12063" t="s">
        <v>7</v>
      </c>
      <c r="G12063" t="s">
        <v>11</v>
      </c>
      <c r="H12063" s="5">
        <f>MONTH(Tabela1[[#This Row],[data]])</f>
        <v>5</v>
      </c>
      <c r="I12063">
        <f>YEAR(Tabela1[[#This Row],[data]])</f>
        <v>2026</v>
      </c>
    </row>
    <row r="12064" spans="1:9" x14ac:dyDescent="0.25">
      <c r="A12064" t="s">
        <v>6</v>
      </c>
      <c r="B12064" s="1">
        <v>46160</v>
      </c>
      <c r="C12064">
        <v>15</v>
      </c>
      <c r="D12064">
        <v>833.28</v>
      </c>
      <c r="E12064">
        <v>179.34</v>
      </c>
      <c r="F12064" t="s">
        <v>7</v>
      </c>
      <c r="G12064" t="s">
        <v>11</v>
      </c>
      <c r="H12064" s="5">
        <f>MONTH(Tabela1[[#This Row],[data]])</f>
        <v>5</v>
      </c>
      <c r="I12064">
        <f>YEAR(Tabela1[[#This Row],[data]])</f>
        <v>2026</v>
      </c>
    </row>
    <row r="12065" spans="1:9" x14ac:dyDescent="0.25">
      <c r="A12065" t="s">
        <v>6</v>
      </c>
      <c r="B12065" s="1">
        <v>46160</v>
      </c>
      <c r="C12065">
        <v>16</v>
      </c>
      <c r="D12065">
        <v>811.86</v>
      </c>
      <c r="E12065">
        <v>187.32</v>
      </c>
      <c r="F12065" t="s">
        <v>7</v>
      </c>
      <c r="G12065" t="s">
        <v>11</v>
      </c>
      <c r="H12065" s="5">
        <f>MONTH(Tabela1[[#This Row],[data]])</f>
        <v>5</v>
      </c>
      <c r="I12065">
        <f>YEAR(Tabela1[[#This Row],[data]])</f>
        <v>2026</v>
      </c>
    </row>
    <row r="12066" spans="1:9" x14ac:dyDescent="0.25">
      <c r="A12066" t="s">
        <v>6</v>
      </c>
      <c r="B12066" s="1">
        <v>46160</v>
      </c>
      <c r="C12066">
        <v>17</v>
      </c>
      <c r="D12066">
        <v>820.26</v>
      </c>
      <c r="E12066">
        <v>214.2</v>
      </c>
      <c r="F12066" t="s">
        <v>7</v>
      </c>
      <c r="G12066" t="s">
        <v>11</v>
      </c>
      <c r="H12066" s="5">
        <f>MONTH(Tabela1[[#This Row],[data]])</f>
        <v>5</v>
      </c>
      <c r="I12066">
        <f>YEAR(Tabela1[[#This Row],[data]])</f>
        <v>2026</v>
      </c>
    </row>
    <row r="12067" spans="1:9" x14ac:dyDescent="0.25">
      <c r="A12067" t="s">
        <v>6</v>
      </c>
      <c r="B12067" s="1">
        <v>46160</v>
      </c>
      <c r="C12067">
        <v>18</v>
      </c>
      <c r="D12067">
        <v>823.2</v>
      </c>
      <c r="E12067">
        <v>193.62</v>
      </c>
      <c r="F12067" t="s">
        <v>7</v>
      </c>
      <c r="G12067" t="s">
        <v>11</v>
      </c>
      <c r="H12067" s="5">
        <f>MONTH(Tabela1[[#This Row],[data]])</f>
        <v>5</v>
      </c>
      <c r="I12067">
        <f>YEAR(Tabela1[[#This Row],[data]])</f>
        <v>2026</v>
      </c>
    </row>
    <row r="12068" spans="1:9" x14ac:dyDescent="0.25">
      <c r="A12068" t="s">
        <v>6</v>
      </c>
      <c r="B12068" s="1">
        <v>46160</v>
      </c>
      <c r="C12068">
        <v>19</v>
      </c>
      <c r="D12068">
        <v>655.20000000000005</v>
      </c>
      <c r="E12068">
        <v>72.66</v>
      </c>
      <c r="F12068" t="s">
        <v>7</v>
      </c>
      <c r="G12068" t="s">
        <v>11</v>
      </c>
      <c r="H12068" s="5">
        <f>MONTH(Tabela1[[#This Row],[data]])</f>
        <v>5</v>
      </c>
      <c r="I12068">
        <f>YEAR(Tabela1[[#This Row],[data]])</f>
        <v>2026</v>
      </c>
    </row>
    <row r="12069" spans="1:9" x14ac:dyDescent="0.25">
      <c r="A12069" t="s">
        <v>6</v>
      </c>
      <c r="B12069" s="1">
        <v>46160</v>
      </c>
      <c r="C12069">
        <v>20</v>
      </c>
      <c r="D12069">
        <v>593.46</v>
      </c>
      <c r="E12069">
        <v>42.42</v>
      </c>
      <c r="F12069" t="s">
        <v>7</v>
      </c>
      <c r="G12069" t="s">
        <v>11</v>
      </c>
      <c r="H12069" s="5">
        <f>MONTH(Tabela1[[#This Row],[data]])</f>
        <v>5</v>
      </c>
      <c r="I12069">
        <f>YEAR(Tabela1[[#This Row],[data]])</f>
        <v>2026</v>
      </c>
    </row>
    <row r="12070" spans="1:9" x14ac:dyDescent="0.25">
      <c r="A12070" t="s">
        <v>6</v>
      </c>
      <c r="B12070" s="1">
        <v>46160</v>
      </c>
      <c r="C12070">
        <v>21</v>
      </c>
      <c r="D12070">
        <v>598.08000000000004</v>
      </c>
      <c r="E12070">
        <v>55.86</v>
      </c>
      <c r="F12070" t="s">
        <v>7</v>
      </c>
      <c r="G12070" t="s">
        <v>11</v>
      </c>
      <c r="H12070" s="5">
        <f>MONTH(Tabela1[[#This Row],[data]])</f>
        <v>5</v>
      </c>
      <c r="I12070">
        <f>YEAR(Tabela1[[#This Row],[data]])</f>
        <v>2026</v>
      </c>
    </row>
    <row r="12071" spans="1:9" x14ac:dyDescent="0.25">
      <c r="A12071" t="s">
        <v>6</v>
      </c>
      <c r="B12071" s="1">
        <v>46160</v>
      </c>
      <c r="C12071">
        <v>22</v>
      </c>
      <c r="D12071">
        <v>563.22</v>
      </c>
      <c r="E12071">
        <v>34.020000000000003</v>
      </c>
      <c r="F12071" t="s">
        <v>7</v>
      </c>
      <c r="G12071" t="s">
        <v>11</v>
      </c>
      <c r="H12071" s="5">
        <f>MONTH(Tabela1[[#This Row],[data]])</f>
        <v>5</v>
      </c>
      <c r="I12071">
        <f>YEAR(Tabela1[[#This Row],[data]])</f>
        <v>2026</v>
      </c>
    </row>
    <row r="12072" spans="1:9" x14ac:dyDescent="0.25">
      <c r="A12072" t="s">
        <v>6</v>
      </c>
      <c r="B12072" s="1">
        <v>46160</v>
      </c>
      <c r="C12072">
        <v>23</v>
      </c>
      <c r="D12072">
        <v>379.68</v>
      </c>
      <c r="E12072">
        <v>0</v>
      </c>
      <c r="F12072" t="s">
        <v>7</v>
      </c>
      <c r="G12072" t="s">
        <v>11</v>
      </c>
      <c r="H12072" s="5">
        <f>MONTH(Tabela1[[#This Row],[data]])</f>
        <v>5</v>
      </c>
      <c r="I12072">
        <f>YEAR(Tabela1[[#This Row],[data]])</f>
        <v>2026</v>
      </c>
    </row>
    <row r="12073" spans="1:9" x14ac:dyDescent="0.25">
      <c r="A12073" t="s">
        <v>6</v>
      </c>
      <c r="B12073" s="1">
        <v>46160</v>
      </c>
      <c r="C12073">
        <v>24</v>
      </c>
      <c r="D12073">
        <v>299.45999999999998</v>
      </c>
      <c r="E12073">
        <v>0</v>
      </c>
      <c r="F12073" t="s">
        <v>7</v>
      </c>
      <c r="G12073" t="s">
        <v>11</v>
      </c>
      <c r="H12073" s="5">
        <f>MONTH(Tabela1[[#This Row],[data]])</f>
        <v>5</v>
      </c>
      <c r="I12073">
        <f>YEAR(Tabela1[[#This Row],[data]])</f>
        <v>2026</v>
      </c>
    </row>
    <row r="12074" spans="1:9" x14ac:dyDescent="0.25">
      <c r="A12074" t="s">
        <v>6</v>
      </c>
      <c r="B12074" s="1">
        <v>46161</v>
      </c>
      <c r="C12074">
        <v>1</v>
      </c>
      <c r="D12074">
        <v>265.44</v>
      </c>
      <c r="E12074">
        <v>0</v>
      </c>
      <c r="F12074" t="s">
        <v>7</v>
      </c>
      <c r="G12074" t="s">
        <v>12</v>
      </c>
      <c r="H12074" s="5">
        <f>MONTH(Tabela1[[#This Row],[data]])</f>
        <v>5</v>
      </c>
      <c r="I12074">
        <f>YEAR(Tabela1[[#This Row],[data]])</f>
        <v>2026</v>
      </c>
    </row>
    <row r="12075" spans="1:9" x14ac:dyDescent="0.25">
      <c r="A12075" t="s">
        <v>6</v>
      </c>
      <c r="B12075" s="1">
        <v>46161</v>
      </c>
      <c r="C12075">
        <v>2</v>
      </c>
      <c r="D12075">
        <v>257.88</v>
      </c>
      <c r="E12075">
        <v>0</v>
      </c>
      <c r="F12075" t="s">
        <v>7</v>
      </c>
      <c r="G12075" t="s">
        <v>12</v>
      </c>
      <c r="H12075" s="5">
        <f>MONTH(Tabela1[[#This Row],[data]])</f>
        <v>5</v>
      </c>
      <c r="I12075">
        <f>YEAR(Tabela1[[#This Row],[data]])</f>
        <v>2026</v>
      </c>
    </row>
    <row r="12076" spans="1:9" x14ac:dyDescent="0.25">
      <c r="A12076" t="s">
        <v>6</v>
      </c>
      <c r="B12076" s="1">
        <v>46161</v>
      </c>
      <c r="C12076">
        <v>3</v>
      </c>
      <c r="D12076">
        <v>246.54</v>
      </c>
      <c r="E12076">
        <v>0</v>
      </c>
      <c r="F12076" t="s">
        <v>7</v>
      </c>
      <c r="G12076" t="s">
        <v>12</v>
      </c>
      <c r="H12076" s="5">
        <f>MONTH(Tabela1[[#This Row],[data]])</f>
        <v>5</v>
      </c>
      <c r="I12076">
        <f>YEAR(Tabela1[[#This Row],[data]])</f>
        <v>2026</v>
      </c>
    </row>
    <row r="12077" spans="1:9" x14ac:dyDescent="0.25">
      <c r="A12077" t="s">
        <v>6</v>
      </c>
      <c r="B12077" s="1">
        <v>46161</v>
      </c>
      <c r="C12077">
        <v>4</v>
      </c>
      <c r="D12077">
        <v>234.78</v>
      </c>
      <c r="E12077">
        <v>0</v>
      </c>
      <c r="F12077" t="s">
        <v>7</v>
      </c>
      <c r="G12077" t="s">
        <v>12</v>
      </c>
      <c r="H12077" s="5">
        <f>MONTH(Tabela1[[#This Row],[data]])</f>
        <v>5</v>
      </c>
      <c r="I12077">
        <f>YEAR(Tabela1[[#This Row],[data]])</f>
        <v>2026</v>
      </c>
    </row>
    <row r="12078" spans="1:9" x14ac:dyDescent="0.25">
      <c r="A12078" t="s">
        <v>6</v>
      </c>
      <c r="B12078" s="1">
        <v>46161</v>
      </c>
      <c r="C12078">
        <v>5</v>
      </c>
      <c r="D12078">
        <v>239.82</v>
      </c>
      <c r="E12078">
        <v>0</v>
      </c>
      <c r="F12078" t="s">
        <v>7</v>
      </c>
      <c r="G12078" t="s">
        <v>12</v>
      </c>
      <c r="H12078" s="5">
        <f>MONTH(Tabela1[[#This Row],[data]])</f>
        <v>5</v>
      </c>
      <c r="I12078">
        <f>YEAR(Tabela1[[#This Row],[data]])</f>
        <v>2026</v>
      </c>
    </row>
    <row r="12079" spans="1:9" x14ac:dyDescent="0.25">
      <c r="A12079" t="s">
        <v>6</v>
      </c>
      <c r="B12079" s="1">
        <v>46161</v>
      </c>
      <c r="C12079">
        <v>6</v>
      </c>
      <c r="D12079">
        <v>240.66</v>
      </c>
      <c r="E12079">
        <v>0</v>
      </c>
      <c r="F12079" t="s">
        <v>7</v>
      </c>
      <c r="G12079" t="s">
        <v>12</v>
      </c>
      <c r="H12079" s="5">
        <f>MONTH(Tabela1[[#This Row],[data]])</f>
        <v>5</v>
      </c>
      <c r="I12079">
        <f>YEAR(Tabela1[[#This Row],[data]])</f>
        <v>2026</v>
      </c>
    </row>
    <row r="12080" spans="1:9" x14ac:dyDescent="0.25">
      <c r="A12080" t="s">
        <v>6</v>
      </c>
      <c r="B12080" s="1">
        <v>46161</v>
      </c>
      <c r="C12080">
        <v>7</v>
      </c>
      <c r="D12080">
        <v>239.4</v>
      </c>
      <c r="E12080">
        <v>0</v>
      </c>
      <c r="F12080" t="s">
        <v>7</v>
      </c>
      <c r="G12080" t="s">
        <v>12</v>
      </c>
      <c r="H12080" s="5">
        <f>MONTH(Tabela1[[#This Row],[data]])</f>
        <v>5</v>
      </c>
      <c r="I12080">
        <f>YEAR(Tabela1[[#This Row],[data]])</f>
        <v>2026</v>
      </c>
    </row>
    <row r="12081" spans="1:9" x14ac:dyDescent="0.25">
      <c r="A12081" t="s">
        <v>6</v>
      </c>
      <c r="B12081" s="1">
        <v>46161</v>
      </c>
      <c r="C12081">
        <v>8</v>
      </c>
      <c r="D12081">
        <v>250.32</v>
      </c>
      <c r="E12081">
        <v>0</v>
      </c>
      <c r="F12081" t="s">
        <v>7</v>
      </c>
      <c r="G12081" t="s">
        <v>12</v>
      </c>
      <c r="H12081" s="5">
        <f>MONTH(Tabela1[[#This Row],[data]])</f>
        <v>5</v>
      </c>
      <c r="I12081">
        <f>YEAR(Tabela1[[#This Row],[data]])</f>
        <v>2026</v>
      </c>
    </row>
    <row r="12082" spans="1:9" x14ac:dyDescent="0.25">
      <c r="A12082" t="s">
        <v>6</v>
      </c>
      <c r="B12082" s="1">
        <v>46161</v>
      </c>
      <c r="C12082">
        <v>9</v>
      </c>
      <c r="D12082">
        <v>356.16</v>
      </c>
      <c r="E12082">
        <v>0</v>
      </c>
      <c r="F12082" t="s">
        <v>7</v>
      </c>
      <c r="G12082" t="s">
        <v>12</v>
      </c>
      <c r="H12082" s="5">
        <f>MONTH(Tabela1[[#This Row],[data]])</f>
        <v>5</v>
      </c>
      <c r="I12082">
        <f>YEAR(Tabela1[[#This Row],[data]])</f>
        <v>2026</v>
      </c>
    </row>
    <row r="12083" spans="1:9" x14ac:dyDescent="0.25">
      <c r="A12083" t="s">
        <v>6</v>
      </c>
      <c r="B12083" s="1">
        <v>46161</v>
      </c>
      <c r="C12083">
        <v>10</v>
      </c>
      <c r="D12083">
        <v>458.22</v>
      </c>
      <c r="E12083">
        <v>20.16</v>
      </c>
      <c r="F12083" t="s">
        <v>7</v>
      </c>
      <c r="G12083" t="s">
        <v>12</v>
      </c>
      <c r="H12083" s="5">
        <f>MONTH(Tabela1[[#This Row],[data]])</f>
        <v>5</v>
      </c>
      <c r="I12083">
        <f>YEAR(Tabela1[[#This Row],[data]])</f>
        <v>2026</v>
      </c>
    </row>
    <row r="12084" spans="1:9" x14ac:dyDescent="0.25">
      <c r="A12084" t="s">
        <v>6</v>
      </c>
      <c r="B12084" s="1">
        <v>46161</v>
      </c>
      <c r="C12084">
        <v>11</v>
      </c>
      <c r="D12084">
        <v>561.54</v>
      </c>
      <c r="E12084">
        <v>49.14</v>
      </c>
      <c r="F12084" t="s">
        <v>7</v>
      </c>
      <c r="G12084" t="s">
        <v>12</v>
      </c>
      <c r="H12084" s="5">
        <f>MONTH(Tabela1[[#This Row],[data]])</f>
        <v>5</v>
      </c>
      <c r="I12084">
        <f>YEAR(Tabela1[[#This Row],[data]])</f>
        <v>2026</v>
      </c>
    </row>
    <row r="12085" spans="1:9" x14ac:dyDescent="0.25">
      <c r="A12085" t="s">
        <v>6</v>
      </c>
      <c r="B12085" s="1">
        <v>46161</v>
      </c>
      <c r="C12085">
        <v>12</v>
      </c>
      <c r="D12085">
        <v>805.56</v>
      </c>
      <c r="E12085">
        <v>153.30000000000001</v>
      </c>
      <c r="F12085" t="s">
        <v>7</v>
      </c>
      <c r="G12085" t="s">
        <v>12</v>
      </c>
      <c r="H12085" s="5">
        <f>MONTH(Tabela1[[#This Row],[data]])</f>
        <v>5</v>
      </c>
      <c r="I12085">
        <f>YEAR(Tabela1[[#This Row],[data]])</f>
        <v>2026</v>
      </c>
    </row>
    <row r="12086" spans="1:9" x14ac:dyDescent="0.25">
      <c r="A12086" t="s">
        <v>6</v>
      </c>
      <c r="B12086" s="1">
        <v>46161</v>
      </c>
      <c r="C12086">
        <v>13</v>
      </c>
      <c r="D12086">
        <v>828.24</v>
      </c>
      <c r="E12086">
        <v>202.44</v>
      </c>
      <c r="F12086" t="s">
        <v>7</v>
      </c>
      <c r="G12086" t="s">
        <v>12</v>
      </c>
      <c r="H12086" s="5">
        <f>MONTH(Tabela1[[#This Row],[data]])</f>
        <v>5</v>
      </c>
      <c r="I12086">
        <f>YEAR(Tabela1[[#This Row],[data]])</f>
        <v>2026</v>
      </c>
    </row>
    <row r="12087" spans="1:9" x14ac:dyDescent="0.25">
      <c r="A12087" t="s">
        <v>6</v>
      </c>
      <c r="B12087" s="1">
        <v>46161</v>
      </c>
      <c r="C12087">
        <v>14</v>
      </c>
      <c r="D12087">
        <v>816.06</v>
      </c>
      <c r="E12087">
        <v>174.72</v>
      </c>
      <c r="F12087" t="s">
        <v>7</v>
      </c>
      <c r="G12087" t="s">
        <v>12</v>
      </c>
      <c r="H12087" s="5">
        <f>MONTH(Tabela1[[#This Row],[data]])</f>
        <v>5</v>
      </c>
      <c r="I12087">
        <f>YEAR(Tabela1[[#This Row],[data]])</f>
        <v>2026</v>
      </c>
    </row>
    <row r="12088" spans="1:9" x14ac:dyDescent="0.25">
      <c r="A12088" t="s">
        <v>6</v>
      </c>
      <c r="B12088" s="1">
        <v>46161</v>
      </c>
      <c r="C12088">
        <v>15</v>
      </c>
      <c r="D12088">
        <v>824.04</v>
      </c>
      <c r="E12088">
        <v>192.78</v>
      </c>
      <c r="F12088" t="s">
        <v>7</v>
      </c>
      <c r="G12088" t="s">
        <v>12</v>
      </c>
      <c r="H12088" s="5">
        <f>MONTH(Tabela1[[#This Row],[data]])</f>
        <v>5</v>
      </c>
      <c r="I12088">
        <f>YEAR(Tabela1[[#This Row],[data]])</f>
        <v>2026</v>
      </c>
    </row>
    <row r="12089" spans="1:9" x14ac:dyDescent="0.25">
      <c r="A12089" t="s">
        <v>6</v>
      </c>
      <c r="B12089" s="1">
        <v>46161</v>
      </c>
      <c r="C12089">
        <v>16</v>
      </c>
      <c r="D12089">
        <v>823.2</v>
      </c>
      <c r="E12089">
        <v>199.92</v>
      </c>
      <c r="F12089" t="s">
        <v>7</v>
      </c>
      <c r="G12089" t="s">
        <v>12</v>
      </c>
      <c r="H12089" s="5">
        <f>MONTH(Tabela1[[#This Row],[data]])</f>
        <v>5</v>
      </c>
      <c r="I12089">
        <f>YEAR(Tabela1[[#This Row],[data]])</f>
        <v>2026</v>
      </c>
    </row>
    <row r="12090" spans="1:9" x14ac:dyDescent="0.25">
      <c r="A12090" t="s">
        <v>6</v>
      </c>
      <c r="B12090" s="1">
        <v>46161</v>
      </c>
      <c r="C12090">
        <v>17</v>
      </c>
      <c r="D12090">
        <v>832.44</v>
      </c>
      <c r="E12090">
        <v>204.12</v>
      </c>
      <c r="F12090" t="s">
        <v>7</v>
      </c>
      <c r="G12090" t="s">
        <v>12</v>
      </c>
      <c r="H12090" s="5">
        <f>MONTH(Tabela1[[#This Row],[data]])</f>
        <v>5</v>
      </c>
      <c r="I12090">
        <f>YEAR(Tabela1[[#This Row],[data]])</f>
        <v>2026</v>
      </c>
    </row>
    <row r="12091" spans="1:9" x14ac:dyDescent="0.25">
      <c r="A12091" t="s">
        <v>6</v>
      </c>
      <c r="B12091" s="1">
        <v>46161</v>
      </c>
      <c r="C12091">
        <v>18</v>
      </c>
      <c r="D12091">
        <v>798.42</v>
      </c>
      <c r="E12091">
        <v>177.24</v>
      </c>
      <c r="F12091" t="s">
        <v>7</v>
      </c>
      <c r="G12091" t="s">
        <v>12</v>
      </c>
      <c r="H12091" s="5">
        <f>MONTH(Tabela1[[#This Row],[data]])</f>
        <v>5</v>
      </c>
      <c r="I12091">
        <f>YEAR(Tabela1[[#This Row],[data]])</f>
        <v>2026</v>
      </c>
    </row>
    <row r="12092" spans="1:9" x14ac:dyDescent="0.25">
      <c r="A12092" t="s">
        <v>6</v>
      </c>
      <c r="B12092" s="1">
        <v>46161</v>
      </c>
      <c r="C12092">
        <v>19</v>
      </c>
      <c r="D12092">
        <v>638.4</v>
      </c>
      <c r="E12092">
        <v>68.459999999999994</v>
      </c>
      <c r="F12092" t="s">
        <v>7</v>
      </c>
      <c r="G12092" t="s">
        <v>12</v>
      </c>
      <c r="H12092" s="5">
        <f>MONTH(Tabela1[[#This Row],[data]])</f>
        <v>5</v>
      </c>
      <c r="I12092">
        <f>YEAR(Tabela1[[#This Row],[data]])</f>
        <v>2026</v>
      </c>
    </row>
    <row r="12093" spans="1:9" x14ac:dyDescent="0.25">
      <c r="A12093" t="s">
        <v>6</v>
      </c>
      <c r="B12093" s="1">
        <v>46161</v>
      </c>
      <c r="C12093">
        <v>20</v>
      </c>
      <c r="D12093">
        <v>595.14</v>
      </c>
      <c r="E12093">
        <v>54.6</v>
      </c>
      <c r="F12093" t="s">
        <v>7</v>
      </c>
      <c r="G12093" t="s">
        <v>12</v>
      </c>
      <c r="H12093" s="5">
        <f>MONTH(Tabela1[[#This Row],[data]])</f>
        <v>5</v>
      </c>
      <c r="I12093">
        <f>YEAR(Tabela1[[#This Row],[data]])</f>
        <v>2026</v>
      </c>
    </row>
    <row r="12094" spans="1:9" x14ac:dyDescent="0.25">
      <c r="A12094" t="s">
        <v>6</v>
      </c>
      <c r="B12094" s="1">
        <v>46161</v>
      </c>
      <c r="C12094">
        <v>21</v>
      </c>
      <c r="D12094">
        <v>589.67999999999995</v>
      </c>
      <c r="E12094">
        <v>38.64</v>
      </c>
      <c r="F12094" t="s">
        <v>7</v>
      </c>
      <c r="G12094" t="s">
        <v>12</v>
      </c>
      <c r="H12094" s="5">
        <f>MONTH(Tabela1[[#This Row],[data]])</f>
        <v>5</v>
      </c>
      <c r="I12094">
        <f>YEAR(Tabela1[[#This Row],[data]])</f>
        <v>2026</v>
      </c>
    </row>
    <row r="12095" spans="1:9" x14ac:dyDescent="0.25">
      <c r="A12095" t="s">
        <v>6</v>
      </c>
      <c r="B12095" s="1">
        <v>46161</v>
      </c>
      <c r="C12095">
        <v>22</v>
      </c>
      <c r="D12095">
        <v>569.94000000000005</v>
      </c>
      <c r="E12095">
        <v>34.44</v>
      </c>
      <c r="F12095" t="s">
        <v>7</v>
      </c>
      <c r="G12095" t="s">
        <v>12</v>
      </c>
      <c r="H12095" s="5">
        <f>MONTH(Tabela1[[#This Row],[data]])</f>
        <v>5</v>
      </c>
      <c r="I12095">
        <f>YEAR(Tabela1[[#This Row],[data]])</f>
        <v>2026</v>
      </c>
    </row>
    <row r="12096" spans="1:9" x14ac:dyDescent="0.25">
      <c r="A12096" t="s">
        <v>6</v>
      </c>
      <c r="B12096" s="1">
        <v>46161</v>
      </c>
      <c r="C12096">
        <v>23</v>
      </c>
      <c r="D12096">
        <v>366.24</v>
      </c>
      <c r="E12096">
        <v>0</v>
      </c>
      <c r="F12096" t="s">
        <v>7</v>
      </c>
      <c r="G12096" t="s">
        <v>12</v>
      </c>
      <c r="H12096" s="5">
        <f>MONTH(Tabela1[[#This Row],[data]])</f>
        <v>5</v>
      </c>
      <c r="I12096">
        <f>YEAR(Tabela1[[#This Row],[data]])</f>
        <v>2026</v>
      </c>
    </row>
    <row r="12097" spans="1:9" x14ac:dyDescent="0.25">
      <c r="A12097" t="s">
        <v>6</v>
      </c>
      <c r="B12097" s="1">
        <v>46161</v>
      </c>
      <c r="C12097">
        <v>24</v>
      </c>
      <c r="D12097">
        <v>273.42</v>
      </c>
      <c r="E12097">
        <v>0</v>
      </c>
      <c r="F12097" t="s">
        <v>7</v>
      </c>
      <c r="G12097" t="s">
        <v>12</v>
      </c>
      <c r="H12097" s="5">
        <f>MONTH(Tabela1[[#This Row],[data]])</f>
        <v>5</v>
      </c>
      <c r="I12097">
        <f>YEAR(Tabela1[[#This Row],[data]])</f>
        <v>2026</v>
      </c>
    </row>
    <row r="12098" spans="1:9" x14ac:dyDescent="0.25">
      <c r="A12098" t="s">
        <v>6</v>
      </c>
      <c r="B12098" s="1">
        <v>46162</v>
      </c>
      <c r="C12098">
        <v>1</v>
      </c>
      <c r="D12098">
        <v>228.9</v>
      </c>
      <c r="E12098">
        <v>0</v>
      </c>
      <c r="F12098" t="s">
        <v>7</v>
      </c>
      <c r="G12098" t="s">
        <v>12</v>
      </c>
      <c r="H12098" s="5">
        <f>MONTH(Tabela1[[#This Row],[data]])</f>
        <v>5</v>
      </c>
      <c r="I12098">
        <f>YEAR(Tabela1[[#This Row],[data]])</f>
        <v>2026</v>
      </c>
    </row>
    <row r="12099" spans="1:9" x14ac:dyDescent="0.25">
      <c r="A12099" t="s">
        <v>6</v>
      </c>
      <c r="B12099" s="1">
        <v>46162</v>
      </c>
      <c r="C12099">
        <v>2</v>
      </c>
      <c r="D12099">
        <v>212.94</v>
      </c>
      <c r="E12099">
        <v>0</v>
      </c>
      <c r="F12099" t="s">
        <v>7</v>
      </c>
      <c r="G12099" t="s">
        <v>12</v>
      </c>
      <c r="H12099" s="5">
        <f>MONTH(Tabela1[[#This Row],[data]])</f>
        <v>5</v>
      </c>
      <c r="I12099">
        <f>YEAR(Tabela1[[#This Row],[data]])</f>
        <v>2026</v>
      </c>
    </row>
    <row r="12100" spans="1:9" x14ac:dyDescent="0.25">
      <c r="A12100" t="s">
        <v>6</v>
      </c>
      <c r="B12100" s="1">
        <v>46162</v>
      </c>
      <c r="C12100">
        <v>3</v>
      </c>
      <c r="D12100">
        <v>209.16</v>
      </c>
      <c r="E12100">
        <v>0</v>
      </c>
      <c r="F12100" t="s">
        <v>7</v>
      </c>
      <c r="G12100" t="s">
        <v>12</v>
      </c>
      <c r="H12100" s="5">
        <f>MONTH(Tabela1[[#This Row],[data]])</f>
        <v>5</v>
      </c>
      <c r="I12100">
        <f>YEAR(Tabela1[[#This Row],[data]])</f>
        <v>2026</v>
      </c>
    </row>
    <row r="12101" spans="1:9" x14ac:dyDescent="0.25">
      <c r="A12101" t="s">
        <v>6</v>
      </c>
      <c r="B12101" s="1">
        <v>46162</v>
      </c>
      <c r="C12101">
        <v>4</v>
      </c>
      <c r="D12101">
        <v>204.54</v>
      </c>
      <c r="E12101">
        <v>0</v>
      </c>
      <c r="F12101" t="s">
        <v>7</v>
      </c>
      <c r="G12101" t="s">
        <v>12</v>
      </c>
      <c r="H12101" s="5">
        <f>MONTH(Tabela1[[#This Row],[data]])</f>
        <v>5</v>
      </c>
      <c r="I12101">
        <f>YEAR(Tabela1[[#This Row],[data]])</f>
        <v>2026</v>
      </c>
    </row>
    <row r="12102" spans="1:9" x14ac:dyDescent="0.25">
      <c r="A12102" t="s">
        <v>6</v>
      </c>
      <c r="B12102" s="1">
        <v>46162</v>
      </c>
      <c r="C12102">
        <v>5</v>
      </c>
      <c r="D12102">
        <v>210.42</v>
      </c>
      <c r="E12102">
        <v>0</v>
      </c>
      <c r="F12102" t="s">
        <v>7</v>
      </c>
      <c r="G12102" t="s">
        <v>12</v>
      </c>
      <c r="H12102" s="5">
        <f>MONTH(Tabela1[[#This Row],[data]])</f>
        <v>5</v>
      </c>
      <c r="I12102">
        <f>YEAR(Tabela1[[#This Row],[data]])</f>
        <v>2026</v>
      </c>
    </row>
    <row r="12103" spans="1:9" x14ac:dyDescent="0.25">
      <c r="A12103" t="s">
        <v>6</v>
      </c>
      <c r="B12103" s="1">
        <v>46162</v>
      </c>
      <c r="C12103">
        <v>6</v>
      </c>
      <c r="D12103">
        <v>233.1</v>
      </c>
      <c r="E12103">
        <v>0</v>
      </c>
      <c r="F12103" t="s">
        <v>7</v>
      </c>
      <c r="G12103" t="s">
        <v>12</v>
      </c>
      <c r="H12103" s="5">
        <f>MONTH(Tabela1[[#This Row],[data]])</f>
        <v>5</v>
      </c>
      <c r="I12103">
        <f>YEAR(Tabela1[[#This Row],[data]])</f>
        <v>2026</v>
      </c>
    </row>
    <row r="12104" spans="1:9" x14ac:dyDescent="0.25">
      <c r="A12104" t="s">
        <v>6</v>
      </c>
      <c r="B12104" s="1">
        <v>46162</v>
      </c>
      <c r="C12104">
        <v>7</v>
      </c>
      <c r="D12104">
        <v>236.88</v>
      </c>
      <c r="E12104">
        <v>0</v>
      </c>
      <c r="F12104" t="s">
        <v>7</v>
      </c>
      <c r="G12104" t="s">
        <v>12</v>
      </c>
      <c r="H12104" s="5">
        <f>MONTH(Tabela1[[#This Row],[data]])</f>
        <v>5</v>
      </c>
      <c r="I12104">
        <f>YEAR(Tabela1[[#This Row],[data]])</f>
        <v>2026</v>
      </c>
    </row>
    <row r="12105" spans="1:9" x14ac:dyDescent="0.25">
      <c r="A12105" t="s">
        <v>6</v>
      </c>
      <c r="B12105" s="1">
        <v>46162</v>
      </c>
      <c r="C12105">
        <v>8</v>
      </c>
      <c r="D12105">
        <v>244.44</v>
      </c>
      <c r="E12105">
        <v>0</v>
      </c>
      <c r="F12105" t="s">
        <v>7</v>
      </c>
      <c r="G12105" t="s">
        <v>12</v>
      </c>
      <c r="H12105" s="5">
        <f>MONTH(Tabela1[[#This Row],[data]])</f>
        <v>5</v>
      </c>
      <c r="I12105">
        <f>YEAR(Tabela1[[#This Row],[data]])</f>
        <v>2026</v>
      </c>
    </row>
    <row r="12106" spans="1:9" x14ac:dyDescent="0.25">
      <c r="A12106" t="s">
        <v>6</v>
      </c>
      <c r="B12106" s="1">
        <v>46162</v>
      </c>
      <c r="C12106">
        <v>9</v>
      </c>
      <c r="D12106">
        <v>340.2</v>
      </c>
      <c r="E12106">
        <v>0</v>
      </c>
      <c r="F12106" t="s">
        <v>7</v>
      </c>
      <c r="G12106" t="s">
        <v>12</v>
      </c>
      <c r="H12106" s="5">
        <f>MONTH(Tabela1[[#This Row],[data]])</f>
        <v>5</v>
      </c>
      <c r="I12106">
        <f>YEAR(Tabela1[[#This Row],[data]])</f>
        <v>2026</v>
      </c>
    </row>
    <row r="12107" spans="1:9" x14ac:dyDescent="0.25">
      <c r="A12107" t="s">
        <v>6</v>
      </c>
      <c r="B12107" s="1">
        <v>46162</v>
      </c>
      <c r="C12107">
        <v>10</v>
      </c>
      <c r="D12107">
        <v>418.74</v>
      </c>
      <c r="E12107">
        <v>7.56</v>
      </c>
      <c r="F12107" t="s">
        <v>7</v>
      </c>
      <c r="G12107" t="s">
        <v>12</v>
      </c>
      <c r="H12107" s="5">
        <f>MONTH(Tabela1[[#This Row],[data]])</f>
        <v>5</v>
      </c>
      <c r="I12107">
        <f>YEAR(Tabela1[[#This Row],[data]])</f>
        <v>2026</v>
      </c>
    </row>
    <row r="12108" spans="1:9" x14ac:dyDescent="0.25">
      <c r="A12108" t="s">
        <v>6</v>
      </c>
      <c r="B12108" s="1">
        <v>46162</v>
      </c>
      <c r="C12108">
        <v>11</v>
      </c>
      <c r="D12108">
        <v>556.5</v>
      </c>
      <c r="E12108">
        <v>38.64</v>
      </c>
      <c r="F12108" t="s">
        <v>7</v>
      </c>
      <c r="G12108" t="s">
        <v>12</v>
      </c>
      <c r="H12108" s="5">
        <f>MONTH(Tabela1[[#This Row],[data]])</f>
        <v>5</v>
      </c>
      <c r="I12108">
        <f>YEAR(Tabela1[[#This Row],[data]])</f>
        <v>2026</v>
      </c>
    </row>
    <row r="12109" spans="1:9" x14ac:dyDescent="0.25">
      <c r="A12109" t="s">
        <v>6</v>
      </c>
      <c r="B12109" s="1">
        <v>46162</v>
      </c>
      <c r="C12109">
        <v>12</v>
      </c>
      <c r="D12109">
        <v>796.74</v>
      </c>
      <c r="E12109">
        <v>165.06</v>
      </c>
      <c r="F12109" t="s">
        <v>7</v>
      </c>
      <c r="G12109" t="s">
        <v>12</v>
      </c>
      <c r="H12109" s="5">
        <f>MONTH(Tabela1[[#This Row],[data]])</f>
        <v>5</v>
      </c>
      <c r="I12109">
        <f>YEAR(Tabela1[[#This Row],[data]])</f>
        <v>2026</v>
      </c>
    </row>
    <row r="12110" spans="1:9" x14ac:dyDescent="0.25">
      <c r="A12110" t="s">
        <v>6</v>
      </c>
      <c r="B12110" s="1">
        <v>46162</v>
      </c>
      <c r="C12110">
        <v>13</v>
      </c>
      <c r="D12110">
        <v>816.48</v>
      </c>
      <c r="E12110">
        <v>188.16</v>
      </c>
      <c r="F12110" t="s">
        <v>7</v>
      </c>
      <c r="G12110" t="s">
        <v>12</v>
      </c>
      <c r="H12110" s="5">
        <f>MONTH(Tabela1[[#This Row],[data]])</f>
        <v>5</v>
      </c>
      <c r="I12110">
        <f>YEAR(Tabela1[[#This Row],[data]])</f>
        <v>2026</v>
      </c>
    </row>
    <row r="12111" spans="1:9" x14ac:dyDescent="0.25">
      <c r="A12111" t="s">
        <v>6</v>
      </c>
      <c r="B12111" s="1">
        <v>46162</v>
      </c>
      <c r="C12111">
        <v>14</v>
      </c>
      <c r="D12111">
        <v>797.16</v>
      </c>
      <c r="E12111">
        <v>164.22</v>
      </c>
      <c r="F12111" t="s">
        <v>7</v>
      </c>
      <c r="G12111" t="s">
        <v>12</v>
      </c>
      <c r="H12111" s="5">
        <f>MONTH(Tabela1[[#This Row],[data]])</f>
        <v>5</v>
      </c>
      <c r="I12111">
        <f>YEAR(Tabela1[[#This Row],[data]])</f>
        <v>2026</v>
      </c>
    </row>
    <row r="12112" spans="1:9" x14ac:dyDescent="0.25">
      <c r="A12112" t="s">
        <v>6</v>
      </c>
      <c r="B12112" s="1">
        <v>46162</v>
      </c>
      <c r="C12112">
        <v>15</v>
      </c>
      <c r="D12112">
        <v>804.72</v>
      </c>
      <c r="E12112">
        <v>158.76</v>
      </c>
      <c r="F12112" t="s">
        <v>7</v>
      </c>
      <c r="G12112" t="s">
        <v>12</v>
      </c>
      <c r="H12112" s="5">
        <f>MONTH(Tabela1[[#This Row],[data]])</f>
        <v>5</v>
      </c>
      <c r="I12112">
        <f>YEAR(Tabela1[[#This Row],[data]])</f>
        <v>2026</v>
      </c>
    </row>
    <row r="12113" spans="1:9" x14ac:dyDescent="0.25">
      <c r="A12113" t="s">
        <v>6</v>
      </c>
      <c r="B12113" s="1">
        <v>46162</v>
      </c>
      <c r="C12113">
        <v>16</v>
      </c>
      <c r="D12113">
        <v>795.48</v>
      </c>
      <c r="E12113">
        <v>158.34</v>
      </c>
      <c r="F12113" t="s">
        <v>7</v>
      </c>
      <c r="G12113" t="s">
        <v>12</v>
      </c>
      <c r="H12113" s="5">
        <f>MONTH(Tabela1[[#This Row],[data]])</f>
        <v>5</v>
      </c>
      <c r="I12113">
        <f>YEAR(Tabela1[[#This Row],[data]])</f>
        <v>2026</v>
      </c>
    </row>
    <row r="12114" spans="1:9" x14ac:dyDescent="0.25">
      <c r="A12114" t="s">
        <v>6</v>
      </c>
      <c r="B12114" s="1">
        <v>46162</v>
      </c>
      <c r="C12114">
        <v>17</v>
      </c>
      <c r="D12114">
        <v>781.2</v>
      </c>
      <c r="E12114">
        <v>174.3</v>
      </c>
      <c r="F12114" t="s">
        <v>7</v>
      </c>
      <c r="G12114" t="s">
        <v>12</v>
      </c>
      <c r="H12114" s="5">
        <f>MONTH(Tabela1[[#This Row],[data]])</f>
        <v>5</v>
      </c>
      <c r="I12114">
        <f>YEAR(Tabela1[[#This Row],[data]])</f>
        <v>2026</v>
      </c>
    </row>
    <row r="12115" spans="1:9" x14ac:dyDescent="0.25">
      <c r="A12115" t="s">
        <v>6</v>
      </c>
      <c r="B12115" s="1">
        <v>46162</v>
      </c>
      <c r="C12115">
        <v>18</v>
      </c>
      <c r="D12115">
        <v>779.52</v>
      </c>
      <c r="E12115">
        <v>169.68</v>
      </c>
      <c r="F12115" t="s">
        <v>7</v>
      </c>
      <c r="G12115" t="s">
        <v>12</v>
      </c>
      <c r="H12115" s="5">
        <f>MONTH(Tabela1[[#This Row],[data]])</f>
        <v>5</v>
      </c>
      <c r="I12115">
        <f>YEAR(Tabela1[[#This Row],[data]])</f>
        <v>2026</v>
      </c>
    </row>
    <row r="12116" spans="1:9" x14ac:dyDescent="0.25">
      <c r="A12116" t="s">
        <v>6</v>
      </c>
      <c r="B12116" s="1">
        <v>46162</v>
      </c>
      <c r="C12116">
        <v>19</v>
      </c>
      <c r="D12116">
        <v>624.54</v>
      </c>
      <c r="E12116">
        <v>50.4</v>
      </c>
      <c r="F12116" t="s">
        <v>7</v>
      </c>
      <c r="G12116" t="s">
        <v>12</v>
      </c>
      <c r="H12116" s="5">
        <f>MONTH(Tabela1[[#This Row],[data]])</f>
        <v>5</v>
      </c>
      <c r="I12116">
        <f>YEAR(Tabela1[[#This Row],[data]])</f>
        <v>2026</v>
      </c>
    </row>
    <row r="12117" spans="1:9" x14ac:dyDescent="0.25">
      <c r="A12117" t="s">
        <v>6</v>
      </c>
      <c r="B12117" s="1">
        <v>46162</v>
      </c>
      <c r="C12117">
        <v>20</v>
      </c>
      <c r="D12117">
        <v>588</v>
      </c>
      <c r="E12117">
        <v>37.799999999999997</v>
      </c>
      <c r="F12117" t="s">
        <v>7</v>
      </c>
      <c r="G12117" t="s">
        <v>12</v>
      </c>
      <c r="H12117" s="5">
        <f>MONTH(Tabela1[[#This Row],[data]])</f>
        <v>5</v>
      </c>
      <c r="I12117">
        <f>YEAR(Tabela1[[#This Row],[data]])</f>
        <v>2026</v>
      </c>
    </row>
    <row r="12118" spans="1:9" x14ac:dyDescent="0.25">
      <c r="A12118" t="s">
        <v>6</v>
      </c>
      <c r="B12118" s="1">
        <v>46162</v>
      </c>
      <c r="C12118">
        <v>21</v>
      </c>
      <c r="D12118">
        <v>588.84</v>
      </c>
      <c r="E12118">
        <v>41.58</v>
      </c>
      <c r="F12118" t="s">
        <v>7</v>
      </c>
      <c r="G12118" t="s">
        <v>12</v>
      </c>
      <c r="H12118" s="5">
        <f>MONTH(Tabela1[[#This Row],[data]])</f>
        <v>5</v>
      </c>
      <c r="I12118">
        <f>YEAR(Tabela1[[#This Row],[data]])</f>
        <v>2026</v>
      </c>
    </row>
    <row r="12119" spans="1:9" x14ac:dyDescent="0.25">
      <c r="A12119" t="s">
        <v>6</v>
      </c>
      <c r="B12119" s="1">
        <v>46162</v>
      </c>
      <c r="C12119">
        <v>22</v>
      </c>
      <c r="D12119">
        <v>569.94000000000005</v>
      </c>
      <c r="E12119">
        <v>38.22</v>
      </c>
      <c r="F12119" t="s">
        <v>7</v>
      </c>
      <c r="G12119" t="s">
        <v>12</v>
      </c>
      <c r="H12119" s="5">
        <f>MONTH(Tabela1[[#This Row],[data]])</f>
        <v>5</v>
      </c>
      <c r="I12119">
        <f>YEAR(Tabela1[[#This Row],[data]])</f>
        <v>2026</v>
      </c>
    </row>
    <row r="12120" spans="1:9" x14ac:dyDescent="0.25">
      <c r="A12120" t="s">
        <v>6</v>
      </c>
      <c r="B12120" s="1">
        <v>46162</v>
      </c>
      <c r="C12120">
        <v>23</v>
      </c>
      <c r="D12120">
        <v>385.14</v>
      </c>
      <c r="E12120">
        <v>0</v>
      </c>
      <c r="F12120" t="s">
        <v>7</v>
      </c>
      <c r="G12120" t="s">
        <v>12</v>
      </c>
      <c r="H12120" s="5">
        <f>MONTH(Tabela1[[#This Row],[data]])</f>
        <v>5</v>
      </c>
      <c r="I12120">
        <f>YEAR(Tabela1[[#This Row],[data]])</f>
        <v>2026</v>
      </c>
    </row>
    <row r="12121" spans="1:9" x14ac:dyDescent="0.25">
      <c r="A12121" t="s">
        <v>6</v>
      </c>
      <c r="B12121" s="1">
        <v>46162</v>
      </c>
      <c r="C12121">
        <v>24</v>
      </c>
      <c r="D12121">
        <v>283.92</v>
      </c>
      <c r="E12121">
        <v>0</v>
      </c>
      <c r="F12121" t="s">
        <v>7</v>
      </c>
      <c r="G12121" t="s">
        <v>12</v>
      </c>
      <c r="H12121" s="5">
        <f>MONTH(Tabela1[[#This Row],[data]])</f>
        <v>5</v>
      </c>
      <c r="I12121">
        <f>YEAR(Tabela1[[#This Row],[data]])</f>
        <v>2026</v>
      </c>
    </row>
    <row r="12122" spans="1:9" x14ac:dyDescent="0.25">
      <c r="A12122" t="s">
        <v>6</v>
      </c>
      <c r="B12122" s="1">
        <v>46163</v>
      </c>
      <c r="C12122">
        <v>1</v>
      </c>
      <c r="D12122">
        <v>248.22</v>
      </c>
      <c r="E12122">
        <v>0</v>
      </c>
      <c r="F12122" t="s">
        <v>7</v>
      </c>
      <c r="G12122" t="s">
        <v>11</v>
      </c>
      <c r="H12122" s="5">
        <f>MONTH(Tabela1[[#This Row],[data]])</f>
        <v>5</v>
      </c>
      <c r="I12122">
        <f>YEAR(Tabela1[[#This Row],[data]])</f>
        <v>2026</v>
      </c>
    </row>
    <row r="12123" spans="1:9" x14ac:dyDescent="0.25">
      <c r="A12123" t="s">
        <v>6</v>
      </c>
      <c r="B12123" s="1">
        <v>46163</v>
      </c>
      <c r="C12123">
        <v>2</v>
      </c>
      <c r="D12123">
        <v>227.22</v>
      </c>
      <c r="E12123">
        <v>0</v>
      </c>
      <c r="F12123" t="s">
        <v>7</v>
      </c>
      <c r="G12123" t="s">
        <v>11</v>
      </c>
      <c r="H12123" s="5">
        <f>MONTH(Tabela1[[#This Row],[data]])</f>
        <v>5</v>
      </c>
      <c r="I12123">
        <f>YEAR(Tabela1[[#This Row],[data]])</f>
        <v>2026</v>
      </c>
    </row>
    <row r="12124" spans="1:9" x14ac:dyDescent="0.25">
      <c r="A12124" t="s">
        <v>6</v>
      </c>
      <c r="B12124" s="1">
        <v>46163</v>
      </c>
      <c r="C12124">
        <v>3</v>
      </c>
      <c r="D12124">
        <v>230.16</v>
      </c>
      <c r="E12124">
        <v>0</v>
      </c>
      <c r="F12124" t="s">
        <v>7</v>
      </c>
      <c r="G12124" t="s">
        <v>11</v>
      </c>
      <c r="H12124" s="5">
        <f>MONTH(Tabela1[[#This Row],[data]])</f>
        <v>5</v>
      </c>
      <c r="I12124">
        <f>YEAR(Tabela1[[#This Row],[data]])</f>
        <v>2026</v>
      </c>
    </row>
    <row r="12125" spans="1:9" x14ac:dyDescent="0.25">
      <c r="A12125" t="s">
        <v>6</v>
      </c>
      <c r="B12125" s="1">
        <v>46163</v>
      </c>
      <c r="C12125">
        <v>4</v>
      </c>
      <c r="D12125">
        <v>233.94</v>
      </c>
      <c r="E12125">
        <v>0</v>
      </c>
      <c r="F12125" t="s">
        <v>7</v>
      </c>
      <c r="G12125" t="s">
        <v>11</v>
      </c>
      <c r="H12125" s="5">
        <f>MONTH(Tabela1[[#This Row],[data]])</f>
        <v>5</v>
      </c>
      <c r="I12125">
        <f>YEAR(Tabela1[[#This Row],[data]])</f>
        <v>2026</v>
      </c>
    </row>
    <row r="12126" spans="1:9" x14ac:dyDescent="0.25">
      <c r="A12126" t="s">
        <v>6</v>
      </c>
      <c r="B12126" s="1">
        <v>46163</v>
      </c>
      <c r="C12126">
        <v>5</v>
      </c>
      <c r="D12126">
        <v>239.4</v>
      </c>
      <c r="E12126">
        <v>0</v>
      </c>
      <c r="F12126" t="s">
        <v>7</v>
      </c>
      <c r="G12126" t="s">
        <v>11</v>
      </c>
      <c r="H12126" s="5">
        <f>MONTH(Tabela1[[#This Row],[data]])</f>
        <v>5</v>
      </c>
      <c r="I12126">
        <f>YEAR(Tabela1[[#This Row],[data]])</f>
        <v>2026</v>
      </c>
    </row>
    <row r="12127" spans="1:9" x14ac:dyDescent="0.25">
      <c r="A12127" t="s">
        <v>6</v>
      </c>
      <c r="B12127" s="1">
        <v>46163</v>
      </c>
      <c r="C12127">
        <v>6</v>
      </c>
      <c r="D12127">
        <v>244.86</v>
      </c>
      <c r="E12127">
        <v>0</v>
      </c>
      <c r="F12127" t="s">
        <v>7</v>
      </c>
      <c r="G12127" t="s">
        <v>11</v>
      </c>
      <c r="H12127" s="5">
        <f>MONTH(Tabela1[[#This Row],[data]])</f>
        <v>5</v>
      </c>
      <c r="I12127">
        <f>YEAR(Tabela1[[#This Row],[data]])</f>
        <v>2026</v>
      </c>
    </row>
    <row r="12128" spans="1:9" x14ac:dyDescent="0.25">
      <c r="A12128" t="s">
        <v>6</v>
      </c>
      <c r="B12128" s="1">
        <v>46163</v>
      </c>
      <c r="C12128">
        <v>7</v>
      </c>
      <c r="D12128">
        <v>244.02</v>
      </c>
      <c r="E12128">
        <v>0</v>
      </c>
      <c r="F12128" t="s">
        <v>7</v>
      </c>
      <c r="G12128" t="s">
        <v>11</v>
      </c>
      <c r="H12128" s="5">
        <f>MONTH(Tabela1[[#This Row],[data]])</f>
        <v>5</v>
      </c>
      <c r="I12128">
        <f>YEAR(Tabela1[[#This Row],[data]])</f>
        <v>2026</v>
      </c>
    </row>
    <row r="12129" spans="1:9" x14ac:dyDescent="0.25">
      <c r="A12129" t="s">
        <v>6</v>
      </c>
      <c r="B12129" s="1">
        <v>46163</v>
      </c>
      <c r="C12129">
        <v>8</v>
      </c>
      <c r="D12129">
        <v>270.06</v>
      </c>
      <c r="E12129">
        <v>0</v>
      </c>
      <c r="F12129" t="s">
        <v>7</v>
      </c>
      <c r="G12129" t="s">
        <v>11</v>
      </c>
      <c r="H12129" s="5">
        <f>MONTH(Tabela1[[#This Row],[data]])</f>
        <v>5</v>
      </c>
      <c r="I12129">
        <f>YEAR(Tabela1[[#This Row],[data]])</f>
        <v>2026</v>
      </c>
    </row>
    <row r="12130" spans="1:9" x14ac:dyDescent="0.25">
      <c r="A12130" t="s">
        <v>6</v>
      </c>
      <c r="B12130" s="1">
        <v>46163</v>
      </c>
      <c r="C12130">
        <v>9</v>
      </c>
      <c r="D12130">
        <v>338.52</v>
      </c>
      <c r="E12130">
        <v>0</v>
      </c>
      <c r="F12130" t="s">
        <v>7</v>
      </c>
      <c r="G12130" t="s">
        <v>11</v>
      </c>
      <c r="H12130" s="5">
        <f>MONTH(Tabela1[[#This Row],[data]])</f>
        <v>5</v>
      </c>
      <c r="I12130">
        <f>YEAR(Tabela1[[#This Row],[data]])</f>
        <v>2026</v>
      </c>
    </row>
    <row r="12131" spans="1:9" x14ac:dyDescent="0.25">
      <c r="A12131" t="s">
        <v>6</v>
      </c>
      <c r="B12131" s="1">
        <v>46163</v>
      </c>
      <c r="C12131">
        <v>10</v>
      </c>
      <c r="D12131">
        <v>397.32</v>
      </c>
      <c r="E12131">
        <v>5.46</v>
      </c>
      <c r="F12131" t="s">
        <v>7</v>
      </c>
      <c r="G12131" t="s">
        <v>11</v>
      </c>
      <c r="H12131" s="5">
        <f>MONTH(Tabela1[[#This Row],[data]])</f>
        <v>5</v>
      </c>
      <c r="I12131">
        <f>YEAR(Tabela1[[#This Row],[data]])</f>
        <v>2026</v>
      </c>
    </row>
    <row r="12132" spans="1:9" x14ac:dyDescent="0.25">
      <c r="A12132" t="s">
        <v>6</v>
      </c>
      <c r="B12132" s="1">
        <v>46163</v>
      </c>
      <c r="C12132">
        <v>11</v>
      </c>
      <c r="D12132">
        <v>549.78</v>
      </c>
      <c r="E12132">
        <v>31.5</v>
      </c>
      <c r="F12132" t="s">
        <v>7</v>
      </c>
      <c r="G12132" t="s">
        <v>11</v>
      </c>
      <c r="H12132" s="5">
        <f>MONTH(Tabela1[[#This Row],[data]])</f>
        <v>5</v>
      </c>
      <c r="I12132">
        <f>YEAR(Tabela1[[#This Row],[data]])</f>
        <v>2026</v>
      </c>
    </row>
    <row r="12133" spans="1:9" x14ac:dyDescent="0.25">
      <c r="A12133" t="s">
        <v>6</v>
      </c>
      <c r="B12133" s="1">
        <v>46163</v>
      </c>
      <c r="C12133">
        <v>12</v>
      </c>
      <c r="D12133">
        <v>778.26</v>
      </c>
      <c r="E12133">
        <v>146.58000000000001</v>
      </c>
      <c r="F12133" t="s">
        <v>7</v>
      </c>
      <c r="G12133" t="s">
        <v>11</v>
      </c>
      <c r="H12133" s="5">
        <f>MONTH(Tabela1[[#This Row],[data]])</f>
        <v>5</v>
      </c>
      <c r="I12133">
        <f>YEAR(Tabela1[[#This Row],[data]])</f>
        <v>2026</v>
      </c>
    </row>
    <row r="12134" spans="1:9" x14ac:dyDescent="0.25">
      <c r="A12134" t="s">
        <v>6</v>
      </c>
      <c r="B12134" s="1">
        <v>46163</v>
      </c>
      <c r="C12134">
        <v>13</v>
      </c>
      <c r="D12134">
        <v>771.96</v>
      </c>
      <c r="E12134">
        <v>179.34</v>
      </c>
      <c r="F12134" t="s">
        <v>7</v>
      </c>
      <c r="G12134" t="s">
        <v>11</v>
      </c>
      <c r="H12134" s="5">
        <f>MONTH(Tabela1[[#This Row],[data]])</f>
        <v>5</v>
      </c>
      <c r="I12134">
        <f>YEAR(Tabela1[[#This Row],[data]])</f>
        <v>2026</v>
      </c>
    </row>
    <row r="12135" spans="1:9" x14ac:dyDescent="0.25">
      <c r="A12135" t="s">
        <v>6</v>
      </c>
      <c r="B12135" s="1">
        <v>46163</v>
      </c>
      <c r="C12135">
        <v>14</v>
      </c>
      <c r="D12135">
        <v>761.88</v>
      </c>
      <c r="E12135">
        <v>165.48</v>
      </c>
      <c r="F12135" t="s">
        <v>7</v>
      </c>
      <c r="G12135" t="s">
        <v>11</v>
      </c>
      <c r="H12135" s="5">
        <f>MONTH(Tabela1[[#This Row],[data]])</f>
        <v>5</v>
      </c>
      <c r="I12135">
        <f>YEAR(Tabela1[[#This Row],[data]])</f>
        <v>2026</v>
      </c>
    </row>
    <row r="12136" spans="1:9" x14ac:dyDescent="0.25">
      <c r="A12136" t="s">
        <v>6</v>
      </c>
      <c r="B12136" s="1">
        <v>46163</v>
      </c>
      <c r="C12136">
        <v>15</v>
      </c>
      <c r="D12136">
        <v>770.28</v>
      </c>
      <c r="E12136">
        <v>172.62</v>
      </c>
      <c r="F12136" t="s">
        <v>7</v>
      </c>
      <c r="G12136" t="s">
        <v>11</v>
      </c>
      <c r="H12136" s="5">
        <f>MONTH(Tabela1[[#This Row],[data]])</f>
        <v>5</v>
      </c>
      <c r="I12136">
        <f>YEAR(Tabela1[[#This Row],[data]])</f>
        <v>2026</v>
      </c>
    </row>
    <row r="12137" spans="1:9" x14ac:dyDescent="0.25">
      <c r="A12137" t="s">
        <v>6</v>
      </c>
      <c r="B12137" s="1">
        <v>46163</v>
      </c>
      <c r="C12137">
        <v>16</v>
      </c>
      <c r="D12137">
        <v>761.04</v>
      </c>
      <c r="E12137">
        <v>169.26</v>
      </c>
      <c r="F12137" t="s">
        <v>7</v>
      </c>
      <c r="G12137" t="s">
        <v>11</v>
      </c>
      <c r="H12137" s="5">
        <f>MONTH(Tabela1[[#This Row],[data]])</f>
        <v>5</v>
      </c>
      <c r="I12137">
        <f>YEAR(Tabela1[[#This Row],[data]])</f>
        <v>2026</v>
      </c>
    </row>
    <row r="12138" spans="1:9" x14ac:dyDescent="0.25">
      <c r="A12138" t="s">
        <v>6</v>
      </c>
      <c r="B12138" s="1">
        <v>46163</v>
      </c>
      <c r="C12138">
        <v>17</v>
      </c>
      <c r="D12138">
        <v>757.68</v>
      </c>
      <c r="E12138">
        <v>167.16</v>
      </c>
      <c r="F12138" t="s">
        <v>7</v>
      </c>
      <c r="G12138" t="s">
        <v>11</v>
      </c>
      <c r="H12138" s="5">
        <f>MONTH(Tabela1[[#This Row],[data]])</f>
        <v>5</v>
      </c>
      <c r="I12138">
        <f>YEAR(Tabela1[[#This Row],[data]])</f>
        <v>2026</v>
      </c>
    </row>
    <row r="12139" spans="1:9" x14ac:dyDescent="0.25">
      <c r="A12139" t="s">
        <v>6</v>
      </c>
      <c r="B12139" s="1">
        <v>46163</v>
      </c>
      <c r="C12139">
        <v>18</v>
      </c>
      <c r="D12139">
        <v>735.84</v>
      </c>
      <c r="E12139">
        <v>139.86000000000001</v>
      </c>
      <c r="F12139" t="s">
        <v>7</v>
      </c>
      <c r="G12139" t="s">
        <v>11</v>
      </c>
      <c r="H12139" s="5">
        <f>MONTH(Tabela1[[#This Row],[data]])</f>
        <v>5</v>
      </c>
      <c r="I12139">
        <f>YEAR(Tabela1[[#This Row],[data]])</f>
        <v>2026</v>
      </c>
    </row>
    <row r="12140" spans="1:9" x14ac:dyDescent="0.25">
      <c r="A12140" t="s">
        <v>6</v>
      </c>
      <c r="B12140" s="1">
        <v>46163</v>
      </c>
      <c r="C12140">
        <v>19</v>
      </c>
      <c r="D12140">
        <v>631.67999999999995</v>
      </c>
      <c r="E12140">
        <v>48.72</v>
      </c>
      <c r="F12140" t="s">
        <v>7</v>
      </c>
      <c r="G12140" t="s">
        <v>11</v>
      </c>
      <c r="H12140" s="5">
        <f>MONTH(Tabela1[[#This Row],[data]])</f>
        <v>5</v>
      </c>
      <c r="I12140">
        <f>YEAR(Tabela1[[#This Row],[data]])</f>
        <v>2026</v>
      </c>
    </row>
    <row r="12141" spans="1:9" x14ac:dyDescent="0.25">
      <c r="A12141" t="s">
        <v>6</v>
      </c>
      <c r="B12141" s="1">
        <v>46163</v>
      </c>
      <c r="C12141">
        <v>20</v>
      </c>
      <c r="D12141">
        <v>593.88</v>
      </c>
      <c r="E12141">
        <v>38.64</v>
      </c>
      <c r="F12141" t="s">
        <v>7</v>
      </c>
      <c r="G12141" t="s">
        <v>11</v>
      </c>
      <c r="H12141" s="5">
        <f>MONTH(Tabela1[[#This Row],[data]])</f>
        <v>5</v>
      </c>
      <c r="I12141">
        <f>YEAR(Tabela1[[#This Row],[data]])</f>
        <v>2026</v>
      </c>
    </row>
    <row r="12142" spans="1:9" x14ac:dyDescent="0.25">
      <c r="A12142" t="s">
        <v>6</v>
      </c>
      <c r="B12142" s="1">
        <v>46163</v>
      </c>
      <c r="C12142">
        <v>21</v>
      </c>
      <c r="D12142">
        <v>583.79999999999995</v>
      </c>
      <c r="E12142">
        <v>47.04</v>
      </c>
      <c r="F12142" t="s">
        <v>7</v>
      </c>
      <c r="G12142" t="s">
        <v>11</v>
      </c>
      <c r="H12142" s="5">
        <f>MONTH(Tabela1[[#This Row],[data]])</f>
        <v>5</v>
      </c>
      <c r="I12142">
        <f>YEAR(Tabela1[[#This Row],[data]])</f>
        <v>2026</v>
      </c>
    </row>
    <row r="12143" spans="1:9" x14ac:dyDescent="0.25">
      <c r="A12143" t="s">
        <v>6</v>
      </c>
      <c r="B12143" s="1">
        <v>46163</v>
      </c>
      <c r="C12143">
        <v>22</v>
      </c>
      <c r="D12143">
        <v>563.22</v>
      </c>
      <c r="E12143">
        <v>37.799999999999997</v>
      </c>
      <c r="F12143" t="s">
        <v>7</v>
      </c>
      <c r="G12143" t="s">
        <v>11</v>
      </c>
      <c r="H12143" s="5">
        <f>MONTH(Tabela1[[#This Row],[data]])</f>
        <v>5</v>
      </c>
      <c r="I12143">
        <f>YEAR(Tabela1[[#This Row],[data]])</f>
        <v>2026</v>
      </c>
    </row>
    <row r="12144" spans="1:9" x14ac:dyDescent="0.25">
      <c r="A12144" t="s">
        <v>6</v>
      </c>
      <c r="B12144" s="1">
        <v>46163</v>
      </c>
      <c r="C12144">
        <v>23</v>
      </c>
      <c r="D12144">
        <v>372.12</v>
      </c>
      <c r="E12144">
        <v>0</v>
      </c>
      <c r="F12144" t="s">
        <v>7</v>
      </c>
      <c r="G12144" t="s">
        <v>11</v>
      </c>
      <c r="H12144" s="5">
        <f>MONTH(Tabela1[[#This Row],[data]])</f>
        <v>5</v>
      </c>
      <c r="I12144">
        <f>YEAR(Tabela1[[#This Row],[data]])</f>
        <v>2026</v>
      </c>
    </row>
    <row r="12145" spans="1:9" x14ac:dyDescent="0.25">
      <c r="A12145" t="s">
        <v>6</v>
      </c>
      <c r="B12145" s="1">
        <v>46163</v>
      </c>
      <c r="C12145">
        <v>24</v>
      </c>
      <c r="D12145">
        <v>282.66000000000003</v>
      </c>
      <c r="E12145">
        <v>0</v>
      </c>
      <c r="F12145" t="s">
        <v>7</v>
      </c>
      <c r="G12145" t="s">
        <v>11</v>
      </c>
      <c r="H12145" s="5">
        <f>MONTH(Tabela1[[#This Row],[data]])</f>
        <v>5</v>
      </c>
      <c r="I12145">
        <f>YEAR(Tabela1[[#This Row],[data]])</f>
        <v>2026</v>
      </c>
    </row>
    <row r="12146" spans="1:9" x14ac:dyDescent="0.25">
      <c r="A12146" t="s">
        <v>6</v>
      </c>
      <c r="B12146" s="1">
        <v>46164</v>
      </c>
      <c r="C12146">
        <v>1</v>
      </c>
      <c r="D12146">
        <v>252.84</v>
      </c>
      <c r="E12146">
        <v>0</v>
      </c>
      <c r="F12146" t="s">
        <v>7</v>
      </c>
      <c r="G12146" t="s">
        <v>11</v>
      </c>
      <c r="H12146" s="5">
        <f>MONTH(Tabela1[[#This Row],[data]])</f>
        <v>5</v>
      </c>
      <c r="I12146">
        <f>YEAR(Tabela1[[#This Row],[data]])</f>
        <v>2026</v>
      </c>
    </row>
    <row r="12147" spans="1:9" x14ac:dyDescent="0.25">
      <c r="A12147" t="s">
        <v>6</v>
      </c>
      <c r="B12147" s="1">
        <v>46164</v>
      </c>
      <c r="C12147">
        <v>2</v>
      </c>
      <c r="D12147">
        <v>229.32</v>
      </c>
      <c r="E12147">
        <v>0</v>
      </c>
      <c r="F12147" t="s">
        <v>7</v>
      </c>
      <c r="G12147" t="s">
        <v>11</v>
      </c>
      <c r="H12147" s="5">
        <f>MONTH(Tabela1[[#This Row],[data]])</f>
        <v>5</v>
      </c>
      <c r="I12147">
        <f>YEAR(Tabela1[[#This Row],[data]])</f>
        <v>2026</v>
      </c>
    </row>
    <row r="12148" spans="1:9" x14ac:dyDescent="0.25">
      <c r="A12148" t="s">
        <v>6</v>
      </c>
      <c r="B12148" s="1">
        <v>46164</v>
      </c>
      <c r="C12148">
        <v>3</v>
      </c>
      <c r="D12148">
        <v>225.12</v>
      </c>
      <c r="E12148">
        <v>0</v>
      </c>
      <c r="F12148" t="s">
        <v>7</v>
      </c>
      <c r="G12148" t="s">
        <v>11</v>
      </c>
      <c r="H12148" s="5">
        <f>MONTH(Tabela1[[#This Row],[data]])</f>
        <v>5</v>
      </c>
      <c r="I12148">
        <f>YEAR(Tabela1[[#This Row],[data]])</f>
        <v>2026</v>
      </c>
    </row>
    <row r="12149" spans="1:9" x14ac:dyDescent="0.25">
      <c r="A12149" t="s">
        <v>6</v>
      </c>
      <c r="B12149" s="1">
        <v>46164</v>
      </c>
      <c r="C12149">
        <v>4</v>
      </c>
      <c r="D12149">
        <v>222.18</v>
      </c>
      <c r="E12149">
        <v>0</v>
      </c>
      <c r="F12149" t="s">
        <v>7</v>
      </c>
      <c r="G12149" t="s">
        <v>11</v>
      </c>
      <c r="H12149" s="5">
        <f>MONTH(Tabela1[[#This Row],[data]])</f>
        <v>5</v>
      </c>
      <c r="I12149">
        <f>YEAR(Tabela1[[#This Row],[data]])</f>
        <v>2026</v>
      </c>
    </row>
    <row r="12150" spans="1:9" x14ac:dyDescent="0.25">
      <c r="A12150" t="s">
        <v>6</v>
      </c>
      <c r="B12150" s="1">
        <v>46164</v>
      </c>
      <c r="C12150">
        <v>5</v>
      </c>
      <c r="D12150">
        <v>233.94</v>
      </c>
      <c r="E12150">
        <v>0</v>
      </c>
      <c r="F12150" t="s">
        <v>7</v>
      </c>
      <c r="G12150" t="s">
        <v>11</v>
      </c>
      <c r="H12150" s="5">
        <f>MONTH(Tabela1[[#This Row],[data]])</f>
        <v>5</v>
      </c>
      <c r="I12150">
        <f>YEAR(Tabela1[[#This Row],[data]])</f>
        <v>2026</v>
      </c>
    </row>
    <row r="12151" spans="1:9" x14ac:dyDescent="0.25">
      <c r="A12151" t="s">
        <v>6</v>
      </c>
      <c r="B12151" s="1">
        <v>46164</v>
      </c>
      <c r="C12151">
        <v>6</v>
      </c>
      <c r="D12151">
        <v>228.9</v>
      </c>
      <c r="E12151">
        <v>0</v>
      </c>
      <c r="F12151" t="s">
        <v>7</v>
      </c>
      <c r="G12151" t="s">
        <v>11</v>
      </c>
      <c r="H12151" s="5">
        <f>MONTH(Tabela1[[#This Row],[data]])</f>
        <v>5</v>
      </c>
      <c r="I12151">
        <f>YEAR(Tabela1[[#This Row],[data]])</f>
        <v>2026</v>
      </c>
    </row>
    <row r="12152" spans="1:9" x14ac:dyDescent="0.25">
      <c r="A12152" t="s">
        <v>6</v>
      </c>
      <c r="B12152" s="1">
        <v>46164</v>
      </c>
      <c r="C12152">
        <v>7</v>
      </c>
      <c r="D12152">
        <v>240.24</v>
      </c>
      <c r="E12152">
        <v>0</v>
      </c>
      <c r="F12152" t="s">
        <v>7</v>
      </c>
      <c r="G12152" t="s">
        <v>11</v>
      </c>
      <c r="H12152" s="5">
        <f>MONTH(Tabela1[[#This Row],[data]])</f>
        <v>5</v>
      </c>
      <c r="I12152">
        <f>YEAR(Tabela1[[#This Row],[data]])</f>
        <v>2026</v>
      </c>
    </row>
    <row r="12153" spans="1:9" x14ac:dyDescent="0.25">
      <c r="A12153" t="s">
        <v>6</v>
      </c>
      <c r="B12153" s="1">
        <v>46164</v>
      </c>
      <c r="C12153">
        <v>8</v>
      </c>
      <c r="D12153">
        <v>227.22</v>
      </c>
      <c r="E12153">
        <v>0</v>
      </c>
      <c r="F12153" t="s">
        <v>7</v>
      </c>
      <c r="G12153" t="s">
        <v>11</v>
      </c>
      <c r="H12153" s="5">
        <f>MONTH(Tabela1[[#This Row],[data]])</f>
        <v>5</v>
      </c>
      <c r="I12153">
        <f>YEAR(Tabela1[[#This Row],[data]])</f>
        <v>2026</v>
      </c>
    </row>
    <row r="12154" spans="1:9" x14ac:dyDescent="0.25">
      <c r="A12154" t="s">
        <v>6</v>
      </c>
      <c r="B12154" s="1">
        <v>46164</v>
      </c>
      <c r="C12154">
        <v>9</v>
      </c>
      <c r="D12154">
        <v>306.60000000000002</v>
      </c>
      <c r="E12154">
        <v>0</v>
      </c>
      <c r="F12154" t="s">
        <v>7</v>
      </c>
      <c r="G12154" t="s">
        <v>11</v>
      </c>
      <c r="H12154" s="5">
        <f>MONTH(Tabela1[[#This Row],[data]])</f>
        <v>5</v>
      </c>
      <c r="I12154">
        <f>YEAR(Tabela1[[#This Row],[data]])</f>
        <v>2026</v>
      </c>
    </row>
    <row r="12155" spans="1:9" x14ac:dyDescent="0.25">
      <c r="A12155" t="s">
        <v>6</v>
      </c>
      <c r="B12155" s="1">
        <v>46164</v>
      </c>
      <c r="C12155">
        <v>10</v>
      </c>
      <c r="D12155">
        <v>412.02</v>
      </c>
      <c r="E12155">
        <v>5.88</v>
      </c>
      <c r="F12155" t="s">
        <v>7</v>
      </c>
      <c r="G12155" t="s">
        <v>11</v>
      </c>
      <c r="H12155" s="5">
        <f>MONTH(Tabela1[[#This Row],[data]])</f>
        <v>5</v>
      </c>
      <c r="I12155">
        <f>YEAR(Tabela1[[#This Row],[data]])</f>
        <v>2026</v>
      </c>
    </row>
    <row r="12156" spans="1:9" x14ac:dyDescent="0.25">
      <c r="A12156" t="s">
        <v>6</v>
      </c>
      <c r="B12156" s="1">
        <v>46164</v>
      </c>
      <c r="C12156">
        <v>11</v>
      </c>
      <c r="D12156">
        <v>557.76</v>
      </c>
      <c r="E12156">
        <v>32.340000000000003</v>
      </c>
      <c r="F12156" t="s">
        <v>7</v>
      </c>
      <c r="G12156" t="s">
        <v>11</v>
      </c>
      <c r="H12156" s="5">
        <f>MONTH(Tabela1[[#This Row],[data]])</f>
        <v>5</v>
      </c>
      <c r="I12156">
        <f>YEAR(Tabela1[[#This Row],[data]])</f>
        <v>2026</v>
      </c>
    </row>
    <row r="12157" spans="1:9" x14ac:dyDescent="0.25">
      <c r="A12157" t="s">
        <v>6</v>
      </c>
      <c r="B12157" s="1">
        <v>46164</v>
      </c>
      <c r="C12157">
        <v>12</v>
      </c>
      <c r="D12157">
        <v>763.14</v>
      </c>
      <c r="E12157">
        <v>150.78</v>
      </c>
      <c r="F12157" t="s">
        <v>7</v>
      </c>
      <c r="G12157" t="s">
        <v>11</v>
      </c>
      <c r="H12157" s="5">
        <f>MONTH(Tabela1[[#This Row],[data]])</f>
        <v>5</v>
      </c>
      <c r="I12157">
        <f>YEAR(Tabela1[[#This Row],[data]])</f>
        <v>2026</v>
      </c>
    </row>
    <row r="12158" spans="1:9" x14ac:dyDescent="0.25">
      <c r="A12158" t="s">
        <v>6</v>
      </c>
      <c r="B12158" s="1">
        <v>46164</v>
      </c>
      <c r="C12158">
        <v>13</v>
      </c>
      <c r="D12158">
        <v>748.86</v>
      </c>
      <c r="E12158">
        <v>162.12</v>
      </c>
      <c r="F12158" t="s">
        <v>7</v>
      </c>
      <c r="G12158" t="s">
        <v>11</v>
      </c>
      <c r="H12158" s="5">
        <f>MONTH(Tabela1[[#This Row],[data]])</f>
        <v>5</v>
      </c>
      <c r="I12158">
        <f>YEAR(Tabela1[[#This Row],[data]])</f>
        <v>2026</v>
      </c>
    </row>
    <row r="12159" spans="1:9" x14ac:dyDescent="0.25">
      <c r="A12159" t="s">
        <v>6</v>
      </c>
      <c r="B12159" s="1">
        <v>46164</v>
      </c>
      <c r="C12159">
        <v>14</v>
      </c>
      <c r="D12159">
        <v>742.56</v>
      </c>
      <c r="E12159">
        <v>149.52000000000001</v>
      </c>
      <c r="F12159" t="s">
        <v>7</v>
      </c>
      <c r="G12159" t="s">
        <v>11</v>
      </c>
      <c r="H12159" s="5">
        <f>MONTH(Tabela1[[#This Row],[data]])</f>
        <v>5</v>
      </c>
      <c r="I12159">
        <f>YEAR(Tabela1[[#This Row],[data]])</f>
        <v>2026</v>
      </c>
    </row>
    <row r="12160" spans="1:9" x14ac:dyDescent="0.25">
      <c r="A12160" t="s">
        <v>6</v>
      </c>
      <c r="B12160" s="1">
        <v>46164</v>
      </c>
      <c r="C12160">
        <v>15</v>
      </c>
      <c r="D12160">
        <v>740.88</v>
      </c>
      <c r="E12160">
        <v>133.56</v>
      </c>
      <c r="F12160" t="s">
        <v>7</v>
      </c>
      <c r="G12160" t="s">
        <v>11</v>
      </c>
      <c r="H12160" s="5">
        <f>MONTH(Tabela1[[#This Row],[data]])</f>
        <v>5</v>
      </c>
      <c r="I12160">
        <f>YEAR(Tabela1[[#This Row],[data]])</f>
        <v>2026</v>
      </c>
    </row>
    <row r="12161" spans="1:9" x14ac:dyDescent="0.25">
      <c r="A12161" t="s">
        <v>6</v>
      </c>
      <c r="B12161" s="1">
        <v>46164</v>
      </c>
      <c r="C12161">
        <v>16</v>
      </c>
      <c r="D12161">
        <v>710.64</v>
      </c>
      <c r="E12161">
        <v>126.42</v>
      </c>
      <c r="F12161" t="s">
        <v>7</v>
      </c>
      <c r="G12161" t="s">
        <v>11</v>
      </c>
      <c r="H12161" s="5">
        <f>MONTH(Tabela1[[#This Row],[data]])</f>
        <v>5</v>
      </c>
      <c r="I12161">
        <f>YEAR(Tabela1[[#This Row],[data]])</f>
        <v>2026</v>
      </c>
    </row>
    <row r="12162" spans="1:9" x14ac:dyDescent="0.25">
      <c r="A12162" t="s">
        <v>6</v>
      </c>
      <c r="B12162" s="1">
        <v>46164</v>
      </c>
      <c r="C12162">
        <v>17</v>
      </c>
      <c r="D12162">
        <v>728.7</v>
      </c>
      <c r="E12162">
        <v>117.6</v>
      </c>
      <c r="F12162" t="s">
        <v>7</v>
      </c>
      <c r="G12162" t="s">
        <v>11</v>
      </c>
      <c r="H12162" s="5">
        <f>MONTH(Tabela1[[#This Row],[data]])</f>
        <v>5</v>
      </c>
      <c r="I12162">
        <f>YEAR(Tabela1[[#This Row],[data]])</f>
        <v>2026</v>
      </c>
    </row>
    <row r="12163" spans="1:9" x14ac:dyDescent="0.25">
      <c r="A12163" t="s">
        <v>6</v>
      </c>
      <c r="B12163" s="1">
        <v>46164</v>
      </c>
      <c r="C12163">
        <v>18</v>
      </c>
      <c r="D12163">
        <v>737.1</v>
      </c>
      <c r="E12163">
        <v>124.74</v>
      </c>
      <c r="F12163" t="s">
        <v>7</v>
      </c>
      <c r="G12163" t="s">
        <v>11</v>
      </c>
      <c r="H12163" s="5">
        <f>MONTH(Tabela1[[#This Row],[data]])</f>
        <v>5</v>
      </c>
      <c r="I12163">
        <f>YEAR(Tabela1[[#This Row],[data]])</f>
        <v>2026</v>
      </c>
    </row>
    <row r="12164" spans="1:9" x14ac:dyDescent="0.25">
      <c r="A12164" t="s">
        <v>6</v>
      </c>
      <c r="B12164" s="1">
        <v>46164</v>
      </c>
      <c r="C12164">
        <v>19</v>
      </c>
      <c r="D12164">
        <v>634.20000000000005</v>
      </c>
      <c r="E12164">
        <v>44.94</v>
      </c>
      <c r="F12164" t="s">
        <v>7</v>
      </c>
      <c r="G12164" t="s">
        <v>11</v>
      </c>
      <c r="H12164" s="5">
        <f>MONTH(Tabela1[[#This Row],[data]])</f>
        <v>5</v>
      </c>
      <c r="I12164">
        <f>YEAR(Tabela1[[#This Row],[data]])</f>
        <v>2026</v>
      </c>
    </row>
    <row r="12165" spans="1:9" x14ac:dyDescent="0.25">
      <c r="A12165" t="s">
        <v>6</v>
      </c>
      <c r="B12165" s="1">
        <v>46164</v>
      </c>
      <c r="C12165">
        <v>20</v>
      </c>
      <c r="D12165">
        <v>603.96</v>
      </c>
      <c r="E12165">
        <v>46.62</v>
      </c>
      <c r="F12165" t="s">
        <v>7</v>
      </c>
      <c r="G12165" t="s">
        <v>11</v>
      </c>
      <c r="H12165" s="5">
        <f>MONTH(Tabela1[[#This Row],[data]])</f>
        <v>5</v>
      </c>
      <c r="I12165">
        <f>YEAR(Tabela1[[#This Row],[data]])</f>
        <v>2026</v>
      </c>
    </row>
    <row r="12166" spans="1:9" x14ac:dyDescent="0.25">
      <c r="A12166" t="s">
        <v>6</v>
      </c>
      <c r="B12166" s="1">
        <v>46164</v>
      </c>
      <c r="C12166">
        <v>21</v>
      </c>
      <c r="D12166">
        <v>599.76</v>
      </c>
      <c r="E12166">
        <v>33.6</v>
      </c>
      <c r="F12166" t="s">
        <v>7</v>
      </c>
      <c r="G12166" t="s">
        <v>11</v>
      </c>
      <c r="H12166" s="5">
        <f>MONTH(Tabela1[[#This Row],[data]])</f>
        <v>5</v>
      </c>
      <c r="I12166">
        <f>YEAR(Tabela1[[#This Row],[data]])</f>
        <v>2026</v>
      </c>
    </row>
    <row r="12167" spans="1:9" x14ac:dyDescent="0.25">
      <c r="A12167" t="s">
        <v>6</v>
      </c>
      <c r="B12167" s="1">
        <v>46164</v>
      </c>
      <c r="C12167">
        <v>22</v>
      </c>
      <c r="D12167">
        <v>581.28</v>
      </c>
      <c r="E12167">
        <v>18.059999999999999</v>
      </c>
      <c r="F12167" t="s">
        <v>7</v>
      </c>
      <c r="G12167" t="s">
        <v>11</v>
      </c>
      <c r="H12167" s="5">
        <f>MONTH(Tabela1[[#This Row],[data]])</f>
        <v>5</v>
      </c>
      <c r="I12167">
        <f>YEAR(Tabela1[[#This Row],[data]])</f>
        <v>2026</v>
      </c>
    </row>
    <row r="12168" spans="1:9" x14ac:dyDescent="0.25">
      <c r="A12168" t="s">
        <v>6</v>
      </c>
      <c r="B12168" s="1">
        <v>46164</v>
      </c>
      <c r="C12168">
        <v>23</v>
      </c>
      <c r="D12168">
        <v>393.96</v>
      </c>
      <c r="E12168">
        <v>0</v>
      </c>
      <c r="F12168" t="s">
        <v>7</v>
      </c>
      <c r="G12168" t="s">
        <v>11</v>
      </c>
      <c r="H12168" s="5">
        <f>MONTH(Tabela1[[#This Row],[data]])</f>
        <v>5</v>
      </c>
      <c r="I12168">
        <f>YEAR(Tabela1[[#This Row],[data]])</f>
        <v>2026</v>
      </c>
    </row>
    <row r="12169" spans="1:9" x14ac:dyDescent="0.25">
      <c r="A12169" t="s">
        <v>6</v>
      </c>
      <c r="B12169" s="1">
        <v>46164</v>
      </c>
      <c r="C12169">
        <v>24</v>
      </c>
      <c r="D12169">
        <v>280.98</v>
      </c>
      <c r="E12169">
        <v>0</v>
      </c>
      <c r="F12169" t="s">
        <v>7</v>
      </c>
      <c r="G12169" t="s">
        <v>11</v>
      </c>
      <c r="H12169" s="5">
        <f>MONTH(Tabela1[[#This Row],[data]])</f>
        <v>5</v>
      </c>
      <c r="I12169">
        <f>YEAR(Tabela1[[#This Row],[data]])</f>
        <v>2026</v>
      </c>
    </row>
    <row r="12170" spans="1:9" x14ac:dyDescent="0.25">
      <c r="A12170" t="s">
        <v>6</v>
      </c>
      <c r="B12170" s="1">
        <v>46165</v>
      </c>
      <c r="C12170">
        <v>1</v>
      </c>
      <c r="D12170">
        <v>239.82</v>
      </c>
      <c r="E12170">
        <v>0</v>
      </c>
      <c r="F12170" t="s">
        <v>7</v>
      </c>
      <c r="G12170" t="s">
        <v>11</v>
      </c>
      <c r="H12170" s="5">
        <f>MONTH(Tabela1[[#This Row],[data]])</f>
        <v>5</v>
      </c>
      <c r="I12170">
        <f>YEAR(Tabela1[[#This Row],[data]])</f>
        <v>2026</v>
      </c>
    </row>
    <row r="12171" spans="1:9" x14ac:dyDescent="0.25">
      <c r="A12171" t="s">
        <v>6</v>
      </c>
      <c r="B12171" s="1">
        <v>46165</v>
      </c>
      <c r="C12171">
        <v>2</v>
      </c>
      <c r="D12171">
        <v>232.26</v>
      </c>
      <c r="E12171">
        <v>0</v>
      </c>
      <c r="F12171" t="s">
        <v>7</v>
      </c>
      <c r="G12171" t="s">
        <v>11</v>
      </c>
      <c r="H12171" s="5">
        <f>MONTH(Tabela1[[#This Row],[data]])</f>
        <v>5</v>
      </c>
      <c r="I12171">
        <f>YEAR(Tabela1[[#This Row],[data]])</f>
        <v>2026</v>
      </c>
    </row>
    <row r="12172" spans="1:9" x14ac:dyDescent="0.25">
      <c r="A12172" t="s">
        <v>6</v>
      </c>
      <c r="B12172" s="1">
        <v>46165</v>
      </c>
      <c r="C12172">
        <v>3</v>
      </c>
      <c r="D12172">
        <v>231.84</v>
      </c>
      <c r="E12172">
        <v>0</v>
      </c>
      <c r="F12172" t="s">
        <v>7</v>
      </c>
      <c r="G12172" t="s">
        <v>11</v>
      </c>
      <c r="H12172" s="5">
        <f>MONTH(Tabela1[[#This Row],[data]])</f>
        <v>5</v>
      </c>
      <c r="I12172">
        <f>YEAR(Tabela1[[#This Row],[data]])</f>
        <v>2026</v>
      </c>
    </row>
    <row r="12173" spans="1:9" x14ac:dyDescent="0.25">
      <c r="A12173" t="s">
        <v>6</v>
      </c>
      <c r="B12173" s="1">
        <v>46165</v>
      </c>
      <c r="C12173">
        <v>4</v>
      </c>
      <c r="D12173">
        <v>231.42</v>
      </c>
      <c r="E12173">
        <v>0</v>
      </c>
      <c r="F12173" t="s">
        <v>7</v>
      </c>
      <c r="G12173" t="s">
        <v>11</v>
      </c>
      <c r="H12173" s="5">
        <f>MONTH(Tabela1[[#This Row],[data]])</f>
        <v>5</v>
      </c>
      <c r="I12173">
        <f>YEAR(Tabela1[[#This Row],[data]])</f>
        <v>2026</v>
      </c>
    </row>
    <row r="12174" spans="1:9" x14ac:dyDescent="0.25">
      <c r="A12174" t="s">
        <v>6</v>
      </c>
      <c r="B12174" s="1">
        <v>46165</v>
      </c>
      <c r="C12174">
        <v>5</v>
      </c>
      <c r="D12174">
        <v>236.88</v>
      </c>
      <c r="E12174">
        <v>0</v>
      </c>
      <c r="F12174" t="s">
        <v>7</v>
      </c>
      <c r="G12174" t="s">
        <v>11</v>
      </c>
      <c r="H12174" s="5">
        <f>MONTH(Tabela1[[#This Row],[data]])</f>
        <v>5</v>
      </c>
      <c r="I12174">
        <f>YEAR(Tabela1[[#This Row],[data]])</f>
        <v>2026</v>
      </c>
    </row>
    <row r="12175" spans="1:9" x14ac:dyDescent="0.25">
      <c r="A12175" t="s">
        <v>6</v>
      </c>
      <c r="B12175" s="1">
        <v>46165</v>
      </c>
      <c r="C12175">
        <v>6</v>
      </c>
      <c r="D12175">
        <v>230.58</v>
      </c>
      <c r="E12175">
        <v>0</v>
      </c>
      <c r="F12175" t="s">
        <v>7</v>
      </c>
      <c r="G12175" t="s">
        <v>11</v>
      </c>
      <c r="H12175" s="5">
        <f>MONTH(Tabela1[[#This Row],[data]])</f>
        <v>5</v>
      </c>
      <c r="I12175">
        <f>YEAR(Tabela1[[#This Row],[data]])</f>
        <v>2026</v>
      </c>
    </row>
    <row r="12176" spans="1:9" x14ac:dyDescent="0.25">
      <c r="A12176" t="s">
        <v>6</v>
      </c>
      <c r="B12176" s="1">
        <v>46165</v>
      </c>
      <c r="C12176">
        <v>7</v>
      </c>
      <c r="D12176">
        <v>207.9</v>
      </c>
      <c r="E12176">
        <v>0</v>
      </c>
      <c r="F12176" t="s">
        <v>7</v>
      </c>
      <c r="G12176" t="s">
        <v>11</v>
      </c>
      <c r="H12176" s="5">
        <f>MONTH(Tabela1[[#This Row],[data]])</f>
        <v>5</v>
      </c>
      <c r="I12176">
        <f>YEAR(Tabela1[[#This Row],[data]])</f>
        <v>2026</v>
      </c>
    </row>
    <row r="12177" spans="1:9" x14ac:dyDescent="0.25">
      <c r="A12177" t="s">
        <v>6</v>
      </c>
      <c r="B12177" s="1">
        <v>46165</v>
      </c>
      <c r="C12177">
        <v>8</v>
      </c>
      <c r="D12177">
        <v>235.2</v>
      </c>
      <c r="E12177">
        <v>0</v>
      </c>
      <c r="F12177" t="s">
        <v>7</v>
      </c>
      <c r="G12177" t="s">
        <v>11</v>
      </c>
      <c r="H12177" s="5">
        <f>MONTH(Tabela1[[#This Row],[data]])</f>
        <v>5</v>
      </c>
      <c r="I12177">
        <f>YEAR(Tabela1[[#This Row],[data]])</f>
        <v>2026</v>
      </c>
    </row>
    <row r="12178" spans="1:9" x14ac:dyDescent="0.25">
      <c r="A12178" t="s">
        <v>6</v>
      </c>
      <c r="B12178" s="1">
        <v>46165</v>
      </c>
      <c r="C12178">
        <v>9</v>
      </c>
      <c r="D12178">
        <v>324.24</v>
      </c>
      <c r="E12178">
        <v>0</v>
      </c>
      <c r="F12178" t="s">
        <v>7</v>
      </c>
      <c r="G12178" t="s">
        <v>11</v>
      </c>
      <c r="H12178" s="5">
        <f>MONTH(Tabela1[[#This Row],[data]])</f>
        <v>5</v>
      </c>
      <c r="I12178">
        <f>YEAR(Tabela1[[#This Row],[data]])</f>
        <v>2026</v>
      </c>
    </row>
    <row r="12179" spans="1:9" x14ac:dyDescent="0.25">
      <c r="A12179" t="s">
        <v>6</v>
      </c>
      <c r="B12179" s="1">
        <v>46165</v>
      </c>
      <c r="C12179">
        <v>10</v>
      </c>
      <c r="D12179">
        <v>399.84</v>
      </c>
      <c r="E12179">
        <v>3.78</v>
      </c>
      <c r="F12179" t="s">
        <v>7</v>
      </c>
      <c r="G12179" t="s">
        <v>11</v>
      </c>
      <c r="H12179" s="5">
        <f>MONTH(Tabela1[[#This Row],[data]])</f>
        <v>5</v>
      </c>
      <c r="I12179">
        <f>YEAR(Tabela1[[#This Row],[data]])</f>
        <v>2026</v>
      </c>
    </row>
    <row r="12180" spans="1:9" x14ac:dyDescent="0.25">
      <c r="A12180" t="s">
        <v>6</v>
      </c>
      <c r="B12180" s="1">
        <v>46165</v>
      </c>
      <c r="C12180">
        <v>11</v>
      </c>
      <c r="D12180">
        <v>692.16</v>
      </c>
      <c r="E12180">
        <v>118.44</v>
      </c>
      <c r="F12180" t="s">
        <v>7</v>
      </c>
      <c r="G12180" t="s">
        <v>11</v>
      </c>
      <c r="H12180" s="5">
        <f>MONTH(Tabela1[[#This Row],[data]])</f>
        <v>5</v>
      </c>
      <c r="I12180">
        <f>YEAR(Tabela1[[#This Row],[data]])</f>
        <v>2026</v>
      </c>
    </row>
    <row r="12181" spans="1:9" x14ac:dyDescent="0.25">
      <c r="A12181" t="s">
        <v>6</v>
      </c>
      <c r="B12181" s="1">
        <v>46165</v>
      </c>
      <c r="C12181">
        <v>12</v>
      </c>
      <c r="D12181">
        <v>711.06</v>
      </c>
      <c r="E12181">
        <v>113.82</v>
      </c>
      <c r="F12181" t="s">
        <v>7</v>
      </c>
      <c r="G12181" t="s">
        <v>11</v>
      </c>
      <c r="H12181" s="5">
        <f>MONTH(Tabela1[[#This Row],[data]])</f>
        <v>5</v>
      </c>
      <c r="I12181">
        <f>YEAR(Tabela1[[#This Row],[data]])</f>
        <v>2026</v>
      </c>
    </row>
    <row r="12182" spans="1:9" x14ac:dyDescent="0.25">
      <c r="A12182" t="s">
        <v>6</v>
      </c>
      <c r="B12182" s="1">
        <v>46165</v>
      </c>
      <c r="C12182">
        <v>13</v>
      </c>
      <c r="D12182">
        <v>710.22</v>
      </c>
      <c r="E12182">
        <v>127.68</v>
      </c>
      <c r="F12182" t="s">
        <v>7</v>
      </c>
      <c r="G12182" t="s">
        <v>11</v>
      </c>
      <c r="H12182" s="5">
        <f>MONTH(Tabela1[[#This Row],[data]])</f>
        <v>5</v>
      </c>
      <c r="I12182">
        <f>YEAR(Tabela1[[#This Row],[data]])</f>
        <v>2026</v>
      </c>
    </row>
    <row r="12183" spans="1:9" x14ac:dyDescent="0.25">
      <c r="A12183" t="s">
        <v>6</v>
      </c>
      <c r="B12183" s="1">
        <v>46165</v>
      </c>
      <c r="C12183">
        <v>14</v>
      </c>
      <c r="D12183">
        <v>710.22</v>
      </c>
      <c r="E12183">
        <v>122.22</v>
      </c>
      <c r="F12183" t="s">
        <v>7</v>
      </c>
      <c r="G12183" t="s">
        <v>11</v>
      </c>
      <c r="H12183" s="5">
        <f>MONTH(Tabela1[[#This Row],[data]])</f>
        <v>5</v>
      </c>
      <c r="I12183">
        <f>YEAR(Tabela1[[#This Row],[data]])</f>
        <v>2026</v>
      </c>
    </row>
    <row r="12184" spans="1:9" x14ac:dyDescent="0.25">
      <c r="A12184" t="s">
        <v>6</v>
      </c>
      <c r="B12184" s="1">
        <v>46165</v>
      </c>
      <c r="C12184">
        <v>15</v>
      </c>
      <c r="D12184">
        <v>732.9</v>
      </c>
      <c r="E12184">
        <v>129.78</v>
      </c>
      <c r="F12184" t="s">
        <v>7</v>
      </c>
      <c r="G12184" t="s">
        <v>11</v>
      </c>
      <c r="H12184" s="5">
        <f>MONTH(Tabela1[[#This Row],[data]])</f>
        <v>5</v>
      </c>
      <c r="I12184">
        <f>YEAR(Tabela1[[#This Row],[data]])</f>
        <v>2026</v>
      </c>
    </row>
    <row r="12185" spans="1:9" x14ac:dyDescent="0.25">
      <c r="A12185" t="s">
        <v>6</v>
      </c>
      <c r="B12185" s="1">
        <v>46165</v>
      </c>
      <c r="C12185">
        <v>16</v>
      </c>
      <c r="D12185">
        <v>736.68</v>
      </c>
      <c r="E12185">
        <v>147.84</v>
      </c>
      <c r="F12185" t="s">
        <v>7</v>
      </c>
      <c r="G12185" t="s">
        <v>12</v>
      </c>
      <c r="H12185" s="5">
        <f>MONTH(Tabela1[[#This Row],[data]])</f>
        <v>5</v>
      </c>
      <c r="I12185">
        <f>YEAR(Tabela1[[#This Row],[data]])</f>
        <v>2026</v>
      </c>
    </row>
    <row r="12186" spans="1:9" x14ac:dyDescent="0.25">
      <c r="A12186" t="s">
        <v>6</v>
      </c>
      <c r="B12186" s="1">
        <v>46165</v>
      </c>
      <c r="C12186">
        <v>17</v>
      </c>
      <c r="D12186">
        <v>753.9</v>
      </c>
      <c r="E12186">
        <v>153.30000000000001</v>
      </c>
      <c r="F12186" t="s">
        <v>7</v>
      </c>
      <c r="G12186" t="s">
        <v>12</v>
      </c>
      <c r="H12186" s="5">
        <f>MONTH(Tabela1[[#This Row],[data]])</f>
        <v>5</v>
      </c>
      <c r="I12186">
        <f>YEAR(Tabela1[[#This Row],[data]])</f>
        <v>2026</v>
      </c>
    </row>
    <row r="12187" spans="1:9" x14ac:dyDescent="0.25">
      <c r="A12187" t="s">
        <v>6</v>
      </c>
      <c r="B12187" s="1">
        <v>46165</v>
      </c>
      <c r="C12187">
        <v>18</v>
      </c>
      <c r="D12187">
        <v>766.5</v>
      </c>
      <c r="E12187">
        <v>149.94</v>
      </c>
      <c r="F12187" t="s">
        <v>7</v>
      </c>
      <c r="G12187" t="s">
        <v>12</v>
      </c>
      <c r="H12187" s="5">
        <f>MONTH(Tabela1[[#This Row],[data]])</f>
        <v>5</v>
      </c>
      <c r="I12187">
        <f>YEAR(Tabela1[[#This Row],[data]])</f>
        <v>2026</v>
      </c>
    </row>
    <row r="12188" spans="1:9" x14ac:dyDescent="0.25">
      <c r="A12188" t="s">
        <v>6</v>
      </c>
      <c r="B12188" s="1">
        <v>46165</v>
      </c>
      <c r="C12188">
        <v>19</v>
      </c>
      <c r="D12188">
        <v>773.22</v>
      </c>
      <c r="E12188">
        <v>138.6</v>
      </c>
      <c r="F12188" t="s">
        <v>7</v>
      </c>
      <c r="G12188" t="s">
        <v>12</v>
      </c>
      <c r="H12188" s="5">
        <f>MONTH(Tabela1[[#This Row],[data]])</f>
        <v>5</v>
      </c>
      <c r="I12188">
        <f>YEAR(Tabela1[[#This Row],[data]])</f>
        <v>2026</v>
      </c>
    </row>
    <row r="12189" spans="1:9" x14ac:dyDescent="0.25">
      <c r="A12189" t="s">
        <v>6</v>
      </c>
      <c r="B12189" s="1">
        <v>46165</v>
      </c>
      <c r="C12189">
        <v>20</v>
      </c>
      <c r="D12189">
        <v>778.26</v>
      </c>
      <c r="E12189">
        <v>145.32</v>
      </c>
      <c r="F12189" t="s">
        <v>7</v>
      </c>
      <c r="G12189" t="s">
        <v>11</v>
      </c>
      <c r="H12189" s="5">
        <f>MONTH(Tabela1[[#This Row],[data]])</f>
        <v>5</v>
      </c>
      <c r="I12189">
        <f>YEAR(Tabela1[[#This Row],[data]])</f>
        <v>2026</v>
      </c>
    </row>
    <row r="12190" spans="1:9" x14ac:dyDescent="0.25">
      <c r="A12190" t="s">
        <v>6</v>
      </c>
      <c r="B12190" s="1">
        <v>46165</v>
      </c>
      <c r="C12190">
        <v>21</v>
      </c>
      <c r="D12190">
        <v>664.86</v>
      </c>
      <c r="E12190">
        <v>86.52</v>
      </c>
      <c r="F12190" t="s">
        <v>7</v>
      </c>
      <c r="G12190" t="s">
        <v>11</v>
      </c>
      <c r="H12190" s="5">
        <f>MONTH(Tabela1[[#This Row],[data]])</f>
        <v>5</v>
      </c>
      <c r="I12190">
        <f>YEAR(Tabela1[[#This Row],[data]])</f>
        <v>2026</v>
      </c>
    </row>
    <row r="12191" spans="1:9" x14ac:dyDescent="0.25">
      <c r="A12191" t="s">
        <v>6</v>
      </c>
      <c r="B12191" s="1">
        <v>46165</v>
      </c>
      <c r="C12191">
        <v>22</v>
      </c>
      <c r="D12191">
        <v>609</v>
      </c>
      <c r="E12191">
        <v>53.34</v>
      </c>
      <c r="F12191" t="s">
        <v>7</v>
      </c>
      <c r="G12191" t="s">
        <v>11</v>
      </c>
      <c r="H12191" s="5">
        <f>MONTH(Tabela1[[#This Row],[data]])</f>
        <v>5</v>
      </c>
      <c r="I12191">
        <f>YEAR(Tabela1[[#This Row],[data]])</f>
        <v>2026</v>
      </c>
    </row>
    <row r="12192" spans="1:9" x14ac:dyDescent="0.25">
      <c r="A12192" t="s">
        <v>6</v>
      </c>
      <c r="B12192" s="1">
        <v>46165</v>
      </c>
      <c r="C12192">
        <v>23</v>
      </c>
      <c r="D12192">
        <v>404.04</v>
      </c>
      <c r="E12192">
        <v>1.68</v>
      </c>
      <c r="F12192" t="s">
        <v>7</v>
      </c>
      <c r="G12192" t="s">
        <v>11</v>
      </c>
      <c r="H12192" s="5">
        <f>MONTH(Tabela1[[#This Row],[data]])</f>
        <v>5</v>
      </c>
      <c r="I12192">
        <f>YEAR(Tabela1[[#This Row],[data]])</f>
        <v>2026</v>
      </c>
    </row>
    <row r="12193" spans="1:9" x14ac:dyDescent="0.25">
      <c r="A12193" t="s">
        <v>6</v>
      </c>
      <c r="B12193" s="1">
        <v>46165</v>
      </c>
      <c r="C12193">
        <v>24</v>
      </c>
      <c r="D12193">
        <v>291.06</v>
      </c>
      <c r="E12193">
        <v>0</v>
      </c>
      <c r="F12193" t="s">
        <v>7</v>
      </c>
      <c r="G12193" t="s">
        <v>11</v>
      </c>
      <c r="H12193" s="5">
        <f>MONTH(Tabela1[[#This Row],[data]])</f>
        <v>5</v>
      </c>
      <c r="I12193">
        <f>YEAR(Tabela1[[#This Row],[data]])</f>
        <v>2026</v>
      </c>
    </row>
    <row r="12194" spans="1:9" x14ac:dyDescent="0.25">
      <c r="A12194" t="s">
        <v>6</v>
      </c>
      <c r="B12194" s="1">
        <v>46166</v>
      </c>
      <c r="C12194">
        <v>1</v>
      </c>
      <c r="D12194">
        <v>255.78</v>
      </c>
      <c r="E12194">
        <v>0</v>
      </c>
      <c r="F12194" t="s">
        <v>7</v>
      </c>
      <c r="G12194" t="s">
        <v>11</v>
      </c>
      <c r="H12194" s="5">
        <f>MONTH(Tabela1[[#This Row],[data]])</f>
        <v>5</v>
      </c>
      <c r="I12194">
        <f>YEAR(Tabela1[[#This Row],[data]])</f>
        <v>2026</v>
      </c>
    </row>
    <row r="12195" spans="1:9" x14ac:dyDescent="0.25">
      <c r="A12195" t="s">
        <v>6</v>
      </c>
      <c r="B12195" s="1">
        <v>46166</v>
      </c>
      <c r="C12195">
        <v>2</v>
      </c>
      <c r="D12195">
        <v>233.94</v>
      </c>
      <c r="E12195">
        <v>0</v>
      </c>
      <c r="F12195" t="s">
        <v>7</v>
      </c>
      <c r="G12195" t="s">
        <v>11</v>
      </c>
      <c r="H12195" s="5">
        <f>MONTH(Tabela1[[#This Row],[data]])</f>
        <v>5</v>
      </c>
      <c r="I12195">
        <f>YEAR(Tabela1[[#This Row],[data]])</f>
        <v>2026</v>
      </c>
    </row>
    <row r="12196" spans="1:9" x14ac:dyDescent="0.25">
      <c r="A12196" t="s">
        <v>6</v>
      </c>
      <c r="B12196" s="1">
        <v>46166</v>
      </c>
      <c r="C12196">
        <v>3</v>
      </c>
      <c r="D12196">
        <v>231</v>
      </c>
      <c r="E12196">
        <v>0</v>
      </c>
      <c r="F12196" t="s">
        <v>7</v>
      </c>
      <c r="G12196" t="s">
        <v>11</v>
      </c>
      <c r="H12196" s="5">
        <f>MONTH(Tabela1[[#This Row],[data]])</f>
        <v>5</v>
      </c>
      <c r="I12196">
        <f>YEAR(Tabela1[[#This Row],[data]])</f>
        <v>2026</v>
      </c>
    </row>
    <row r="12197" spans="1:9" x14ac:dyDescent="0.25">
      <c r="A12197" t="s">
        <v>6</v>
      </c>
      <c r="B12197" s="1">
        <v>46166</v>
      </c>
      <c r="C12197">
        <v>4</v>
      </c>
      <c r="D12197">
        <v>227.22</v>
      </c>
      <c r="E12197">
        <v>0</v>
      </c>
      <c r="F12197" t="s">
        <v>7</v>
      </c>
      <c r="G12197" t="s">
        <v>11</v>
      </c>
      <c r="H12197" s="5">
        <f>MONTH(Tabela1[[#This Row],[data]])</f>
        <v>5</v>
      </c>
      <c r="I12197">
        <f>YEAR(Tabela1[[#This Row],[data]])</f>
        <v>2026</v>
      </c>
    </row>
    <row r="12198" spans="1:9" x14ac:dyDescent="0.25">
      <c r="A12198" t="s">
        <v>6</v>
      </c>
      <c r="B12198" s="1">
        <v>46166</v>
      </c>
      <c r="C12198">
        <v>5</v>
      </c>
      <c r="D12198">
        <v>232.68</v>
      </c>
      <c r="E12198">
        <v>0</v>
      </c>
      <c r="F12198" t="s">
        <v>7</v>
      </c>
      <c r="G12198" t="s">
        <v>11</v>
      </c>
      <c r="H12198" s="5">
        <f>MONTH(Tabela1[[#This Row],[data]])</f>
        <v>5</v>
      </c>
      <c r="I12198">
        <f>YEAR(Tabela1[[#This Row],[data]])</f>
        <v>2026</v>
      </c>
    </row>
    <row r="12199" spans="1:9" x14ac:dyDescent="0.25">
      <c r="A12199" t="s">
        <v>6</v>
      </c>
      <c r="B12199" s="1">
        <v>46166</v>
      </c>
      <c r="C12199">
        <v>6</v>
      </c>
      <c r="D12199">
        <v>230.16</v>
      </c>
      <c r="E12199">
        <v>0</v>
      </c>
      <c r="F12199" t="s">
        <v>7</v>
      </c>
      <c r="G12199" t="s">
        <v>11</v>
      </c>
      <c r="H12199" s="5">
        <f>MONTH(Tabela1[[#This Row],[data]])</f>
        <v>5</v>
      </c>
      <c r="I12199">
        <f>YEAR(Tabela1[[#This Row],[data]])</f>
        <v>2026</v>
      </c>
    </row>
    <row r="12200" spans="1:9" x14ac:dyDescent="0.25">
      <c r="A12200" t="s">
        <v>6</v>
      </c>
      <c r="B12200" s="1">
        <v>46166</v>
      </c>
      <c r="C12200">
        <v>7</v>
      </c>
      <c r="D12200">
        <v>225.54</v>
      </c>
      <c r="E12200">
        <v>0</v>
      </c>
      <c r="F12200" t="s">
        <v>7</v>
      </c>
      <c r="G12200" t="s">
        <v>11</v>
      </c>
      <c r="H12200" s="5">
        <f>MONTH(Tabela1[[#This Row],[data]])</f>
        <v>5</v>
      </c>
      <c r="I12200">
        <f>YEAR(Tabela1[[#This Row],[data]])</f>
        <v>2026</v>
      </c>
    </row>
    <row r="12201" spans="1:9" x14ac:dyDescent="0.25">
      <c r="A12201" t="s">
        <v>6</v>
      </c>
      <c r="B12201" s="1">
        <v>46166</v>
      </c>
      <c r="C12201">
        <v>8</v>
      </c>
      <c r="D12201">
        <v>222.18</v>
      </c>
      <c r="E12201">
        <v>0</v>
      </c>
      <c r="F12201" t="s">
        <v>7</v>
      </c>
      <c r="G12201" t="s">
        <v>11</v>
      </c>
      <c r="H12201" s="5">
        <f>MONTH(Tabela1[[#This Row],[data]])</f>
        <v>5</v>
      </c>
      <c r="I12201">
        <f>YEAR(Tabela1[[#This Row],[data]])</f>
        <v>2026</v>
      </c>
    </row>
    <row r="12202" spans="1:9" x14ac:dyDescent="0.25">
      <c r="A12202" t="s">
        <v>6</v>
      </c>
      <c r="B12202" s="1">
        <v>46166</v>
      </c>
      <c r="C12202">
        <v>9</v>
      </c>
      <c r="D12202">
        <v>273.83999999999997</v>
      </c>
      <c r="E12202">
        <v>0</v>
      </c>
      <c r="F12202" t="s">
        <v>7</v>
      </c>
      <c r="G12202" t="s">
        <v>11</v>
      </c>
      <c r="H12202" s="5">
        <f>MONTH(Tabela1[[#This Row],[data]])</f>
        <v>5</v>
      </c>
      <c r="I12202">
        <f>YEAR(Tabela1[[#This Row],[data]])</f>
        <v>2026</v>
      </c>
    </row>
    <row r="12203" spans="1:9" x14ac:dyDescent="0.25">
      <c r="A12203" t="s">
        <v>6</v>
      </c>
      <c r="B12203" s="1">
        <v>46166</v>
      </c>
      <c r="C12203">
        <v>10</v>
      </c>
      <c r="D12203">
        <v>308.7</v>
      </c>
      <c r="E12203">
        <v>0.42</v>
      </c>
      <c r="F12203" t="s">
        <v>7</v>
      </c>
      <c r="G12203" t="s">
        <v>11</v>
      </c>
      <c r="H12203" s="5">
        <f>MONTH(Tabela1[[#This Row],[data]])</f>
        <v>5</v>
      </c>
      <c r="I12203">
        <f>YEAR(Tabela1[[#This Row],[data]])</f>
        <v>2026</v>
      </c>
    </row>
    <row r="12204" spans="1:9" x14ac:dyDescent="0.25">
      <c r="A12204" t="s">
        <v>6</v>
      </c>
      <c r="B12204" s="1">
        <v>46166</v>
      </c>
      <c r="C12204">
        <v>11</v>
      </c>
      <c r="D12204">
        <v>395.22</v>
      </c>
      <c r="E12204">
        <v>10.5</v>
      </c>
      <c r="F12204" t="s">
        <v>7</v>
      </c>
      <c r="G12204" t="s">
        <v>11</v>
      </c>
      <c r="H12204" s="5">
        <f>MONTH(Tabela1[[#This Row],[data]])</f>
        <v>5</v>
      </c>
      <c r="I12204">
        <f>YEAR(Tabela1[[#This Row],[data]])</f>
        <v>2026</v>
      </c>
    </row>
    <row r="12205" spans="1:9" x14ac:dyDescent="0.25">
      <c r="A12205" t="s">
        <v>6</v>
      </c>
      <c r="B12205" s="1">
        <v>46166</v>
      </c>
      <c r="C12205">
        <v>12</v>
      </c>
      <c r="D12205">
        <v>469.98</v>
      </c>
      <c r="E12205">
        <v>13.86</v>
      </c>
      <c r="F12205" t="s">
        <v>7</v>
      </c>
      <c r="G12205" t="s">
        <v>11</v>
      </c>
      <c r="H12205" s="5">
        <f>MONTH(Tabela1[[#This Row],[data]])</f>
        <v>5</v>
      </c>
      <c r="I12205">
        <f>YEAR(Tabela1[[#This Row],[data]])</f>
        <v>2026</v>
      </c>
    </row>
    <row r="12206" spans="1:9" x14ac:dyDescent="0.25">
      <c r="A12206" t="s">
        <v>6</v>
      </c>
      <c r="B12206" s="1">
        <v>46166</v>
      </c>
      <c r="C12206">
        <v>13</v>
      </c>
      <c r="D12206">
        <v>538.02</v>
      </c>
      <c r="E12206">
        <v>32.76</v>
      </c>
      <c r="F12206" t="s">
        <v>7</v>
      </c>
      <c r="G12206" t="s">
        <v>11</v>
      </c>
      <c r="H12206" s="5">
        <f>MONTH(Tabela1[[#This Row],[data]])</f>
        <v>5</v>
      </c>
      <c r="I12206">
        <f>YEAR(Tabela1[[#This Row],[data]])</f>
        <v>2026</v>
      </c>
    </row>
    <row r="12207" spans="1:9" x14ac:dyDescent="0.25">
      <c r="A12207" t="s">
        <v>6</v>
      </c>
      <c r="B12207" s="1">
        <v>46166</v>
      </c>
      <c r="C12207">
        <v>14</v>
      </c>
      <c r="D12207">
        <v>577.5</v>
      </c>
      <c r="E12207">
        <v>41.16</v>
      </c>
      <c r="F12207" t="s">
        <v>7</v>
      </c>
      <c r="G12207" t="s">
        <v>11</v>
      </c>
      <c r="H12207" s="5">
        <f>MONTH(Tabela1[[#This Row],[data]])</f>
        <v>5</v>
      </c>
      <c r="I12207">
        <f>YEAR(Tabela1[[#This Row],[data]])</f>
        <v>2026</v>
      </c>
    </row>
    <row r="12208" spans="1:9" x14ac:dyDescent="0.25">
      <c r="A12208" t="s">
        <v>6</v>
      </c>
      <c r="B12208" s="1">
        <v>46166</v>
      </c>
      <c r="C12208">
        <v>15</v>
      </c>
      <c r="D12208">
        <v>606.9</v>
      </c>
      <c r="E12208">
        <v>52.5</v>
      </c>
      <c r="F12208" t="s">
        <v>7</v>
      </c>
      <c r="G12208" t="s">
        <v>11</v>
      </c>
      <c r="H12208" s="5">
        <f>MONTH(Tabela1[[#This Row],[data]])</f>
        <v>5</v>
      </c>
      <c r="I12208">
        <f>YEAR(Tabela1[[#This Row],[data]])</f>
        <v>2026</v>
      </c>
    </row>
    <row r="12209" spans="1:9" x14ac:dyDescent="0.25">
      <c r="A12209" t="s">
        <v>6</v>
      </c>
      <c r="B12209" s="1">
        <v>46166</v>
      </c>
      <c r="C12209">
        <v>16</v>
      </c>
      <c r="D12209">
        <v>620.76</v>
      </c>
      <c r="E12209">
        <v>63.84</v>
      </c>
      <c r="F12209" t="s">
        <v>7</v>
      </c>
      <c r="G12209" t="s">
        <v>11</v>
      </c>
      <c r="H12209" s="5">
        <f>MONTH(Tabela1[[#This Row],[data]])</f>
        <v>5</v>
      </c>
      <c r="I12209">
        <f>YEAR(Tabela1[[#This Row],[data]])</f>
        <v>2026</v>
      </c>
    </row>
    <row r="12210" spans="1:9" x14ac:dyDescent="0.25">
      <c r="A12210" t="s">
        <v>6</v>
      </c>
      <c r="B12210" s="1">
        <v>46166</v>
      </c>
      <c r="C12210">
        <v>17</v>
      </c>
      <c r="D12210">
        <v>614.04</v>
      </c>
      <c r="E12210">
        <v>64.680000000000007</v>
      </c>
      <c r="F12210" t="s">
        <v>7</v>
      </c>
      <c r="G12210" t="s">
        <v>11</v>
      </c>
      <c r="H12210" s="5">
        <f>MONTH(Tabela1[[#This Row],[data]])</f>
        <v>5</v>
      </c>
      <c r="I12210">
        <f>YEAR(Tabela1[[#This Row],[data]])</f>
        <v>2026</v>
      </c>
    </row>
    <row r="12211" spans="1:9" x14ac:dyDescent="0.25">
      <c r="A12211" t="s">
        <v>6</v>
      </c>
      <c r="B12211" s="1">
        <v>46166</v>
      </c>
      <c r="C12211">
        <v>18</v>
      </c>
      <c r="D12211">
        <v>622.44000000000005</v>
      </c>
      <c r="E12211">
        <v>62.58</v>
      </c>
      <c r="F12211" t="s">
        <v>7</v>
      </c>
      <c r="G12211" t="s">
        <v>11</v>
      </c>
      <c r="H12211" s="5">
        <f>MONTH(Tabela1[[#This Row],[data]])</f>
        <v>5</v>
      </c>
      <c r="I12211">
        <f>YEAR(Tabela1[[#This Row],[data]])</f>
        <v>2026</v>
      </c>
    </row>
    <row r="12212" spans="1:9" x14ac:dyDescent="0.25">
      <c r="A12212" t="s">
        <v>6</v>
      </c>
      <c r="B12212" s="1">
        <v>46166</v>
      </c>
      <c r="C12212">
        <v>19</v>
      </c>
      <c r="D12212">
        <v>633.36</v>
      </c>
      <c r="E12212">
        <v>68.88</v>
      </c>
      <c r="F12212" t="s">
        <v>7</v>
      </c>
      <c r="G12212" t="s">
        <v>11</v>
      </c>
      <c r="H12212" s="5">
        <f>MONTH(Tabela1[[#This Row],[data]])</f>
        <v>5</v>
      </c>
      <c r="I12212">
        <f>YEAR(Tabela1[[#This Row],[data]])</f>
        <v>2026</v>
      </c>
    </row>
    <row r="12213" spans="1:9" x14ac:dyDescent="0.25">
      <c r="A12213" t="s">
        <v>6</v>
      </c>
      <c r="B12213" s="1">
        <v>46166</v>
      </c>
      <c r="C12213">
        <v>20</v>
      </c>
      <c r="D12213">
        <v>639.24</v>
      </c>
      <c r="E12213">
        <v>72.239999999999995</v>
      </c>
      <c r="F12213" t="s">
        <v>7</v>
      </c>
      <c r="G12213" t="s">
        <v>11</v>
      </c>
      <c r="H12213" s="5">
        <f>MONTH(Tabela1[[#This Row],[data]])</f>
        <v>5</v>
      </c>
      <c r="I12213">
        <f>YEAR(Tabela1[[#This Row],[data]])</f>
        <v>2026</v>
      </c>
    </row>
    <row r="12214" spans="1:9" x14ac:dyDescent="0.25">
      <c r="A12214" t="s">
        <v>6</v>
      </c>
      <c r="B12214" s="1">
        <v>46166</v>
      </c>
      <c r="C12214">
        <v>21</v>
      </c>
      <c r="D12214">
        <v>578.76</v>
      </c>
      <c r="E12214">
        <v>68.459999999999994</v>
      </c>
      <c r="F12214" t="s">
        <v>7</v>
      </c>
      <c r="G12214" t="s">
        <v>11</v>
      </c>
      <c r="H12214" s="5">
        <f>MONTH(Tabela1[[#This Row],[data]])</f>
        <v>5</v>
      </c>
      <c r="I12214">
        <f>YEAR(Tabela1[[#This Row],[data]])</f>
        <v>2026</v>
      </c>
    </row>
    <row r="12215" spans="1:9" x14ac:dyDescent="0.25">
      <c r="A12215" t="s">
        <v>6</v>
      </c>
      <c r="B12215" s="1">
        <v>46166</v>
      </c>
      <c r="C12215">
        <v>22</v>
      </c>
      <c r="D12215">
        <v>480.48</v>
      </c>
      <c r="E12215">
        <v>42</v>
      </c>
      <c r="F12215" t="s">
        <v>7</v>
      </c>
      <c r="G12215" t="s">
        <v>11</v>
      </c>
      <c r="H12215" s="5">
        <f>MONTH(Tabela1[[#This Row],[data]])</f>
        <v>5</v>
      </c>
      <c r="I12215">
        <f>YEAR(Tabela1[[#This Row],[data]])</f>
        <v>2026</v>
      </c>
    </row>
    <row r="12216" spans="1:9" x14ac:dyDescent="0.25">
      <c r="A12216" t="s">
        <v>6</v>
      </c>
      <c r="B12216" s="1">
        <v>46166</v>
      </c>
      <c r="C12216">
        <v>23</v>
      </c>
      <c r="D12216">
        <v>355.74</v>
      </c>
      <c r="E12216">
        <v>0</v>
      </c>
      <c r="F12216" t="s">
        <v>7</v>
      </c>
      <c r="G12216" t="s">
        <v>11</v>
      </c>
      <c r="H12216" s="5">
        <f>MONTH(Tabela1[[#This Row],[data]])</f>
        <v>5</v>
      </c>
      <c r="I12216">
        <f>YEAR(Tabela1[[#This Row],[data]])</f>
        <v>2026</v>
      </c>
    </row>
    <row r="12217" spans="1:9" x14ac:dyDescent="0.25">
      <c r="A12217" t="s">
        <v>6</v>
      </c>
      <c r="B12217" s="1">
        <v>46166</v>
      </c>
      <c r="C12217">
        <v>24</v>
      </c>
      <c r="D12217">
        <v>291.89999999999998</v>
      </c>
      <c r="E12217">
        <v>0</v>
      </c>
      <c r="F12217" t="s">
        <v>7</v>
      </c>
      <c r="G12217" t="s">
        <v>11</v>
      </c>
      <c r="H12217" s="5">
        <f>MONTH(Tabela1[[#This Row],[data]])</f>
        <v>5</v>
      </c>
      <c r="I12217">
        <f>YEAR(Tabela1[[#This Row],[data]])</f>
        <v>2026</v>
      </c>
    </row>
    <row r="12218" spans="1:9" x14ac:dyDescent="0.25">
      <c r="A12218" t="s">
        <v>6</v>
      </c>
      <c r="B12218" s="1">
        <v>46167</v>
      </c>
      <c r="C12218">
        <v>1</v>
      </c>
      <c r="D12218">
        <v>254.94</v>
      </c>
      <c r="E12218">
        <v>0</v>
      </c>
      <c r="F12218" t="s">
        <v>7</v>
      </c>
      <c r="G12218" t="s">
        <v>11</v>
      </c>
      <c r="H12218" s="5">
        <f>MONTH(Tabela1[[#This Row],[data]])</f>
        <v>5</v>
      </c>
      <c r="I12218">
        <f>YEAR(Tabela1[[#This Row],[data]])</f>
        <v>2026</v>
      </c>
    </row>
    <row r="12219" spans="1:9" x14ac:dyDescent="0.25">
      <c r="A12219" t="s">
        <v>6</v>
      </c>
      <c r="B12219" s="1">
        <v>46167</v>
      </c>
      <c r="C12219">
        <v>2</v>
      </c>
      <c r="D12219">
        <v>234.78</v>
      </c>
      <c r="E12219">
        <v>0</v>
      </c>
      <c r="F12219" t="s">
        <v>7</v>
      </c>
      <c r="G12219" t="s">
        <v>11</v>
      </c>
      <c r="H12219" s="5">
        <f>MONTH(Tabela1[[#This Row],[data]])</f>
        <v>5</v>
      </c>
      <c r="I12219">
        <f>YEAR(Tabela1[[#This Row],[data]])</f>
        <v>2026</v>
      </c>
    </row>
    <row r="12220" spans="1:9" x14ac:dyDescent="0.25">
      <c r="A12220" t="s">
        <v>6</v>
      </c>
      <c r="B12220" s="1">
        <v>46167</v>
      </c>
      <c r="C12220">
        <v>3</v>
      </c>
      <c r="D12220">
        <v>233.52</v>
      </c>
      <c r="E12220">
        <v>0</v>
      </c>
      <c r="F12220" t="s">
        <v>7</v>
      </c>
      <c r="G12220" t="s">
        <v>11</v>
      </c>
      <c r="H12220" s="5">
        <f>MONTH(Tabela1[[#This Row],[data]])</f>
        <v>5</v>
      </c>
      <c r="I12220">
        <f>YEAR(Tabela1[[#This Row],[data]])</f>
        <v>2026</v>
      </c>
    </row>
    <row r="12221" spans="1:9" x14ac:dyDescent="0.25">
      <c r="A12221" t="s">
        <v>6</v>
      </c>
      <c r="B12221" s="1">
        <v>46167</v>
      </c>
      <c r="C12221">
        <v>4</v>
      </c>
      <c r="D12221">
        <v>232.26</v>
      </c>
      <c r="E12221">
        <v>0</v>
      </c>
      <c r="F12221" t="s">
        <v>7</v>
      </c>
      <c r="G12221" t="s">
        <v>11</v>
      </c>
      <c r="H12221" s="5">
        <f>MONTH(Tabela1[[#This Row],[data]])</f>
        <v>5</v>
      </c>
      <c r="I12221">
        <f>YEAR(Tabela1[[#This Row],[data]])</f>
        <v>2026</v>
      </c>
    </row>
    <row r="12222" spans="1:9" x14ac:dyDescent="0.25">
      <c r="A12222" t="s">
        <v>6</v>
      </c>
      <c r="B12222" s="1">
        <v>46167</v>
      </c>
      <c r="C12222">
        <v>5</v>
      </c>
      <c r="D12222">
        <v>240.66</v>
      </c>
      <c r="E12222">
        <v>0</v>
      </c>
      <c r="F12222" t="s">
        <v>7</v>
      </c>
      <c r="G12222" t="s">
        <v>11</v>
      </c>
      <c r="H12222" s="5">
        <f>MONTH(Tabela1[[#This Row],[data]])</f>
        <v>5</v>
      </c>
      <c r="I12222">
        <f>YEAR(Tabela1[[#This Row],[data]])</f>
        <v>2026</v>
      </c>
    </row>
    <row r="12223" spans="1:9" x14ac:dyDescent="0.25">
      <c r="A12223" t="s">
        <v>6</v>
      </c>
      <c r="B12223" s="1">
        <v>46167</v>
      </c>
      <c r="C12223">
        <v>6</v>
      </c>
      <c r="D12223">
        <v>234.36</v>
      </c>
      <c r="E12223">
        <v>0</v>
      </c>
      <c r="F12223" t="s">
        <v>7</v>
      </c>
      <c r="G12223" t="s">
        <v>11</v>
      </c>
      <c r="H12223" s="5">
        <f>MONTH(Tabela1[[#This Row],[data]])</f>
        <v>5</v>
      </c>
      <c r="I12223">
        <f>YEAR(Tabela1[[#This Row],[data]])</f>
        <v>2026</v>
      </c>
    </row>
    <row r="12224" spans="1:9" x14ac:dyDescent="0.25">
      <c r="A12224" t="s">
        <v>6</v>
      </c>
      <c r="B12224" s="1">
        <v>46167</v>
      </c>
      <c r="C12224">
        <v>7</v>
      </c>
      <c r="D12224">
        <v>248.22</v>
      </c>
      <c r="E12224">
        <v>0</v>
      </c>
      <c r="F12224" t="s">
        <v>7</v>
      </c>
      <c r="G12224" t="s">
        <v>11</v>
      </c>
      <c r="H12224" s="5">
        <f>MONTH(Tabela1[[#This Row],[data]])</f>
        <v>5</v>
      </c>
      <c r="I12224">
        <f>YEAR(Tabela1[[#This Row],[data]])</f>
        <v>2026</v>
      </c>
    </row>
    <row r="12225" spans="1:9" x14ac:dyDescent="0.25">
      <c r="A12225" t="s">
        <v>6</v>
      </c>
      <c r="B12225" s="1">
        <v>46167</v>
      </c>
      <c r="C12225">
        <v>8</v>
      </c>
      <c r="D12225">
        <v>283.5</v>
      </c>
      <c r="E12225">
        <v>0</v>
      </c>
      <c r="F12225" t="s">
        <v>7</v>
      </c>
      <c r="G12225" t="s">
        <v>11</v>
      </c>
      <c r="H12225" s="5">
        <f>MONTH(Tabela1[[#This Row],[data]])</f>
        <v>5</v>
      </c>
      <c r="I12225">
        <f>YEAR(Tabela1[[#This Row],[data]])</f>
        <v>2026</v>
      </c>
    </row>
    <row r="12226" spans="1:9" x14ac:dyDescent="0.25">
      <c r="A12226" t="s">
        <v>6</v>
      </c>
      <c r="B12226" s="1">
        <v>46167</v>
      </c>
      <c r="C12226">
        <v>9</v>
      </c>
      <c r="D12226">
        <v>326.33999999999997</v>
      </c>
      <c r="E12226">
        <v>0</v>
      </c>
      <c r="F12226" t="s">
        <v>7</v>
      </c>
      <c r="G12226" t="s">
        <v>11</v>
      </c>
      <c r="H12226" s="5">
        <f>MONTH(Tabela1[[#This Row],[data]])</f>
        <v>5</v>
      </c>
      <c r="I12226">
        <f>YEAR(Tabela1[[#This Row],[data]])</f>
        <v>2026</v>
      </c>
    </row>
    <row r="12227" spans="1:9" x14ac:dyDescent="0.25">
      <c r="A12227" t="s">
        <v>6</v>
      </c>
      <c r="B12227" s="1">
        <v>46167</v>
      </c>
      <c r="C12227">
        <v>10</v>
      </c>
      <c r="D12227">
        <v>415.38</v>
      </c>
      <c r="E12227">
        <v>10.08</v>
      </c>
      <c r="F12227" t="s">
        <v>7</v>
      </c>
      <c r="G12227" t="s">
        <v>11</v>
      </c>
      <c r="H12227" s="5">
        <f>MONTH(Tabela1[[#This Row],[data]])</f>
        <v>5</v>
      </c>
      <c r="I12227">
        <f>YEAR(Tabela1[[#This Row],[data]])</f>
        <v>2026</v>
      </c>
    </row>
    <row r="12228" spans="1:9" x14ac:dyDescent="0.25">
      <c r="A12228" t="s">
        <v>6</v>
      </c>
      <c r="B12228" s="1">
        <v>46167</v>
      </c>
      <c r="C12228">
        <v>11</v>
      </c>
      <c r="D12228">
        <v>558.17999999999995</v>
      </c>
      <c r="E12228">
        <v>47.88</v>
      </c>
      <c r="F12228" t="s">
        <v>7</v>
      </c>
      <c r="G12228" t="s">
        <v>11</v>
      </c>
      <c r="H12228" s="5">
        <f>MONTH(Tabela1[[#This Row],[data]])</f>
        <v>5</v>
      </c>
      <c r="I12228">
        <f>YEAR(Tabela1[[#This Row],[data]])</f>
        <v>2026</v>
      </c>
    </row>
    <row r="12229" spans="1:9" x14ac:dyDescent="0.25">
      <c r="A12229" t="s">
        <v>6</v>
      </c>
      <c r="B12229" s="1">
        <v>46167</v>
      </c>
      <c r="C12229">
        <v>12</v>
      </c>
      <c r="D12229">
        <v>604.38</v>
      </c>
      <c r="E12229">
        <v>64.680000000000007</v>
      </c>
      <c r="F12229" t="s">
        <v>7</v>
      </c>
      <c r="G12229" t="s">
        <v>11</v>
      </c>
      <c r="H12229" s="5">
        <f>MONTH(Tabela1[[#This Row],[data]])</f>
        <v>5</v>
      </c>
      <c r="I12229">
        <f>YEAR(Tabela1[[#This Row],[data]])</f>
        <v>2026</v>
      </c>
    </row>
    <row r="12230" spans="1:9" x14ac:dyDescent="0.25">
      <c r="A12230" t="s">
        <v>6</v>
      </c>
      <c r="B12230" s="1">
        <v>46167</v>
      </c>
      <c r="C12230">
        <v>13</v>
      </c>
      <c r="D12230">
        <v>599.76</v>
      </c>
      <c r="E12230">
        <v>67.2</v>
      </c>
      <c r="F12230" t="s">
        <v>7</v>
      </c>
      <c r="G12230" t="s">
        <v>11</v>
      </c>
      <c r="H12230" s="5">
        <f>MONTH(Tabela1[[#This Row],[data]])</f>
        <v>5</v>
      </c>
      <c r="I12230">
        <f>YEAR(Tabela1[[#This Row],[data]])</f>
        <v>2026</v>
      </c>
    </row>
    <row r="12231" spans="1:9" x14ac:dyDescent="0.25">
      <c r="A12231" t="s">
        <v>6</v>
      </c>
      <c r="B12231" s="1">
        <v>46167</v>
      </c>
      <c r="C12231">
        <v>14</v>
      </c>
      <c r="D12231">
        <v>599.34</v>
      </c>
      <c r="E12231">
        <v>60.48</v>
      </c>
      <c r="F12231" t="s">
        <v>7</v>
      </c>
      <c r="G12231" t="s">
        <v>11</v>
      </c>
      <c r="H12231" s="5">
        <f>MONTH(Tabela1[[#This Row],[data]])</f>
        <v>5</v>
      </c>
      <c r="I12231">
        <f>YEAR(Tabela1[[#This Row],[data]])</f>
        <v>2026</v>
      </c>
    </row>
    <row r="12232" spans="1:9" x14ac:dyDescent="0.25">
      <c r="A12232" t="s">
        <v>6</v>
      </c>
      <c r="B12232" s="1">
        <v>46167</v>
      </c>
      <c r="C12232">
        <v>15</v>
      </c>
      <c r="D12232">
        <v>613.62</v>
      </c>
      <c r="E12232">
        <v>65.52</v>
      </c>
      <c r="F12232" t="s">
        <v>7</v>
      </c>
      <c r="G12232" t="s">
        <v>11</v>
      </c>
      <c r="H12232" s="5">
        <f>MONTH(Tabela1[[#This Row],[data]])</f>
        <v>5</v>
      </c>
      <c r="I12232">
        <f>YEAR(Tabela1[[#This Row],[data]])</f>
        <v>2026</v>
      </c>
    </row>
    <row r="12233" spans="1:9" x14ac:dyDescent="0.25">
      <c r="A12233" t="s">
        <v>6</v>
      </c>
      <c r="B12233" s="1">
        <v>46167</v>
      </c>
      <c r="C12233">
        <v>16</v>
      </c>
      <c r="D12233">
        <v>620.76</v>
      </c>
      <c r="E12233">
        <v>84</v>
      </c>
      <c r="F12233" t="s">
        <v>7</v>
      </c>
      <c r="G12233" t="s">
        <v>11</v>
      </c>
      <c r="H12233" s="5">
        <f>MONTH(Tabela1[[#This Row],[data]])</f>
        <v>5</v>
      </c>
      <c r="I12233">
        <f>YEAR(Tabela1[[#This Row],[data]])</f>
        <v>2026</v>
      </c>
    </row>
    <row r="12234" spans="1:9" x14ac:dyDescent="0.25">
      <c r="A12234" t="s">
        <v>6</v>
      </c>
      <c r="B12234" s="1">
        <v>46167</v>
      </c>
      <c r="C12234">
        <v>17</v>
      </c>
      <c r="D12234">
        <v>613.62</v>
      </c>
      <c r="E12234">
        <v>93.24</v>
      </c>
      <c r="F12234" t="s">
        <v>7</v>
      </c>
      <c r="G12234" t="s">
        <v>11</v>
      </c>
      <c r="H12234" s="5">
        <f>MONTH(Tabela1[[#This Row],[data]])</f>
        <v>5</v>
      </c>
      <c r="I12234">
        <f>YEAR(Tabela1[[#This Row],[data]])</f>
        <v>2026</v>
      </c>
    </row>
    <row r="12235" spans="1:9" x14ac:dyDescent="0.25">
      <c r="A12235" t="s">
        <v>6</v>
      </c>
      <c r="B12235" s="1">
        <v>46167</v>
      </c>
      <c r="C12235">
        <v>18</v>
      </c>
      <c r="D12235">
        <v>614.88</v>
      </c>
      <c r="E12235">
        <v>73.08</v>
      </c>
      <c r="F12235" t="s">
        <v>7</v>
      </c>
      <c r="G12235" t="s">
        <v>11</v>
      </c>
      <c r="H12235" s="5">
        <f>MONTH(Tabela1[[#This Row],[data]])</f>
        <v>5</v>
      </c>
      <c r="I12235">
        <f>YEAR(Tabela1[[#This Row],[data]])</f>
        <v>2026</v>
      </c>
    </row>
    <row r="12236" spans="1:9" x14ac:dyDescent="0.25">
      <c r="A12236" t="s">
        <v>6</v>
      </c>
      <c r="B12236" s="1">
        <v>46167</v>
      </c>
      <c r="C12236">
        <v>19</v>
      </c>
      <c r="D12236">
        <v>613.20000000000005</v>
      </c>
      <c r="E12236">
        <v>46.62</v>
      </c>
      <c r="F12236" t="s">
        <v>7</v>
      </c>
      <c r="G12236" t="s">
        <v>11</v>
      </c>
      <c r="H12236" s="5">
        <f>MONTH(Tabela1[[#This Row],[data]])</f>
        <v>5</v>
      </c>
      <c r="I12236">
        <f>YEAR(Tabela1[[#This Row],[data]])</f>
        <v>2026</v>
      </c>
    </row>
    <row r="12237" spans="1:9" x14ac:dyDescent="0.25">
      <c r="A12237" t="s">
        <v>6</v>
      </c>
      <c r="B12237" s="1">
        <v>46167</v>
      </c>
      <c r="C12237">
        <v>20</v>
      </c>
      <c r="D12237">
        <v>614.88</v>
      </c>
      <c r="E12237">
        <v>50.82</v>
      </c>
      <c r="F12237" t="s">
        <v>7</v>
      </c>
      <c r="G12237" t="s">
        <v>11</v>
      </c>
      <c r="H12237" s="5">
        <f>MONTH(Tabela1[[#This Row],[data]])</f>
        <v>5</v>
      </c>
      <c r="I12237">
        <f>YEAR(Tabela1[[#This Row],[data]])</f>
        <v>2026</v>
      </c>
    </row>
    <row r="12238" spans="1:9" x14ac:dyDescent="0.25">
      <c r="A12238" t="s">
        <v>6</v>
      </c>
      <c r="B12238" s="1">
        <v>46167</v>
      </c>
      <c r="C12238">
        <v>21</v>
      </c>
      <c r="D12238">
        <v>608.58000000000004</v>
      </c>
      <c r="E12238">
        <v>59.64</v>
      </c>
      <c r="F12238" t="s">
        <v>7</v>
      </c>
      <c r="G12238" t="s">
        <v>11</v>
      </c>
      <c r="H12238" s="5">
        <f>MONTH(Tabela1[[#This Row],[data]])</f>
        <v>5</v>
      </c>
      <c r="I12238">
        <f>YEAR(Tabela1[[#This Row],[data]])</f>
        <v>2026</v>
      </c>
    </row>
    <row r="12239" spans="1:9" x14ac:dyDescent="0.25">
      <c r="A12239" t="s">
        <v>6</v>
      </c>
      <c r="B12239" s="1">
        <v>46167</v>
      </c>
      <c r="C12239">
        <v>22</v>
      </c>
      <c r="D12239">
        <v>588.84</v>
      </c>
      <c r="E12239">
        <v>48.72</v>
      </c>
      <c r="F12239" t="s">
        <v>7</v>
      </c>
      <c r="G12239" t="s">
        <v>11</v>
      </c>
      <c r="H12239" s="5">
        <f>MONTH(Tabela1[[#This Row],[data]])</f>
        <v>5</v>
      </c>
      <c r="I12239">
        <f>YEAR(Tabela1[[#This Row],[data]])</f>
        <v>2026</v>
      </c>
    </row>
    <row r="12240" spans="1:9" x14ac:dyDescent="0.25">
      <c r="A12240" t="s">
        <v>6</v>
      </c>
      <c r="B12240" s="1">
        <v>46167</v>
      </c>
      <c r="C12240">
        <v>23</v>
      </c>
      <c r="D12240">
        <v>390.18</v>
      </c>
      <c r="E12240">
        <v>0.42</v>
      </c>
      <c r="F12240" t="s">
        <v>7</v>
      </c>
      <c r="G12240" t="s">
        <v>11</v>
      </c>
      <c r="H12240" s="5">
        <f>MONTH(Tabela1[[#This Row],[data]])</f>
        <v>5</v>
      </c>
      <c r="I12240">
        <f>YEAR(Tabela1[[#This Row],[data]])</f>
        <v>2026</v>
      </c>
    </row>
    <row r="12241" spans="1:9" x14ac:dyDescent="0.25">
      <c r="A12241" t="s">
        <v>6</v>
      </c>
      <c r="B12241" s="1">
        <v>46167</v>
      </c>
      <c r="C12241">
        <v>24</v>
      </c>
      <c r="D12241">
        <v>286.02</v>
      </c>
      <c r="E12241">
        <v>0</v>
      </c>
      <c r="F12241" t="s">
        <v>7</v>
      </c>
      <c r="G12241" t="s">
        <v>11</v>
      </c>
      <c r="H12241" s="5">
        <f>MONTH(Tabela1[[#This Row],[data]])</f>
        <v>5</v>
      </c>
      <c r="I12241">
        <f>YEAR(Tabela1[[#This Row],[data]])</f>
        <v>2026</v>
      </c>
    </row>
    <row r="12242" spans="1:9" x14ac:dyDescent="0.25">
      <c r="A12242" t="s">
        <v>6</v>
      </c>
      <c r="B12242" s="1">
        <v>46168</v>
      </c>
      <c r="C12242">
        <v>1</v>
      </c>
      <c r="D12242">
        <v>266.27999999999997</v>
      </c>
      <c r="E12242">
        <v>0</v>
      </c>
      <c r="F12242" t="s">
        <v>7</v>
      </c>
      <c r="G12242" t="s">
        <v>12</v>
      </c>
      <c r="H12242" s="5">
        <f>MONTH(Tabela1[[#This Row],[data]])</f>
        <v>5</v>
      </c>
      <c r="I12242">
        <f>YEAR(Tabela1[[#This Row],[data]])</f>
        <v>2026</v>
      </c>
    </row>
    <row r="12243" spans="1:9" x14ac:dyDescent="0.25">
      <c r="A12243" t="s">
        <v>6</v>
      </c>
      <c r="B12243" s="1">
        <v>46168</v>
      </c>
      <c r="C12243">
        <v>2</v>
      </c>
      <c r="D12243">
        <v>242.76</v>
      </c>
      <c r="E12243">
        <v>0</v>
      </c>
      <c r="F12243" t="s">
        <v>7</v>
      </c>
      <c r="G12243" t="s">
        <v>12</v>
      </c>
      <c r="H12243" s="5">
        <f>MONTH(Tabela1[[#This Row],[data]])</f>
        <v>5</v>
      </c>
      <c r="I12243">
        <f>YEAR(Tabela1[[#This Row],[data]])</f>
        <v>2026</v>
      </c>
    </row>
    <row r="12244" spans="1:9" x14ac:dyDescent="0.25">
      <c r="A12244" t="s">
        <v>6</v>
      </c>
      <c r="B12244" s="1">
        <v>46168</v>
      </c>
      <c r="C12244">
        <v>3</v>
      </c>
      <c r="D12244">
        <v>238.56</v>
      </c>
      <c r="E12244">
        <v>0</v>
      </c>
      <c r="F12244" t="s">
        <v>7</v>
      </c>
      <c r="G12244" t="s">
        <v>12</v>
      </c>
      <c r="H12244" s="5">
        <f>MONTH(Tabela1[[#This Row],[data]])</f>
        <v>5</v>
      </c>
      <c r="I12244">
        <f>YEAR(Tabela1[[#This Row],[data]])</f>
        <v>2026</v>
      </c>
    </row>
    <row r="12245" spans="1:9" x14ac:dyDescent="0.25">
      <c r="A12245" t="s">
        <v>6</v>
      </c>
      <c r="B12245" s="1">
        <v>46168</v>
      </c>
      <c r="C12245">
        <v>4</v>
      </c>
      <c r="D12245">
        <v>238.98</v>
      </c>
      <c r="E12245">
        <v>0</v>
      </c>
      <c r="F12245" t="s">
        <v>7</v>
      </c>
      <c r="G12245" t="s">
        <v>12</v>
      </c>
      <c r="H12245" s="5">
        <f>MONTH(Tabela1[[#This Row],[data]])</f>
        <v>5</v>
      </c>
      <c r="I12245">
        <f>YEAR(Tabela1[[#This Row],[data]])</f>
        <v>2026</v>
      </c>
    </row>
    <row r="12246" spans="1:9" x14ac:dyDescent="0.25">
      <c r="A12246" t="s">
        <v>6</v>
      </c>
      <c r="B12246" s="1">
        <v>46168</v>
      </c>
      <c r="C12246">
        <v>5</v>
      </c>
      <c r="D12246">
        <v>239.82</v>
      </c>
      <c r="E12246">
        <v>0</v>
      </c>
      <c r="F12246" t="s">
        <v>7</v>
      </c>
      <c r="G12246" t="s">
        <v>12</v>
      </c>
      <c r="H12246" s="5">
        <f>MONTH(Tabela1[[#This Row],[data]])</f>
        <v>5</v>
      </c>
      <c r="I12246">
        <f>YEAR(Tabela1[[#This Row],[data]])</f>
        <v>2026</v>
      </c>
    </row>
    <row r="12247" spans="1:9" x14ac:dyDescent="0.25">
      <c r="A12247" t="s">
        <v>6</v>
      </c>
      <c r="B12247" s="1">
        <v>46168</v>
      </c>
      <c r="C12247">
        <v>6</v>
      </c>
      <c r="D12247">
        <v>234.36</v>
      </c>
      <c r="E12247">
        <v>0</v>
      </c>
      <c r="F12247" t="s">
        <v>7</v>
      </c>
      <c r="G12247" t="s">
        <v>12</v>
      </c>
      <c r="H12247" s="5">
        <f>MONTH(Tabela1[[#This Row],[data]])</f>
        <v>5</v>
      </c>
      <c r="I12247">
        <f>YEAR(Tabela1[[#This Row],[data]])</f>
        <v>2026</v>
      </c>
    </row>
    <row r="12248" spans="1:9" x14ac:dyDescent="0.25">
      <c r="A12248" t="s">
        <v>6</v>
      </c>
      <c r="B12248" s="1">
        <v>46168</v>
      </c>
      <c r="C12248">
        <v>7</v>
      </c>
      <c r="D12248">
        <v>233.94</v>
      </c>
      <c r="E12248">
        <v>0</v>
      </c>
      <c r="F12248" t="s">
        <v>7</v>
      </c>
      <c r="G12248" t="s">
        <v>12</v>
      </c>
      <c r="H12248" s="5">
        <f>MONTH(Tabela1[[#This Row],[data]])</f>
        <v>5</v>
      </c>
      <c r="I12248">
        <f>YEAR(Tabela1[[#This Row],[data]])</f>
        <v>2026</v>
      </c>
    </row>
    <row r="12249" spans="1:9" x14ac:dyDescent="0.25">
      <c r="A12249" t="s">
        <v>6</v>
      </c>
      <c r="B12249" s="1">
        <v>46168</v>
      </c>
      <c r="C12249">
        <v>8</v>
      </c>
      <c r="D12249">
        <v>250.74</v>
      </c>
      <c r="E12249">
        <v>0</v>
      </c>
      <c r="F12249" t="s">
        <v>7</v>
      </c>
      <c r="G12249" t="s">
        <v>12</v>
      </c>
      <c r="H12249" s="5">
        <f>MONTH(Tabela1[[#This Row],[data]])</f>
        <v>5</v>
      </c>
      <c r="I12249">
        <f>YEAR(Tabela1[[#This Row],[data]])</f>
        <v>2026</v>
      </c>
    </row>
    <row r="12250" spans="1:9" x14ac:dyDescent="0.25">
      <c r="A12250" t="s">
        <v>6</v>
      </c>
      <c r="B12250" s="1">
        <v>46168</v>
      </c>
      <c r="C12250">
        <v>9</v>
      </c>
      <c r="D12250">
        <v>330.12</v>
      </c>
      <c r="E12250">
        <v>0</v>
      </c>
      <c r="F12250" t="s">
        <v>7</v>
      </c>
      <c r="G12250" t="s">
        <v>12</v>
      </c>
      <c r="H12250" s="5">
        <f>MONTH(Tabela1[[#This Row],[data]])</f>
        <v>5</v>
      </c>
      <c r="I12250">
        <f>YEAR(Tabela1[[#This Row],[data]])</f>
        <v>2026</v>
      </c>
    </row>
    <row r="12251" spans="1:9" x14ac:dyDescent="0.25">
      <c r="A12251" t="s">
        <v>6</v>
      </c>
      <c r="B12251" s="1">
        <v>46168</v>
      </c>
      <c r="C12251">
        <v>10</v>
      </c>
      <c r="D12251">
        <v>437.64</v>
      </c>
      <c r="E12251">
        <v>6.72</v>
      </c>
      <c r="F12251" t="s">
        <v>7</v>
      </c>
      <c r="G12251" t="s">
        <v>12</v>
      </c>
      <c r="H12251" s="5">
        <f>MONTH(Tabela1[[#This Row],[data]])</f>
        <v>5</v>
      </c>
      <c r="I12251">
        <f>YEAR(Tabela1[[#This Row],[data]])</f>
        <v>2026</v>
      </c>
    </row>
    <row r="12252" spans="1:9" x14ac:dyDescent="0.25">
      <c r="A12252" t="s">
        <v>6</v>
      </c>
      <c r="B12252" s="1">
        <v>46168</v>
      </c>
      <c r="C12252">
        <v>11</v>
      </c>
      <c r="D12252">
        <v>568.67999999999995</v>
      </c>
      <c r="E12252">
        <v>47.04</v>
      </c>
      <c r="F12252" t="s">
        <v>7</v>
      </c>
      <c r="G12252" t="s">
        <v>12</v>
      </c>
      <c r="H12252" s="5">
        <f>MONTH(Tabela1[[#This Row],[data]])</f>
        <v>5</v>
      </c>
      <c r="I12252">
        <f>YEAR(Tabela1[[#This Row],[data]])</f>
        <v>2026</v>
      </c>
    </row>
    <row r="12253" spans="1:9" x14ac:dyDescent="0.25">
      <c r="A12253" t="s">
        <v>6</v>
      </c>
      <c r="B12253" s="1">
        <v>46168</v>
      </c>
      <c r="C12253">
        <v>12</v>
      </c>
      <c r="D12253">
        <v>604.38</v>
      </c>
      <c r="E12253">
        <v>71.819999999999993</v>
      </c>
      <c r="F12253" t="s">
        <v>7</v>
      </c>
      <c r="G12253" t="s">
        <v>12</v>
      </c>
      <c r="H12253" s="5">
        <f>MONTH(Tabela1[[#This Row],[data]])</f>
        <v>5</v>
      </c>
      <c r="I12253">
        <f>YEAR(Tabela1[[#This Row],[data]])</f>
        <v>2026</v>
      </c>
    </row>
    <row r="12254" spans="1:9" x14ac:dyDescent="0.25">
      <c r="A12254" t="s">
        <v>6</v>
      </c>
      <c r="B12254" s="1">
        <v>46168</v>
      </c>
      <c r="C12254">
        <v>13</v>
      </c>
      <c r="D12254">
        <v>606.48</v>
      </c>
      <c r="E12254">
        <v>78.12</v>
      </c>
      <c r="F12254" t="s">
        <v>7</v>
      </c>
      <c r="G12254" t="s">
        <v>12</v>
      </c>
      <c r="H12254" s="5">
        <f>MONTH(Tabela1[[#This Row],[data]])</f>
        <v>5</v>
      </c>
      <c r="I12254">
        <f>YEAR(Tabela1[[#This Row],[data]])</f>
        <v>2026</v>
      </c>
    </row>
    <row r="12255" spans="1:9" x14ac:dyDescent="0.25">
      <c r="A12255" t="s">
        <v>6</v>
      </c>
      <c r="B12255" s="1">
        <v>46168</v>
      </c>
      <c r="C12255">
        <v>14</v>
      </c>
      <c r="D12255">
        <v>602.70000000000005</v>
      </c>
      <c r="E12255">
        <v>51.24</v>
      </c>
      <c r="F12255" t="s">
        <v>7</v>
      </c>
      <c r="G12255" t="s">
        <v>12</v>
      </c>
      <c r="H12255" s="5">
        <f>MONTH(Tabela1[[#This Row],[data]])</f>
        <v>5</v>
      </c>
      <c r="I12255">
        <f>YEAR(Tabela1[[#This Row],[data]])</f>
        <v>2026</v>
      </c>
    </row>
    <row r="12256" spans="1:9" x14ac:dyDescent="0.25">
      <c r="A12256" t="s">
        <v>6</v>
      </c>
      <c r="B12256" s="1">
        <v>46168</v>
      </c>
      <c r="C12256">
        <v>15</v>
      </c>
      <c r="D12256">
        <v>614.04</v>
      </c>
      <c r="E12256">
        <v>57.54</v>
      </c>
      <c r="F12256" t="s">
        <v>7</v>
      </c>
      <c r="G12256" t="s">
        <v>12</v>
      </c>
      <c r="H12256" s="5">
        <f>MONTH(Tabela1[[#This Row],[data]])</f>
        <v>5</v>
      </c>
      <c r="I12256">
        <f>YEAR(Tabela1[[#This Row],[data]])</f>
        <v>2026</v>
      </c>
    </row>
    <row r="12257" spans="1:9" x14ac:dyDescent="0.25">
      <c r="A12257" t="s">
        <v>6</v>
      </c>
      <c r="B12257" s="1">
        <v>46168</v>
      </c>
      <c r="C12257">
        <v>16</v>
      </c>
      <c r="D12257">
        <v>622.86</v>
      </c>
      <c r="E12257">
        <v>57.54</v>
      </c>
      <c r="F12257" t="s">
        <v>7</v>
      </c>
      <c r="G12257" t="s">
        <v>12</v>
      </c>
      <c r="H12257" s="5">
        <f>MONTH(Tabela1[[#This Row],[data]])</f>
        <v>5</v>
      </c>
      <c r="I12257">
        <f>YEAR(Tabela1[[#This Row],[data]])</f>
        <v>2026</v>
      </c>
    </row>
    <row r="12258" spans="1:9" x14ac:dyDescent="0.25">
      <c r="A12258" t="s">
        <v>6</v>
      </c>
      <c r="B12258" s="1">
        <v>46168</v>
      </c>
      <c r="C12258">
        <v>17</v>
      </c>
      <c r="D12258">
        <v>627.05999999999995</v>
      </c>
      <c r="E12258">
        <v>78.540000000000006</v>
      </c>
      <c r="F12258" t="s">
        <v>7</v>
      </c>
      <c r="G12258" t="s">
        <v>12</v>
      </c>
      <c r="H12258" s="5">
        <f>MONTH(Tabela1[[#This Row],[data]])</f>
        <v>5</v>
      </c>
      <c r="I12258">
        <f>YEAR(Tabela1[[#This Row],[data]])</f>
        <v>2026</v>
      </c>
    </row>
    <row r="12259" spans="1:9" x14ac:dyDescent="0.25">
      <c r="A12259" t="s">
        <v>6</v>
      </c>
      <c r="B12259" s="1">
        <v>46168</v>
      </c>
      <c r="C12259">
        <v>18</v>
      </c>
      <c r="D12259">
        <v>612.78</v>
      </c>
      <c r="E12259">
        <v>65.94</v>
      </c>
      <c r="F12259" t="s">
        <v>7</v>
      </c>
      <c r="G12259" t="s">
        <v>12</v>
      </c>
      <c r="H12259" s="5">
        <f>MONTH(Tabela1[[#This Row],[data]])</f>
        <v>5</v>
      </c>
      <c r="I12259">
        <f>YEAR(Tabela1[[#This Row],[data]])</f>
        <v>2026</v>
      </c>
    </row>
    <row r="12260" spans="1:9" x14ac:dyDescent="0.25">
      <c r="A12260" t="s">
        <v>6</v>
      </c>
      <c r="B12260" s="1">
        <v>46168</v>
      </c>
      <c r="C12260">
        <v>19</v>
      </c>
      <c r="D12260">
        <v>624.96</v>
      </c>
      <c r="E12260">
        <v>47.04</v>
      </c>
      <c r="F12260" t="s">
        <v>7</v>
      </c>
      <c r="G12260" t="s">
        <v>12</v>
      </c>
      <c r="H12260" s="5">
        <f>MONTH(Tabela1[[#This Row],[data]])</f>
        <v>5</v>
      </c>
      <c r="I12260">
        <f>YEAR(Tabela1[[#This Row],[data]])</f>
        <v>2026</v>
      </c>
    </row>
    <row r="12261" spans="1:9" x14ac:dyDescent="0.25">
      <c r="A12261" t="s">
        <v>6</v>
      </c>
      <c r="B12261" s="1">
        <v>46168</v>
      </c>
      <c r="C12261">
        <v>20</v>
      </c>
      <c r="D12261">
        <v>629.58000000000004</v>
      </c>
      <c r="E12261">
        <v>68.040000000000006</v>
      </c>
      <c r="F12261" t="s">
        <v>7</v>
      </c>
      <c r="G12261" t="s">
        <v>12</v>
      </c>
      <c r="H12261" s="5">
        <f>MONTH(Tabela1[[#This Row],[data]])</f>
        <v>5</v>
      </c>
      <c r="I12261">
        <f>YEAR(Tabela1[[#This Row],[data]])</f>
        <v>2026</v>
      </c>
    </row>
    <row r="12262" spans="1:9" x14ac:dyDescent="0.25">
      <c r="A12262" t="s">
        <v>6</v>
      </c>
      <c r="B12262" s="1">
        <v>46168</v>
      </c>
      <c r="C12262">
        <v>21</v>
      </c>
      <c r="D12262">
        <v>617.82000000000005</v>
      </c>
      <c r="E12262">
        <v>56.7</v>
      </c>
      <c r="F12262" t="s">
        <v>7</v>
      </c>
      <c r="G12262" t="s">
        <v>12</v>
      </c>
      <c r="H12262" s="5">
        <f>MONTH(Tabela1[[#This Row],[data]])</f>
        <v>5</v>
      </c>
      <c r="I12262">
        <f>YEAR(Tabela1[[#This Row],[data]])</f>
        <v>2026</v>
      </c>
    </row>
    <row r="12263" spans="1:9" x14ac:dyDescent="0.25">
      <c r="A12263" t="s">
        <v>6</v>
      </c>
      <c r="B12263" s="1">
        <v>46168</v>
      </c>
      <c r="C12263">
        <v>22</v>
      </c>
      <c r="D12263">
        <v>588</v>
      </c>
      <c r="E12263">
        <v>45.36</v>
      </c>
      <c r="F12263" t="s">
        <v>7</v>
      </c>
      <c r="G12263" t="s">
        <v>12</v>
      </c>
      <c r="H12263" s="5">
        <f>MONTH(Tabela1[[#This Row],[data]])</f>
        <v>5</v>
      </c>
      <c r="I12263">
        <f>YEAR(Tabela1[[#This Row],[data]])</f>
        <v>2026</v>
      </c>
    </row>
    <row r="12264" spans="1:9" x14ac:dyDescent="0.25">
      <c r="A12264" t="s">
        <v>6</v>
      </c>
      <c r="B12264" s="1">
        <v>46168</v>
      </c>
      <c r="C12264">
        <v>23</v>
      </c>
      <c r="D12264">
        <v>397.32</v>
      </c>
      <c r="E12264">
        <v>1.26</v>
      </c>
      <c r="F12264" t="s">
        <v>7</v>
      </c>
      <c r="G12264" t="s">
        <v>12</v>
      </c>
      <c r="H12264" s="5">
        <f>MONTH(Tabela1[[#This Row],[data]])</f>
        <v>5</v>
      </c>
      <c r="I12264">
        <f>YEAR(Tabela1[[#This Row],[data]])</f>
        <v>2026</v>
      </c>
    </row>
    <row r="12265" spans="1:9" x14ac:dyDescent="0.25">
      <c r="A12265" t="s">
        <v>6</v>
      </c>
      <c r="B12265" s="1">
        <v>46168</v>
      </c>
      <c r="C12265">
        <v>24</v>
      </c>
      <c r="D12265">
        <v>288.54000000000002</v>
      </c>
      <c r="E12265">
        <v>0</v>
      </c>
      <c r="F12265" t="s">
        <v>7</v>
      </c>
      <c r="G12265" t="s">
        <v>12</v>
      </c>
      <c r="H12265" s="5">
        <f>MONTH(Tabela1[[#This Row],[data]])</f>
        <v>5</v>
      </c>
      <c r="I12265">
        <f>YEAR(Tabela1[[#This Row],[data]])</f>
        <v>2026</v>
      </c>
    </row>
    <row r="12266" spans="1:9" x14ac:dyDescent="0.25">
      <c r="A12266" t="s">
        <v>6</v>
      </c>
      <c r="B12266" s="1">
        <v>46169</v>
      </c>
      <c r="C12266">
        <v>1</v>
      </c>
      <c r="D12266">
        <v>252</v>
      </c>
      <c r="E12266">
        <v>0</v>
      </c>
      <c r="F12266" t="s">
        <v>7</v>
      </c>
      <c r="G12266" t="s">
        <v>11</v>
      </c>
      <c r="H12266" s="5">
        <f>MONTH(Tabela1[[#This Row],[data]])</f>
        <v>5</v>
      </c>
      <c r="I12266">
        <f>YEAR(Tabela1[[#This Row],[data]])</f>
        <v>2026</v>
      </c>
    </row>
    <row r="12267" spans="1:9" x14ac:dyDescent="0.25">
      <c r="A12267" t="s">
        <v>6</v>
      </c>
      <c r="B12267" s="1">
        <v>46169</v>
      </c>
      <c r="C12267">
        <v>2</v>
      </c>
      <c r="D12267">
        <v>244.02</v>
      </c>
      <c r="E12267">
        <v>0</v>
      </c>
      <c r="F12267" t="s">
        <v>7</v>
      </c>
      <c r="G12267" t="s">
        <v>11</v>
      </c>
      <c r="H12267" s="5">
        <f>MONTH(Tabela1[[#This Row],[data]])</f>
        <v>5</v>
      </c>
      <c r="I12267">
        <f>YEAR(Tabela1[[#This Row],[data]])</f>
        <v>2026</v>
      </c>
    </row>
    <row r="12268" spans="1:9" x14ac:dyDescent="0.25">
      <c r="A12268" t="s">
        <v>6</v>
      </c>
      <c r="B12268" s="1">
        <v>46169</v>
      </c>
      <c r="C12268">
        <v>3</v>
      </c>
      <c r="D12268">
        <v>243.18</v>
      </c>
      <c r="E12268">
        <v>0</v>
      </c>
      <c r="F12268" t="s">
        <v>7</v>
      </c>
      <c r="G12268" t="s">
        <v>11</v>
      </c>
      <c r="H12268" s="5">
        <f>MONTH(Tabela1[[#This Row],[data]])</f>
        <v>5</v>
      </c>
      <c r="I12268">
        <f>YEAR(Tabela1[[#This Row],[data]])</f>
        <v>2026</v>
      </c>
    </row>
    <row r="12269" spans="1:9" x14ac:dyDescent="0.25">
      <c r="A12269" t="s">
        <v>6</v>
      </c>
      <c r="B12269" s="1">
        <v>46169</v>
      </c>
      <c r="C12269">
        <v>4</v>
      </c>
      <c r="D12269">
        <v>238.14</v>
      </c>
      <c r="E12269">
        <v>0</v>
      </c>
      <c r="F12269" t="s">
        <v>7</v>
      </c>
      <c r="G12269" t="s">
        <v>11</v>
      </c>
      <c r="H12269" s="5">
        <f>MONTH(Tabela1[[#This Row],[data]])</f>
        <v>5</v>
      </c>
      <c r="I12269">
        <f>YEAR(Tabela1[[#This Row],[data]])</f>
        <v>2026</v>
      </c>
    </row>
    <row r="12270" spans="1:9" x14ac:dyDescent="0.25">
      <c r="A12270" t="s">
        <v>6</v>
      </c>
      <c r="B12270" s="1">
        <v>46169</v>
      </c>
      <c r="C12270">
        <v>5</v>
      </c>
      <c r="D12270">
        <v>245.7</v>
      </c>
      <c r="E12270">
        <v>0</v>
      </c>
      <c r="F12270" t="s">
        <v>7</v>
      </c>
      <c r="G12270" t="s">
        <v>11</v>
      </c>
      <c r="H12270" s="5">
        <f>MONTH(Tabela1[[#This Row],[data]])</f>
        <v>5</v>
      </c>
      <c r="I12270">
        <f>YEAR(Tabela1[[#This Row],[data]])</f>
        <v>2026</v>
      </c>
    </row>
    <row r="12271" spans="1:9" x14ac:dyDescent="0.25">
      <c r="A12271" t="s">
        <v>6</v>
      </c>
      <c r="B12271" s="1">
        <v>46169</v>
      </c>
      <c r="C12271">
        <v>6</v>
      </c>
      <c r="D12271">
        <v>245.7</v>
      </c>
      <c r="E12271">
        <v>0</v>
      </c>
      <c r="F12271" t="s">
        <v>7</v>
      </c>
      <c r="G12271" t="s">
        <v>11</v>
      </c>
      <c r="H12271" s="5">
        <f>MONTH(Tabela1[[#This Row],[data]])</f>
        <v>5</v>
      </c>
      <c r="I12271">
        <f>YEAR(Tabela1[[#This Row],[data]])</f>
        <v>2026</v>
      </c>
    </row>
    <row r="12272" spans="1:9" x14ac:dyDescent="0.25">
      <c r="A12272" t="s">
        <v>6</v>
      </c>
      <c r="B12272" s="1">
        <v>46169</v>
      </c>
      <c r="C12272">
        <v>7</v>
      </c>
      <c r="D12272">
        <v>244.86</v>
      </c>
      <c r="E12272">
        <v>0</v>
      </c>
      <c r="F12272" t="s">
        <v>7</v>
      </c>
      <c r="G12272" t="s">
        <v>11</v>
      </c>
      <c r="H12272" s="5">
        <f>MONTH(Tabela1[[#This Row],[data]])</f>
        <v>5</v>
      </c>
      <c r="I12272">
        <f>YEAR(Tabela1[[#This Row],[data]])</f>
        <v>2026</v>
      </c>
    </row>
    <row r="12273" spans="1:9" x14ac:dyDescent="0.25">
      <c r="A12273" t="s">
        <v>6</v>
      </c>
      <c r="B12273" s="1">
        <v>46169</v>
      </c>
      <c r="C12273">
        <v>8</v>
      </c>
      <c r="D12273">
        <v>255.78</v>
      </c>
      <c r="E12273">
        <v>0</v>
      </c>
      <c r="F12273" t="s">
        <v>7</v>
      </c>
      <c r="G12273" t="s">
        <v>11</v>
      </c>
      <c r="H12273" s="5">
        <f>MONTH(Tabela1[[#This Row],[data]])</f>
        <v>5</v>
      </c>
      <c r="I12273">
        <f>YEAR(Tabela1[[#This Row],[data]])</f>
        <v>2026</v>
      </c>
    </row>
    <row r="12274" spans="1:9" x14ac:dyDescent="0.25">
      <c r="A12274" t="s">
        <v>6</v>
      </c>
      <c r="B12274" s="1">
        <v>46169</v>
      </c>
      <c r="C12274">
        <v>9</v>
      </c>
      <c r="D12274">
        <v>350.28</v>
      </c>
      <c r="E12274">
        <v>0</v>
      </c>
      <c r="F12274" t="s">
        <v>7</v>
      </c>
      <c r="G12274" t="s">
        <v>11</v>
      </c>
      <c r="H12274" s="5">
        <f>MONTH(Tabela1[[#This Row],[data]])</f>
        <v>5</v>
      </c>
      <c r="I12274">
        <f>YEAR(Tabela1[[#This Row],[data]])</f>
        <v>2026</v>
      </c>
    </row>
    <row r="12275" spans="1:9" x14ac:dyDescent="0.25">
      <c r="A12275" t="s">
        <v>6</v>
      </c>
      <c r="B12275" s="1">
        <v>46169</v>
      </c>
      <c r="C12275">
        <v>10</v>
      </c>
      <c r="D12275">
        <v>436.8</v>
      </c>
      <c r="E12275">
        <v>10.92</v>
      </c>
      <c r="F12275" t="s">
        <v>7</v>
      </c>
      <c r="G12275" t="s">
        <v>11</v>
      </c>
      <c r="H12275" s="5">
        <f>MONTH(Tabela1[[#This Row],[data]])</f>
        <v>5</v>
      </c>
      <c r="I12275">
        <f>YEAR(Tabela1[[#This Row],[data]])</f>
        <v>2026</v>
      </c>
    </row>
    <row r="12276" spans="1:9" x14ac:dyDescent="0.25">
      <c r="A12276" t="s">
        <v>6</v>
      </c>
      <c r="B12276" s="1">
        <v>46169</v>
      </c>
      <c r="C12276">
        <v>11</v>
      </c>
      <c r="D12276">
        <v>588.84</v>
      </c>
      <c r="E12276">
        <v>60.06</v>
      </c>
      <c r="F12276" t="s">
        <v>7</v>
      </c>
      <c r="G12276" t="s">
        <v>11</v>
      </c>
      <c r="H12276" s="5">
        <f>MONTH(Tabela1[[#This Row],[data]])</f>
        <v>5</v>
      </c>
      <c r="I12276">
        <f>YEAR(Tabela1[[#This Row],[data]])</f>
        <v>2026</v>
      </c>
    </row>
    <row r="12277" spans="1:9" x14ac:dyDescent="0.25">
      <c r="A12277" t="s">
        <v>6</v>
      </c>
      <c r="B12277" s="1">
        <v>46169</v>
      </c>
      <c r="C12277">
        <v>12</v>
      </c>
      <c r="D12277">
        <v>649.32000000000005</v>
      </c>
      <c r="E12277">
        <v>91.14</v>
      </c>
      <c r="F12277" t="s">
        <v>7</v>
      </c>
      <c r="G12277" t="s">
        <v>11</v>
      </c>
      <c r="H12277" s="5">
        <f>MONTH(Tabela1[[#This Row],[data]])</f>
        <v>5</v>
      </c>
      <c r="I12277">
        <f>YEAR(Tabela1[[#This Row],[data]])</f>
        <v>2026</v>
      </c>
    </row>
    <row r="12278" spans="1:9" x14ac:dyDescent="0.25">
      <c r="A12278" t="s">
        <v>6</v>
      </c>
      <c r="B12278" s="1">
        <v>46169</v>
      </c>
      <c r="C12278">
        <v>13</v>
      </c>
      <c r="D12278">
        <v>637.14</v>
      </c>
      <c r="E12278">
        <v>84.84</v>
      </c>
      <c r="F12278" t="s">
        <v>7</v>
      </c>
      <c r="G12278" t="s">
        <v>11</v>
      </c>
      <c r="H12278" s="5">
        <f>MONTH(Tabela1[[#This Row],[data]])</f>
        <v>5</v>
      </c>
      <c r="I12278">
        <f>YEAR(Tabela1[[#This Row],[data]])</f>
        <v>2026</v>
      </c>
    </row>
    <row r="12279" spans="1:9" x14ac:dyDescent="0.25">
      <c r="A12279" t="s">
        <v>6</v>
      </c>
      <c r="B12279" s="1">
        <v>46169</v>
      </c>
      <c r="C12279">
        <v>14</v>
      </c>
      <c r="D12279">
        <v>664.02</v>
      </c>
      <c r="E12279">
        <v>83.16</v>
      </c>
      <c r="F12279" t="s">
        <v>7</v>
      </c>
      <c r="G12279" t="s">
        <v>11</v>
      </c>
      <c r="H12279" s="5">
        <f>MONTH(Tabela1[[#This Row],[data]])</f>
        <v>5</v>
      </c>
      <c r="I12279">
        <f>YEAR(Tabela1[[#This Row],[data]])</f>
        <v>2026</v>
      </c>
    </row>
    <row r="12280" spans="1:9" x14ac:dyDescent="0.25">
      <c r="A12280" t="s">
        <v>6</v>
      </c>
      <c r="B12280" s="1">
        <v>46169</v>
      </c>
      <c r="C12280">
        <v>15</v>
      </c>
      <c r="D12280">
        <v>682.5</v>
      </c>
      <c r="E12280">
        <v>80.22</v>
      </c>
      <c r="F12280" t="s">
        <v>7</v>
      </c>
      <c r="G12280" t="s">
        <v>11</v>
      </c>
      <c r="H12280" s="5">
        <f>MONTH(Tabela1[[#This Row],[data]])</f>
        <v>5</v>
      </c>
      <c r="I12280">
        <f>YEAR(Tabela1[[#This Row],[data]])</f>
        <v>2026</v>
      </c>
    </row>
    <row r="12281" spans="1:9" x14ac:dyDescent="0.25">
      <c r="A12281" t="s">
        <v>6</v>
      </c>
      <c r="B12281" s="1">
        <v>46169</v>
      </c>
      <c r="C12281">
        <v>16</v>
      </c>
      <c r="D12281" s="2">
        <v>1016.4</v>
      </c>
      <c r="E12281">
        <v>255.36</v>
      </c>
      <c r="F12281" t="s">
        <v>7</v>
      </c>
      <c r="G12281" t="s">
        <v>11</v>
      </c>
      <c r="H12281" s="5">
        <f>MONTH(Tabela1[[#This Row],[data]])</f>
        <v>5</v>
      </c>
      <c r="I12281">
        <f>YEAR(Tabela1[[#This Row],[data]])</f>
        <v>2026</v>
      </c>
    </row>
    <row r="12282" spans="1:9" x14ac:dyDescent="0.25">
      <c r="A12282" t="s">
        <v>6</v>
      </c>
      <c r="B12282" s="1">
        <v>46169</v>
      </c>
      <c r="C12282">
        <v>17</v>
      </c>
      <c r="D12282">
        <v>868.98</v>
      </c>
      <c r="E12282">
        <v>219.24</v>
      </c>
      <c r="F12282" t="s">
        <v>7</v>
      </c>
      <c r="G12282" t="s">
        <v>11</v>
      </c>
      <c r="H12282" s="5">
        <f>MONTH(Tabela1[[#This Row],[data]])</f>
        <v>5</v>
      </c>
      <c r="I12282">
        <f>YEAR(Tabela1[[#This Row],[data]])</f>
        <v>2026</v>
      </c>
    </row>
    <row r="12283" spans="1:9" x14ac:dyDescent="0.25">
      <c r="A12283" t="s">
        <v>6</v>
      </c>
      <c r="B12283" s="1">
        <v>46169</v>
      </c>
      <c r="C12283">
        <v>18</v>
      </c>
      <c r="D12283">
        <v>820.68</v>
      </c>
      <c r="E12283">
        <v>168</v>
      </c>
      <c r="F12283" t="s">
        <v>7</v>
      </c>
      <c r="G12283" t="s">
        <v>11</v>
      </c>
      <c r="H12283" s="5">
        <f>MONTH(Tabela1[[#This Row],[data]])</f>
        <v>5</v>
      </c>
      <c r="I12283">
        <f>YEAR(Tabela1[[#This Row],[data]])</f>
        <v>2026</v>
      </c>
    </row>
    <row r="12284" spans="1:9" x14ac:dyDescent="0.25">
      <c r="A12284" t="s">
        <v>6</v>
      </c>
      <c r="B12284" s="1">
        <v>46169</v>
      </c>
      <c r="C12284">
        <v>19</v>
      </c>
      <c r="D12284">
        <v>795.9</v>
      </c>
      <c r="E12284">
        <v>142.38</v>
      </c>
      <c r="F12284" t="s">
        <v>7</v>
      </c>
      <c r="G12284" t="s">
        <v>11</v>
      </c>
      <c r="H12284" s="5">
        <f>MONTH(Tabela1[[#This Row],[data]])</f>
        <v>5</v>
      </c>
      <c r="I12284">
        <f>YEAR(Tabela1[[#This Row],[data]])</f>
        <v>2026</v>
      </c>
    </row>
    <row r="12285" spans="1:9" x14ac:dyDescent="0.25">
      <c r="A12285" t="s">
        <v>6</v>
      </c>
      <c r="B12285" s="1">
        <v>46169</v>
      </c>
      <c r="C12285">
        <v>20</v>
      </c>
      <c r="D12285">
        <v>765.24</v>
      </c>
      <c r="E12285">
        <v>125.58</v>
      </c>
      <c r="F12285" t="s">
        <v>7</v>
      </c>
      <c r="G12285" t="s">
        <v>11</v>
      </c>
      <c r="H12285" s="5">
        <f>MONTH(Tabela1[[#This Row],[data]])</f>
        <v>5</v>
      </c>
      <c r="I12285">
        <f>YEAR(Tabela1[[#This Row],[data]])</f>
        <v>2026</v>
      </c>
    </row>
    <row r="12286" spans="1:9" x14ac:dyDescent="0.25">
      <c r="A12286" t="s">
        <v>6</v>
      </c>
      <c r="B12286" s="1">
        <v>46169</v>
      </c>
      <c r="C12286">
        <v>21</v>
      </c>
      <c r="D12286">
        <v>609</v>
      </c>
      <c r="E12286">
        <v>45.36</v>
      </c>
      <c r="F12286" t="s">
        <v>7</v>
      </c>
      <c r="G12286" t="s">
        <v>11</v>
      </c>
      <c r="H12286" s="5">
        <f>MONTH(Tabela1[[#This Row],[data]])</f>
        <v>5</v>
      </c>
      <c r="I12286">
        <f>YEAR(Tabela1[[#This Row],[data]])</f>
        <v>2026</v>
      </c>
    </row>
    <row r="12287" spans="1:9" x14ac:dyDescent="0.25">
      <c r="A12287" t="s">
        <v>6</v>
      </c>
      <c r="B12287" s="1">
        <v>46169</v>
      </c>
      <c r="C12287">
        <v>22</v>
      </c>
      <c r="D12287">
        <v>576.24</v>
      </c>
      <c r="E12287">
        <v>36.96</v>
      </c>
      <c r="F12287" t="s">
        <v>7</v>
      </c>
      <c r="G12287" t="s">
        <v>11</v>
      </c>
      <c r="H12287" s="5">
        <f>MONTH(Tabela1[[#This Row],[data]])</f>
        <v>5</v>
      </c>
      <c r="I12287">
        <f>YEAR(Tabela1[[#This Row],[data]])</f>
        <v>2026</v>
      </c>
    </row>
    <row r="12288" spans="1:9" x14ac:dyDescent="0.25">
      <c r="A12288" t="s">
        <v>6</v>
      </c>
      <c r="B12288" s="1">
        <v>46169</v>
      </c>
      <c r="C12288">
        <v>23</v>
      </c>
      <c r="D12288">
        <v>367.08</v>
      </c>
      <c r="E12288">
        <v>0.42</v>
      </c>
      <c r="F12288" t="s">
        <v>7</v>
      </c>
      <c r="G12288" t="s">
        <v>11</v>
      </c>
      <c r="H12288" s="5">
        <f>MONTH(Tabela1[[#This Row],[data]])</f>
        <v>5</v>
      </c>
      <c r="I12288">
        <f>YEAR(Tabela1[[#This Row],[data]])</f>
        <v>2026</v>
      </c>
    </row>
    <row r="12289" spans="1:9" x14ac:dyDescent="0.25">
      <c r="A12289" t="s">
        <v>6</v>
      </c>
      <c r="B12289" s="1">
        <v>46169</v>
      </c>
      <c r="C12289">
        <v>24</v>
      </c>
      <c r="D12289">
        <v>272.58</v>
      </c>
      <c r="E12289">
        <v>0</v>
      </c>
      <c r="F12289" t="s">
        <v>7</v>
      </c>
      <c r="G12289" t="s">
        <v>11</v>
      </c>
      <c r="H12289" s="5">
        <f>MONTH(Tabela1[[#This Row],[data]])</f>
        <v>5</v>
      </c>
      <c r="I12289">
        <f>YEAR(Tabela1[[#This Row],[data]])</f>
        <v>2026</v>
      </c>
    </row>
    <row r="12290" spans="1:9" x14ac:dyDescent="0.25">
      <c r="A12290" t="s">
        <v>6</v>
      </c>
      <c r="B12290" s="1">
        <v>46170</v>
      </c>
      <c r="C12290">
        <v>1</v>
      </c>
      <c r="D12290">
        <v>241.5</v>
      </c>
      <c r="E12290">
        <v>0</v>
      </c>
      <c r="F12290" t="s">
        <v>7</v>
      </c>
      <c r="G12290" t="s">
        <v>11</v>
      </c>
      <c r="H12290" s="5">
        <f>MONTH(Tabela1[[#This Row],[data]])</f>
        <v>5</v>
      </c>
      <c r="I12290">
        <f>YEAR(Tabela1[[#This Row],[data]])</f>
        <v>2026</v>
      </c>
    </row>
    <row r="12291" spans="1:9" x14ac:dyDescent="0.25">
      <c r="A12291" t="s">
        <v>6</v>
      </c>
      <c r="B12291" s="1">
        <v>46170</v>
      </c>
      <c r="C12291">
        <v>2</v>
      </c>
      <c r="D12291">
        <v>235.2</v>
      </c>
      <c r="E12291">
        <v>0</v>
      </c>
      <c r="F12291" t="s">
        <v>7</v>
      </c>
      <c r="G12291" t="s">
        <v>11</v>
      </c>
      <c r="H12291" s="5">
        <f>MONTH(Tabela1[[#This Row],[data]])</f>
        <v>5</v>
      </c>
      <c r="I12291">
        <f>YEAR(Tabela1[[#This Row],[data]])</f>
        <v>2026</v>
      </c>
    </row>
    <row r="12292" spans="1:9" x14ac:dyDescent="0.25">
      <c r="A12292" t="s">
        <v>6</v>
      </c>
      <c r="B12292" s="1">
        <v>46170</v>
      </c>
      <c r="C12292">
        <v>3</v>
      </c>
      <c r="D12292">
        <v>232.68</v>
      </c>
      <c r="E12292">
        <v>0</v>
      </c>
      <c r="F12292" t="s">
        <v>7</v>
      </c>
      <c r="G12292" t="s">
        <v>11</v>
      </c>
      <c r="H12292" s="5">
        <f>MONTH(Tabela1[[#This Row],[data]])</f>
        <v>5</v>
      </c>
      <c r="I12292">
        <f>YEAR(Tabela1[[#This Row],[data]])</f>
        <v>2026</v>
      </c>
    </row>
    <row r="12293" spans="1:9" x14ac:dyDescent="0.25">
      <c r="A12293" t="s">
        <v>6</v>
      </c>
      <c r="B12293" s="1">
        <v>46170</v>
      </c>
      <c r="C12293">
        <v>4</v>
      </c>
      <c r="D12293">
        <v>234.78</v>
      </c>
      <c r="E12293">
        <v>0</v>
      </c>
      <c r="F12293" t="s">
        <v>7</v>
      </c>
      <c r="G12293" t="s">
        <v>11</v>
      </c>
      <c r="H12293" s="5">
        <f>MONTH(Tabela1[[#This Row],[data]])</f>
        <v>5</v>
      </c>
      <c r="I12293">
        <f>YEAR(Tabela1[[#This Row],[data]])</f>
        <v>2026</v>
      </c>
    </row>
    <row r="12294" spans="1:9" x14ac:dyDescent="0.25">
      <c r="A12294" t="s">
        <v>6</v>
      </c>
      <c r="B12294" s="1">
        <v>46170</v>
      </c>
      <c r="C12294">
        <v>5</v>
      </c>
      <c r="D12294">
        <v>236.04</v>
      </c>
      <c r="E12294">
        <v>0</v>
      </c>
      <c r="F12294" t="s">
        <v>7</v>
      </c>
      <c r="G12294" t="s">
        <v>11</v>
      </c>
      <c r="H12294" s="5">
        <f>MONTH(Tabela1[[#This Row],[data]])</f>
        <v>5</v>
      </c>
      <c r="I12294">
        <f>YEAR(Tabela1[[#This Row],[data]])</f>
        <v>2026</v>
      </c>
    </row>
    <row r="12295" spans="1:9" x14ac:dyDescent="0.25">
      <c r="A12295" t="s">
        <v>6</v>
      </c>
      <c r="B12295" s="1">
        <v>46170</v>
      </c>
      <c r="C12295">
        <v>6</v>
      </c>
      <c r="D12295">
        <v>234.36</v>
      </c>
      <c r="E12295">
        <v>0</v>
      </c>
      <c r="F12295" t="s">
        <v>7</v>
      </c>
      <c r="G12295" t="s">
        <v>11</v>
      </c>
      <c r="H12295" s="5">
        <f>MONTH(Tabela1[[#This Row],[data]])</f>
        <v>5</v>
      </c>
      <c r="I12295">
        <f>YEAR(Tabela1[[#This Row],[data]])</f>
        <v>2026</v>
      </c>
    </row>
    <row r="12296" spans="1:9" x14ac:dyDescent="0.25">
      <c r="A12296" t="s">
        <v>6</v>
      </c>
      <c r="B12296" s="1">
        <v>46170</v>
      </c>
      <c r="C12296">
        <v>7</v>
      </c>
      <c r="D12296">
        <v>241.5</v>
      </c>
      <c r="E12296">
        <v>0</v>
      </c>
      <c r="F12296" t="s">
        <v>7</v>
      </c>
      <c r="G12296" t="s">
        <v>11</v>
      </c>
      <c r="H12296" s="5">
        <f>MONTH(Tabela1[[#This Row],[data]])</f>
        <v>5</v>
      </c>
      <c r="I12296">
        <f>YEAR(Tabela1[[#This Row],[data]])</f>
        <v>2026</v>
      </c>
    </row>
    <row r="12297" spans="1:9" x14ac:dyDescent="0.25">
      <c r="A12297" t="s">
        <v>6</v>
      </c>
      <c r="B12297" s="1">
        <v>46170</v>
      </c>
      <c r="C12297">
        <v>8</v>
      </c>
      <c r="D12297">
        <v>258.72000000000003</v>
      </c>
      <c r="E12297">
        <v>0</v>
      </c>
      <c r="F12297" t="s">
        <v>7</v>
      </c>
      <c r="G12297" t="s">
        <v>11</v>
      </c>
      <c r="H12297" s="5">
        <f>MONTH(Tabela1[[#This Row],[data]])</f>
        <v>5</v>
      </c>
      <c r="I12297">
        <f>YEAR(Tabela1[[#This Row],[data]])</f>
        <v>2026</v>
      </c>
    </row>
    <row r="12298" spans="1:9" x14ac:dyDescent="0.25">
      <c r="A12298" t="s">
        <v>6</v>
      </c>
      <c r="B12298" s="1">
        <v>46170</v>
      </c>
      <c r="C12298">
        <v>9</v>
      </c>
      <c r="D12298">
        <v>318.36</v>
      </c>
      <c r="E12298">
        <v>0</v>
      </c>
      <c r="F12298" t="s">
        <v>7</v>
      </c>
      <c r="G12298" t="s">
        <v>11</v>
      </c>
      <c r="H12298" s="5">
        <f>MONTH(Tabela1[[#This Row],[data]])</f>
        <v>5</v>
      </c>
      <c r="I12298">
        <f>YEAR(Tabela1[[#This Row],[data]])</f>
        <v>2026</v>
      </c>
    </row>
    <row r="12299" spans="1:9" x14ac:dyDescent="0.25">
      <c r="A12299" t="s">
        <v>6</v>
      </c>
      <c r="B12299" s="1">
        <v>46170</v>
      </c>
      <c r="C12299">
        <v>10</v>
      </c>
      <c r="D12299">
        <v>406.14</v>
      </c>
      <c r="E12299">
        <v>5.46</v>
      </c>
      <c r="F12299" t="s">
        <v>7</v>
      </c>
      <c r="G12299" t="s">
        <v>11</v>
      </c>
      <c r="H12299" s="5">
        <f>MONTH(Tabela1[[#This Row],[data]])</f>
        <v>5</v>
      </c>
      <c r="I12299">
        <f>YEAR(Tabela1[[#This Row],[data]])</f>
        <v>2026</v>
      </c>
    </row>
    <row r="12300" spans="1:9" x14ac:dyDescent="0.25">
      <c r="A12300" t="s">
        <v>6</v>
      </c>
      <c r="B12300" s="1">
        <v>46170</v>
      </c>
      <c r="C12300">
        <v>11</v>
      </c>
      <c r="D12300">
        <v>549.36</v>
      </c>
      <c r="E12300">
        <v>32.76</v>
      </c>
      <c r="F12300" t="s">
        <v>7</v>
      </c>
      <c r="G12300" t="s">
        <v>11</v>
      </c>
      <c r="H12300" s="5">
        <f>MONTH(Tabela1[[#This Row],[data]])</f>
        <v>5</v>
      </c>
      <c r="I12300">
        <f>YEAR(Tabela1[[#This Row],[data]])</f>
        <v>2026</v>
      </c>
    </row>
    <row r="12301" spans="1:9" x14ac:dyDescent="0.25">
      <c r="A12301" t="s">
        <v>6</v>
      </c>
      <c r="B12301" s="1">
        <v>46170</v>
      </c>
      <c r="C12301">
        <v>12</v>
      </c>
      <c r="D12301">
        <v>735.42</v>
      </c>
      <c r="E12301">
        <v>126.42</v>
      </c>
      <c r="F12301" t="s">
        <v>7</v>
      </c>
      <c r="G12301" t="s">
        <v>11</v>
      </c>
      <c r="H12301" s="5">
        <f>MONTH(Tabela1[[#This Row],[data]])</f>
        <v>5</v>
      </c>
      <c r="I12301">
        <f>YEAR(Tabela1[[#This Row],[data]])</f>
        <v>2026</v>
      </c>
    </row>
    <row r="12302" spans="1:9" x14ac:dyDescent="0.25">
      <c r="A12302" t="s">
        <v>6</v>
      </c>
      <c r="B12302" s="1">
        <v>46170</v>
      </c>
      <c r="C12302">
        <v>13</v>
      </c>
      <c r="D12302">
        <v>840.84</v>
      </c>
      <c r="E12302">
        <v>199.92</v>
      </c>
      <c r="F12302" t="s">
        <v>7</v>
      </c>
      <c r="G12302" t="s">
        <v>11</v>
      </c>
      <c r="H12302" s="5">
        <f>MONTH(Tabela1[[#This Row],[data]])</f>
        <v>5</v>
      </c>
      <c r="I12302">
        <f>YEAR(Tabela1[[#This Row],[data]])</f>
        <v>2026</v>
      </c>
    </row>
    <row r="12303" spans="1:9" x14ac:dyDescent="0.25">
      <c r="A12303" t="s">
        <v>6</v>
      </c>
      <c r="B12303" s="1">
        <v>46170</v>
      </c>
      <c r="C12303">
        <v>14</v>
      </c>
      <c r="D12303">
        <v>801.78</v>
      </c>
      <c r="E12303">
        <v>175.14</v>
      </c>
      <c r="F12303" t="s">
        <v>7</v>
      </c>
      <c r="G12303" t="s">
        <v>11</v>
      </c>
      <c r="H12303" s="5">
        <f>MONTH(Tabela1[[#This Row],[data]])</f>
        <v>5</v>
      </c>
      <c r="I12303">
        <f>YEAR(Tabela1[[#This Row],[data]])</f>
        <v>2026</v>
      </c>
    </row>
    <row r="12304" spans="1:9" x14ac:dyDescent="0.25">
      <c r="A12304" t="s">
        <v>6</v>
      </c>
      <c r="B12304" s="1">
        <v>46170</v>
      </c>
      <c r="C12304">
        <v>15</v>
      </c>
      <c r="D12304">
        <v>795.48</v>
      </c>
      <c r="E12304">
        <v>179.34</v>
      </c>
      <c r="F12304" t="s">
        <v>7</v>
      </c>
      <c r="G12304" t="s">
        <v>11</v>
      </c>
      <c r="H12304" s="5">
        <f>MONTH(Tabela1[[#This Row],[data]])</f>
        <v>5</v>
      </c>
      <c r="I12304">
        <f>YEAR(Tabela1[[#This Row],[data]])</f>
        <v>2026</v>
      </c>
    </row>
    <row r="12305" spans="1:9" x14ac:dyDescent="0.25">
      <c r="A12305" t="s">
        <v>6</v>
      </c>
      <c r="B12305" s="1">
        <v>46170</v>
      </c>
      <c r="C12305">
        <v>16</v>
      </c>
      <c r="D12305">
        <v>832.02</v>
      </c>
      <c r="E12305">
        <v>191.52</v>
      </c>
      <c r="F12305" t="s">
        <v>7</v>
      </c>
      <c r="G12305" t="s">
        <v>11</v>
      </c>
      <c r="H12305" s="5">
        <f>MONTH(Tabela1[[#This Row],[data]])</f>
        <v>5</v>
      </c>
      <c r="I12305">
        <f>YEAR(Tabela1[[#This Row],[data]])</f>
        <v>2026</v>
      </c>
    </row>
    <row r="12306" spans="1:9" x14ac:dyDescent="0.25">
      <c r="A12306" t="s">
        <v>6</v>
      </c>
      <c r="B12306" s="1">
        <v>46170</v>
      </c>
      <c r="C12306">
        <v>17</v>
      </c>
      <c r="D12306">
        <v>811.44</v>
      </c>
      <c r="E12306">
        <v>192.36</v>
      </c>
      <c r="F12306" t="s">
        <v>7</v>
      </c>
      <c r="G12306" t="s">
        <v>11</v>
      </c>
      <c r="H12306" s="5">
        <f>MONTH(Tabela1[[#This Row],[data]])</f>
        <v>5</v>
      </c>
      <c r="I12306">
        <f>YEAR(Tabela1[[#This Row],[data]])</f>
        <v>2026</v>
      </c>
    </row>
    <row r="12307" spans="1:9" x14ac:dyDescent="0.25">
      <c r="A12307" t="s">
        <v>6</v>
      </c>
      <c r="B12307" s="1">
        <v>46170</v>
      </c>
      <c r="C12307">
        <v>18</v>
      </c>
      <c r="D12307">
        <v>749.7</v>
      </c>
      <c r="E12307">
        <v>149.94</v>
      </c>
      <c r="F12307" t="s">
        <v>7</v>
      </c>
      <c r="G12307" t="s">
        <v>11</v>
      </c>
      <c r="H12307" s="5">
        <f>MONTH(Tabela1[[#This Row],[data]])</f>
        <v>5</v>
      </c>
      <c r="I12307">
        <f>YEAR(Tabela1[[#This Row],[data]])</f>
        <v>2026</v>
      </c>
    </row>
    <row r="12308" spans="1:9" x14ac:dyDescent="0.25">
      <c r="A12308" t="s">
        <v>6</v>
      </c>
      <c r="B12308" s="1">
        <v>46170</v>
      </c>
      <c r="C12308">
        <v>19</v>
      </c>
      <c r="D12308">
        <v>639.24</v>
      </c>
      <c r="E12308">
        <v>47.46</v>
      </c>
      <c r="F12308" t="s">
        <v>7</v>
      </c>
      <c r="G12308" t="s">
        <v>11</v>
      </c>
      <c r="H12308" s="5">
        <f>MONTH(Tabela1[[#This Row],[data]])</f>
        <v>5</v>
      </c>
      <c r="I12308">
        <f>YEAR(Tabela1[[#This Row],[data]])</f>
        <v>2026</v>
      </c>
    </row>
    <row r="12309" spans="1:9" x14ac:dyDescent="0.25">
      <c r="A12309" t="s">
        <v>6</v>
      </c>
      <c r="B12309" s="1">
        <v>46170</v>
      </c>
      <c r="C12309">
        <v>20</v>
      </c>
      <c r="D12309">
        <v>592.62</v>
      </c>
      <c r="E12309">
        <v>32.76</v>
      </c>
      <c r="F12309" t="s">
        <v>7</v>
      </c>
      <c r="G12309" t="s">
        <v>11</v>
      </c>
      <c r="H12309" s="5">
        <f>MONTH(Tabela1[[#This Row],[data]])</f>
        <v>5</v>
      </c>
      <c r="I12309">
        <f>YEAR(Tabela1[[#This Row],[data]])</f>
        <v>2026</v>
      </c>
    </row>
    <row r="12310" spans="1:9" x14ac:dyDescent="0.25">
      <c r="A12310" t="s">
        <v>6</v>
      </c>
      <c r="B12310" s="1">
        <v>46170</v>
      </c>
      <c r="C12310">
        <v>21</v>
      </c>
      <c r="D12310">
        <v>595.98</v>
      </c>
      <c r="E12310">
        <v>46.62</v>
      </c>
      <c r="F12310" t="s">
        <v>7</v>
      </c>
      <c r="G12310" t="s">
        <v>11</v>
      </c>
      <c r="H12310" s="5">
        <f>MONTH(Tabela1[[#This Row],[data]])</f>
        <v>5</v>
      </c>
      <c r="I12310">
        <f>YEAR(Tabela1[[#This Row],[data]])</f>
        <v>2026</v>
      </c>
    </row>
    <row r="12311" spans="1:9" x14ac:dyDescent="0.25">
      <c r="A12311" t="s">
        <v>6</v>
      </c>
      <c r="B12311" s="1">
        <v>46170</v>
      </c>
      <c r="C12311">
        <v>22</v>
      </c>
      <c r="D12311">
        <v>565.74</v>
      </c>
      <c r="E12311">
        <v>31.08</v>
      </c>
      <c r="F12311" t="s">
        <v>7</v>
      </c>
      <c r="G12311" t="s">
        <v>11</v>
      </c>
      <c r="H12311" s="5">
        <f>MONTH(Tabela1[[#This Row],[data]])</f>
        <v>5</v>
      </c>
      <c r="I12311">
        <f>YEAR(Tabela1[[#This Row],[data]])</f>
        <v>2026</v>
      </c>
    </row>
    <row r="12312" spans="1:9" x14ac:dyDescent="0.25">
      <c r="A12312" t="s">
        <v>6</v>
      </c>
      <c r="B12312" s="1">
        <v>46170</v>
      </c>
      <c r="C12312">
        <v>23</v>
      </c>
      <c r="D12312">
        <v>375.06</v>
      </c>
      <c r="E12312">
        <v>0</v>
      </c>
      <c r="F12312" t="s">
        <v>7</v>
      </c>
      <c r="G12312" t="s">
        <v>11</v>
      </c>
      <c r="H12312" s="5">
        <f>MONTH(Tabela1[[#This Row],[data]])</f>
        <v>5</v>
      </c>
      <c r="I12312">
        <f>YEAR(Tabela1[[#This Row],[data]])</f>
        <v>2026</v>
      </c>
    </row>
    <row r="12313" spans="1:9" x14ac:dyDescent="0.25">
      <c r="A12313" t="s">
        <v>6</v>
      </c>
      <c r="B12313" s="1">
        <v>46170</v>
      </c>
      <c r="C12313">
        <v>24</v>
      </c>
      <c r="D12313">
        <v>267.54000000000002</v>
      </c>
      <c r="E12313">
        <v>0</v>
      </c>
      <c r="F12313" t="s">
        <v>7</v>
      </c>
      <c r="G12313" t="s">
        <v>11</v>
      </c>
      <c r="H12313" s="5">
        <f>MONTH(Tabela1[[#This Row],[data]])</f>
        <v>5</v>
      </c>
      <c r="I12313">
        <f>YEAR(Tabela1[[#This Row],[data]])</f>
        <v>2026</v>
      </c>
    </row>
    <row r="12314" spans="1:9" x14ac:dyDescent="0.25">
      <c r="A12314" t="s">
        <v>6</v>
      </c>
      <c r="B12314" s="1">
        <v>46171</v>
      </c>
      <c r="C12314">
        <v>1</v>
      </c>
      <c r="D12314">
        <v>241.5</v>
      </c>
      <c r="E12314">
        <v>0</v>
      </c>
      <c r="F12314" t="s">
        <v>7</v>
      </c>
      <c r="G12314" t="s">
        <v>11</v>
      </c>
      <c r="H12314" s="5">
        <f>MONTH(Tabela1[[#This Row],[data]])</f>
        <v>5</v>
      </c>
      <c r="I12314">
        <f>YEAR(Tabela1[[#This Row],[data]])</f>
        <v>2026</v>
      </c>
    </row>
    <row r="12315" spans="1:9" x14ac:dyDescent="0.25">
      <c r="A12315" t="s">
        <v>6</v>
      </c>
      <c r="B12315" s="1">
        <v>46171</v>
      </c>
      <c r="C12315">
        <v>2</v>
      </c>
      <c r="D12315">
        <v>238.14</v>
      </c>
      <c r="E12315">
        <v>0</v>
      </c>
      <c r="F12315" t="s">
        <v>7</v>
      </c>
      <c r="G12315" t="s">
        <v>11</v>
      </c>
      <c r="H12315" s="5">
        <f>MONTH(Tabela1[[#This Row],[data]])</f>
        <v>5</v>
      </c>
      <c r="I12315">
        <f>YEAR(Tabela1[[#This Row],[data]])</f>
        <v>2026</v>
      </c>
    </row>
    <row r="12316" spans="1:9" x14ac:dyDescent="0.25">
      <c r="A12316" t="s">
        <v>6</v>
      </c>
      <c r="B12316" s="1">
        <v>46171</v>
      </c>
      <c r="C12316">
        <v>3</v>
      </c>
      <c r="D12316">
        <v>233.1</v>
      </c>
      <c r="E12316">
        <v>0</v>
      </c>
      <c r="F12316" t="s">
        <v>7</v>
      </c>
      <c r="G12316" t="s">
        <v>11</v>
      </c>
      <c r="H12316" s="5">
        <f>MONTH(Tabela1[[#This Row],[data]])</f>
        <v>5</v>
      </c>
      <c r="I12316">
        <f>YEAR(Tabela1[[#This Row],[data]])</f>
        <v>2026</v>
      </c>
    </row>
    <row r="12317" spans="1:9" x14ac:dyDescent="0.25">
      <c r="A12317" t="s">
        <v>6</v>
      </c>
      <c r="B12317" s="1">
        <v>46171</v>
      </c>
      <c r="C12317">
        <v>4</v>
      </c>
      <c r="D12317">
        <v>238.98</v>
      </c>
      <c r="E12317">
        <v>0</v>
      </c>
      <c r="F12317" t="s">
        <v>7</v>
      </c>
      <c r="G12317" t="s">
        <v>11</v>
      </c>
      <c r="H12317" s="5">
        <f>MONTH(Tabela1[[#This Row],[data]])</f>
        <v>5</v>
      </c>
      <c r="I12317">
        <f>YEAR(Tabela1[[#This Row],[data]])</f>
        <v>2026</v>
      </c>
    </row>
    <row r="12318" spans="1:9" x14ac:dyDescent="0.25">
      <c r="A12318" t="s">
        <v>6</v>
      </c>
      <c r="B12318" s="1">
        <v>46171</v>
      </c>
      <c r="C12318">
        <v>5</v>
      </c>
      <c r="D12318">
        <v>229.74</v>
      </c>
      <c r="E12318">
        <v>0</v>
      </c>
      <c r="F12318" t="s">
        <v>7</v>
      </c>
      <c r="G12318" t="s">
        <v>11</v>
      </c>
      <c r="H12318" s="5">
        <f>MONTH(Tabela1[[#This Row],[data]])</f>
        <v>5</v>
      </c>
      <c r="I12318">
        <f>YEAR(Tabela1[[#This Row],[data]])</f>
        <v>2026</v>
      </c>
    </row>
    <row r="12319" spans="1:9" x14ac:dyDescent="0.25">
      <c r="A12319" t="s">
        <v>6</v>
      </c>
      <c r="B12319" s="1">
        <v>46171</v>
      </c>
      <c r="C12319">
        <v>6</v>
      </c>
      <c r="D12319">
        <v>229.74</v>
      </c>
      <c r="E12319">
        <v>0</v>
      </c>
      <c r="F12319" t="s">
        <v>7</v>
      </c>
      <c r="G12319" t="s">
        <v>11</v>
      </c>
      <c r="H12319" s="5">
        <f>MONTH(Tabela1[[#This Row],[data]])</f>
        <v>5</v>
      </c>
      <c r="I12319">
        <f>YEAR(Tabela1[[#This Row],[data]])</f>
        <v>2026</v>
      </c>
    </row>
    <row r="12320" spans="1:9" x14ac:dyDescent="0.25">
      <c r="A12320" t="s">
        <v>6</v>
      </c>
      <c r="B12320" s="1">
        <v>46171</v>
      </c>
      <c r="C12320">
        <v>7</v>
      </c>
      <c r="D12320">
        <v>234.36</v>
      </c>
      <c r="E12320">
        <v>0</v>
      </c>
      <c r="F12320" t="s">
        <v>7</v>
      </c>
      <c r="G12320" t="s">
        <v>11</v>
      </c>
      <c r="H12320" s="5">
        <f>MONTH(Tabela1[[#This Row],[data]])</f>
        <v>5</v>
      </c>
      <c r="I12320">
        <f>YEAR(Tabela1[[#This Row],[data]])</f>
        <v>2026</v>
      </c>
    </row>
    <row r="12321" spans="1:9" x14ac:dyDescent="0.25">
      <c r="A12321" t="s">
        <v>6</v>
      </c>
      <c r="B12321" s="1">
        <v>46171</v>
      </c>
      <c r="C12321">
        <v>8</v>
      </c>
      <c r="D12321">
        <v>245.7</v>
      </c>
      <c r="E12321">
        <v>0</v>
      </c>
      <c r="F12321" t="s">
        <v>7</v>
      </c>
      <c r="G12321" t="s">
        <v>11</v>
      </c>
      <c r="H12321" s="5">
        <f>MONTH(Tabela1[[#This Row],[data]])</f>
        <v>5</v>
      </c>
      <c r="I12321">
        <f>YEAR(Tabela1[[#This Row],[data]])</f>
        <v>2026</v>
      </c>
    </row>
    <row r="12322" spans="1:9" x14ac:dyDescent="0.25">
      <c r="A12322" t="s">
        <v>6</v>
      </c>
      <c r="B12322" s="1">
        <v>46171</v>
      </c>
      <c r="C12322">
        <v>9</v>
      </c>
      <c r="D12322">
        <v>332.22</v>
      </c>
      <c r="E12322">
        <v>0</v>
      </c>
      <c r="F12322" t="s">
        <v>7</v>
      </c>
      <c r="G12322" t="s">
        <v>11</v>
      </c>
      <c r="H12322" s="5">
        <f>MONTH(Tabela1[[#This Row],[data]])</f>
        <v>5</v>
      </c>
      <c r="I12322">
        <f>YEAR(Tabela1[[#This Row],[data]])</f>
        <v>2026</v>
      </c>
    </row>
    <row r="12323" spans="1:9" x14ac:dyDescent="0.25">
      <c r="A12323" t="s">
        <v>6</v>
      </c>
      <c r="B12323" s="1">
        <v>46171</v>
      </c>
      <c r="C12323">
        <v>10</v>
      </c>
      <c r="D12323">
        <v>421.26</v>
      </c>
      <c r="E12323">
        <v>10.92</v>
      </c>
      <c r="F12323" t="s">
        <v>7</v>
      </c>
      <c r="G12323" t="s">
        <v>11</v>
      </c>
      <c r="H12323" s="5">
        <f>MONTH(Tabela1[[#This Row],[data]])</f>
        <v>5</v>
      </c>
      <c r="I12323">
        <f>YEAR(Tabela1[[#This Row],[data]])</f>
        <v>2026</v>
      </c>
    </row>
    <row r="12324" spans="1:9" x14ac:dyDescent="0.25">
      <c r="A12324" t="s">
        <v>6</v>
      </c>
      <c r="B12324" s="1">
        <v>46171</v>
      </c>
      <c r="C12324">
        <v>11</v>
      </c>
      <c r="D12324">
        <v>569.52</v>
      </c>
      <c r="E12324">
        <v>47.88</v>
      </c>
      <c r="F12324" t="s">
        <v>7</v>
      </c>
      <c r="G12324" t="s">
        <v>11</v>
      </c>
      <c r="H12324" s="5">
        <f>MONTH(Tabela1[[#This Row],[data]])</f>
        <v>5</v>
      </c>
      <c r="I12324">
        <f>YEAR(Tabela1[[#This Row],[data]])</f>
        <v>2026</v>
      </c>
    </row>
    <row r="12325" spans="1:9" x14ac:dyDescent="0.25">
      <c r="A12325" t="s">
        <v>6</v>
      </c>
      <c r="B12325" s="1">
        <v>46171</v>
      </c>
      <c r="C12325">
        <v>12</v>
      </c>
      <c r="D12325">
        <v>797.58</v>
      </c>
      <c r="E12325">
        <v>143.22</v>
      </c>
      <c r="F12325" t="s">
        <v>7</v>
      </c>
      <c r="G12325" t="s">
        <v>11</v>
      </c>
      <c r="H12325" s="5">
        <f>MONTH(Tabela1[[#This Row],[data]])</f>
        <v>5</v>
      </c>
      <c r="I12325">
        <f>YEAR(Tabela1[[#This Row],[data]])</f>
        <v>2026</v>
      </c>
    </row>
    <row r="12326" spans="1:9" x14ac:dyDescent="0.25">
      <c r="A12326" t="s">
        <v>6</v>
      </c>
      <c r="B12326" s="1">
        <v>46171</v>
      </c>
      <c r="C12326">
        <v>13</v>
      </c>
      <c r="D12326">
        <v>816.9</v>
      </c>
      <c r="E12326">
        <v>189.84</v>
      </c>
      <c r="F12326" t="s">
        <v>7</v>
      </c>
      <c r="G12326" t="s">
        <v>11</v>
      </c>
      <c r="H12326" s="5">
        <f>MONTH(Tabela1[[#This Row],[data]])</f>
        <v>5</v>
      </c>
      <c r="I12326">
        <f>YEAR(Tabela1[[#This Row],[data]])</f>
        <v>2026</v>
      </c>
    </row>
    <row r="12327" spans="1:9" x14ac:dyDescent="0.25">
      <c r="A12327" t="s">
        <v>6</v>
      </c>
      <c r="B12327" s="1">
        <v>46171</v>
      </c>
      <c r="C12327">
        <v>14</v>
      </c>
      <c r="D12327">
        <v>811.86</v>
      </c>
      <c r="E12327">
        <v>174.72</v>
      </c>
      <c r="F12327" t="s">
        <v>7</v>
      </c>
      <c r="G12327" t="s">
        <v>11</v>
      </c>
      <c r="H12327" s="5">
        <f>MONTH(Tabela1[[#This Row],[data]])</f>
        <v>5</v>
      </c>
      <c r="I12327">
        <f>YEAR(Tabela1[[#This Row],[data]])</f>
        <v>2026</v>
      </c>
    </row>
    <row r="12328" spans="1:9" x14ac:dyDescent="0.25">
      <c r="A12328" t="s">
        <v>6</v>
      </c>
      <c r="B12328" s="1">
        <v>46171</v>
      </c>
      <c r="C12328">
        <v>15</v>
      </c>
      <c r="D12328">
        <v>803.46</v>
      </c>
      <c r="E12328">
        <v>177.66</v>
      </c>
      <c r="F12328" t="s">
        <v>7</v>
      </c>
      <c r="G12328" t="s">
        <v>11</v>
      </c>
      <c r="H12328" s="5">
        <f>MONTH(Tabela1[[#This Row],[data]])</f>
        <v>5</v>
      </c>
      <c r="I12328">
        <f>YEAR(Tabela1[[#This Row],[data]])</f>
        <v>2026</v>
      </c>
    </row>
    <row r="12329" spans="1:9" x14ac:dyDescent="0.25">
      <c r="A12329" t="s">
        <v>6</v>
      </c>
      <c r="B12329" s="1">
        <v>46171</v>
      </c>
      <c r="C12329">
        <v>16</v>
      </c>
      <c r="D12329">
        <v>798.42</v>
      </c>
      <c r="E12329">
        <v>189</v>
      </c>
      <c r="F12329" t="s">
        <v>7</v>
      </c>
      <c r="G12329" t="s">
        <v>11</v>
      </c>
      <c r="H12329" s="5">
        <f>MONTH(Tabela1[[#This Row],[data]])</f>
        <v>5</v>
      </c>
      <c r="I12329">
        <f>YEAR(Tabela1[[#This Row],[data]])</f>
        <v>2026</v>
      </c>
    </row>
    <row r="12330" spans="1:9" x14ac:dyDescent="0.25">
      <c r="A12330" t="s">
        <v>6</v>
      </c>
      <c r="B12330" s="1">
        <v>46171</v>
      </c>
      <c r="C12330">
        <v>17</v>
      </c>
      <c r="D12330">
        <v>796.32</v>
      </c>
      <c r="E12330">
        <v>171.78</v>
      </c>
      <c r="F12330" t="s">
        <v>7</v>
      </c>
      <c r="G12330" t="s">
        <v>11</v>
      </c>
      <c r="H12330" s="5">
        <f>MONTH(Tabela1[[#This Row],[data]])</f>
        <v>5</v>
      </c>
      <c r="I12330">
        <f>YEAR(Tabela1[[#This Row],[data]])</f>
        <v>2026</v>
      </c>
    </row>
    <row r="12331" spans="1:9" x14ac:dyDescent="0.25">
      <c r="A12331" t="s">
        <v>6</v>
      </c>
      <c r="B12331" s="1">
        <v>46171</v>
      </c>
      <c r="C12331">
        <v>18</v>
      </c>
      <c r="D12331">
        <v>764.4</v>
      </c>
      <c r="E12331">
        <v>131.88</v>
      </c>
      <c r="F12331" t="s">
        <v>7</v>
      </c>
      <c r="G12331" t="s">
        <v>11</v>
      </c>
      <c r="H12331" s="5">
        <f>MONTH(Tabela1[[#This Row],[data]])</f>
        <v>5</v>
      </c>
      <c r="I12331">
        <f>YEAR(Tabela1[[#This Row],[data]])</f>
        <v>2026</v>
      </c>
    </row>
    <row r="12332" spans="1:9" x14ac:dyDescent="0.25">
      <c r="A12332" t="s">
        <v>6</v>
      </c>
      <c r="B12332" s="1">
        <v>46171</v>
      </c>
      <c r="C12332">
        <v>19</v>
      </c>
      <c r="D12332">
        <v>653.94000000000005</v>
      </c>
      <c r="E12332">
        <v>55.44</v>
      </c>
      <c r="F12332" t="s">
        <v>7</v>
      </c>
      <c r="G12332" t="s">
        <v>11</v>
      </c>
      <c r="H12332" s="5">
        <f>MONTH(Tabela1[[#This Row],[data]])</f>
        <v>5</v>
      </c>
      <c r="I12332">
        <f>YEAR(Tabela1[[#This Row],[data]])</f>
        <v>2026</v>
      </c>
    </row>
    <row r="12333" spans="1:9" x14ac:dyDescent="0.25">
      <c r="A12333" t="s">
        <v>6</v>
      </c>
      <c r="B12333" s="1">
        <v>46171</v>
      </c>
      <c r="C12333">
        <v>20</v>
      </c>
      <c r="D12333">
        <v>616.98</v>
      </c>
      <c r="E12333">
        <v>44.1</v>
      </c>
      <c r="F12333" t="s">
        <v>7</v>
      </c>
      <c r="G12333" t="s">
        <v>11</v>
      </c>
      <c r="H12333" s="5">
        <f>MONTH(Tabela1[[#This Row],[data]])</f>
        <v>5</v>
      </c>
      <c r="I12333">
        <f>YEAR(Tabela1[[#This Row],[data]])</f>
        <v>2026</v>
      </c>
    </row>
    <row r="12334" spans="1:9" x14ac:dyDescent="0.25">
      <c r="A12334" t="s">
        <v>6</v>
      </c>
      <c r="B12334" s="1">
        <v>46171</v>
      </c>
      <c r="C12334">
        <v>21</v>
      </c>
      <c r="D12334">
        <v>629.58000000000004</v>
      </c>
      <c r="E12334">
        <v>39.9</v>
      </c>
      <c r="F12334" t="s">
        <v>7</v>
      </c>
      <c r="G12334" t="s">
        <v>11</v>
      </c>
      <c r="H12334" s="5">
        <f>MONTH(Tabela1[[#This Row],[data]])</f>
        <v>5</v>
      </c>
      <c r="I12334">
        <f>YEAR(Tabela1[[#This Row],[data]])</f>
        <v>2026</v>
      </c>
    </row>
    <row r="12335" spans="1:9" x14ac:dyDescent="0.25">
      <c r="A12335" t="s">
        <v>6</v>
      </c>
      <c r="B12335" s="1">
        <v>46171</v>
      </c>
      <c r="C12335">
        <v>22</v>
      </c>
      <c r="D12335">
        <v>598.5</v>
      </c>
      <c r="E12335">
        <v>31.08</v>
      </c>
      <c r="F12335" t="s">
        <v>7</v>
      </c>
      <c r="G12335" t="s">
        <v>11</v>
      </c>
      <c r="H12335" s="5">
        <f>MONTH(Tabela1[[#This Row],[data]])</f>
        <v>5</v>
      </c>
      <c r="I12335">
        <f>YEAR(Tabela1[[#This Row],[data]])</f>
        <v>2026</v>
      </c>
    </row>
    <row r="12336" spans="1:9" x14ac:dyDescent="0.25">
      <c r="A12336" t="s">
        <v>6</v>
      </c>
      <c r="B12336" s="1">
        <v>46171</v>
      </c>
      <c r="C12336">
        <v>23</v>
      </c>
      <c r="D12336">
        <v>390.18</v>
      </c>
      <c r="E12336">
        <v>0.42</v>
      </c>
      <c r="F12336" t="s">
        <v>7</v>
      </c>
      <c r="G12336" t="s">
        <v>11</v>
      </c>
      <c r="H12336" s="5">
        <f>MONTH(Tabela1[[#This Row],[data]])</f>
        <v>5</v>
      </c>
      <c r="I12336">
        <f>YEAR(Tabela1[[#This Row],[data]])</f>
        <v>2026</v>
      </c>
    </row>
    <row r="12337" spans="1:9" x14ac:dyDescent="0.25">
      <c r="A12337" t="s">
        <v>6</v>
      </c>
      <c r="B12337" s="1">
        <v>46171</v>
      </c>
      <c r="C12337">
        <v>24</v>
      </c>
      <c r="D12337">
        <v>285.18</v>
      </c>
      <c r="E12337">
        <v>0</v>
      </c>
      <c r="F12337" t="s">
        <v>7</v>
      </c>
      <c r="G12337" t="s">
        <v>11</v>
      </c>
      <c r="H12337" s="5">
        <f>MONTH(Tabela1[[#This Row],[data]])</f>
        <v>5</v>
      </c>
      <c r="I12337">
        <f>YEAR(Tabela1[[#This Row],[data]])</f>
        <v>2026</v>
      </c>
    </row>
    <row r="12338" spans="1:9" x14ac:dyDescent="0.25">
      <c r="A12338" t="s">
        <v>6</v>
      </c>
      <c r="B12338" s="1">
        <v>46172</v>
      </c>
      <c r="C12338">
        <v>1</v>
      </c>
      <c r="D12338">
        <v>249.48</v>
      </c>
      <c r="E12338">
        <v>0</v>
      </c>
      <c r="F12338" t="s">
        <v>7</v>
      </c>
      <c r="G12338" t="s">
        <v>11</v>
      </c>
      <c r="H12338" s="5">
        <f>MONTH(Tabela1[[#This Row],[data]])</f>
        <v>5</v>
      </c>
      <c r="I12338">
        <f>YEAR(Tabela1[[#This Row],[data]])</f>
        <v>2026</v>
      </c>
    </row>
    <row r="12339" spans="1:9" x14ac:dyDescent="0.25">
      <c r="A12339" t="s">
        <v>6</v>
      </c>
      <c r="B12339" s="1">
        <v>46172</v>
      </c>
      <c r="C12339">
        <v>2</v>
      </c>
      <c r="D12339">
        <v>246.12</v>
      </c>
      <c r="E12339">
        <v>0</v>
      </c>
      <c r="F12339" t="s">
        <v>7</v>
      </c>
      <c r="G12339" t="s">
        <v>11</v>
      </c>
      <c r="H12339" s="5">
        <f>MONTH(Tabela1[[#This Row],[data]])</f>
        <v>5</v>
      </c>
      <c r="I12339">
        <f>YEAR(Tabela1[[#This Row],[data]])</f>
        <v>2026</v>
      </c>
    </row>
    <row r="12340" spans="1:9" x14ac:dyDescent="0.25">
      <c r="A12340" t="s">
        <v>6</v>
      </c>
      <c r="B12340" s="1">
        <v>46172</v>
      </c>
      <c r="C12340">
        <v>3</v>
      </c>
      <c r="D12340">
        <v>244.44</v>
      </c>
      <c r="E12340">
        <v>0</v>
      </c>
      <c r="F12340" t="s">
        <v>7</v>
      </c>
      <c r="G12340" t="s">
        <v>11</v>
      </c>
      <c r="H12340" s="5">
        <f>MONTH(Tabela1[[#This Row],[data]])</f>
        <v>5</v>
      </c>
      <c r="I12340">
        <f>YEAR(Tabela1[[#This Row],[data]])</f>
        <v>2026</v>
      </c>
    </row>
    <row r="12341" spans="1:9" x14ac:dyDescent="0.25">
      <c r="A12341" t="s">
        <v>6</v>
      </c>
      <c r="B12341" s="1">
        <v>46172</v>
      </c>
      <c r="C12341">
        <v>4</v>
      </c>
      <c r="D12341">
        <v>248.64</v>
      </c>
      <c r="E12341">
        <v>0</v>
      </c>
      <c r="F12341" t="s">
        <v>7</v>
      </c>
      <c r="G12341" t="s">
        <v>11</v>
      </c>
      <c r="H12341" s="5">
        <f>MONTH(Tabela1[[#This Row],[data]])</f>
        <v>5</v>
      </c>
      <c r="I12341">
        <f>YEAR(Tabela1[[#This Row],[data]])</f>
        <v>2026</v>
      </c>
    </row>
    <row r="12342" spans="1:9" x14ac:dyDescent="0.25">
      <c r="A12342" t="s">
        <v>6</v>
      </c>
      <c r="B12342" s="1">
        <v>46172</v>
      </c>
      <c r="C12342">
        <v>5</v>
      </c>
      <c r="D12342">
        <v>242.76</v>
      </c>
      <c r="E12342">
        <v>0</v>
      </c>
      <c r="F12342" t="s">
        <v>7</v>
      </c>
      <c r="G12342" t="s">
        <v>11</v>
      </c>
      <c r="H12342" s="5">
        <f>MONTH(Tabela1[[#This Row],[data]])</f>
        <v>5</v>
      </c>
      <c r="I12342">
        <f>YEAR(Tabela1[[#This Row],[data]])</f>
        <v>2026</v>
      </c>
    </row>
    <row r="12343" spans="1:9" x14ac:dyDescent="0.25">
      <c r="A12343" t="s">
        <v>6</v>
      </c>
      <c r="B12343" s="1">
        <v>46172</v>
      </c>
      <c r="C12343">
        <v>6</v>
      </c>
      <c r="D12343">
        <v>237.3</v>
      </c>
      <c r="E12343">
        <v>0</v>
      </c>
      <c r="F12343" t="s">
        <v>7</v>
      </c>
      <c r="G12343" t="s">
        <v>11</v>
      </c>
      <c r="H12343" s="5">
        <f>MONTH(Tabela1[[#This Row],[data]])</f>
        <v>5</v>
      </c>
      <c r="I12343">
        <f>YEAR(Tabela1[[#This Row],[data]])</f>
        <v>2026</v>
      </c>
    </row>
    <row r="12344" spans="1:9" x14ac:dyDescent="0.25">
      <c r="A12344" t="s">
        <v>6</v>
      </c>
      <c r="B12344" s="1">
        <v>46172</v>
      </c>
      <c r="C12344">
        <v>7</v>
      </c>
      <c r="D12344">
        <v>238.14</v>
      </c>
      <c r="E12344">
        <v>0</v>
      </c>
      <c r="F12344" t="s">
        <v>7</v>
      </c>
      <c r="G12344" t="s">
        <v>11</v>
      </c>
      <c r="H12344" s="5">
        <f>MONTH(Tabela1[[#This Row],[data]])</f>
        <v>5</v>
      </c>
      <c r="I12344">
        <f>YEAR(Tabela1[[#This Row],[data]])</f>
        <v>2026</v>
      </c>
    </row>
    <row r="12345" spans="1:9" x14ac:dyDescent="0.25">
      <c r="A12345" t="s">
        <v>6</v>
      </c>
      <c r="B12345" s="1">
        <v>46172</v>
      </c>
      <c r="C12345">
        <v>8</v>
      </c>
      <c r="D12345">
        <v>257.88</v>
      </c>
      <c r="E12345">
        <v>0</v>
      </c>
      <c r="F12345" t="s">
        <v>7</v>
      </c>
      <c r="G12345" t="s">
        <v>11</v>
      </c>
      <c r="H12345" s="5">
        <f>MONTH(Tabela1[[#This Row],[data]])</f>
        <v>5</v>
      </c>
      <c r="I12345">
        <f>YEAR(Tabela1[[#This Row],[data]])</f>
        <v>2026</v>
      </c>
    </row>
    <row r="12346" spans="1:9" x14ac:dyDescent="0.25">
      <c r="A12346" t="s">
        <v>6</v>
      </c>
      <c r="B12346" s="1">
        <v>46172</v>
      </c>
      <c r="C12346">
        <v>9</v>
      </c>
      <c r="D12346">
        <v>319.2</v>
      </c>
      <c r="E12346">
        <v>0</v>
      </c>
      <c r="F12346" t="s">
        <v>7</v>
      </c>
      <c r="G12346" t="s">
        <v>11</v>
      </c>
      <c r="H12346" s="5">
        <f>MONTH(Tabela1[[#This Row],[data]])</f>
        <v>5</v>
      </c>
      <c r="I12346">
        <f>YEAR(Tabela1[[#This Row],[data]])</f>
        <v>2026</v>
      </c>
    </row>
    <row r="12347" spans="1:9" x14ac:dyDescent="0.25">
      <c r="A12347" t="s">
        <v>6</v>
      </c>
      <c r="B12347" s="1">
        <v>46172</v>
      </c>
      <c r="C12347">
        <v>10</v>
      </c>
      <c r="D12347">
        <v>413.28</v>
      </c>
      <c r="E12347">
        <v>1.26</v>
      </c>
      <c r="F12347" t="s">
        <v>7</v>
      </c>
      <c r="G12347" t="s">
        <v>11</v>
      </c>
      <c r="H12347" s="5">
        <f>MONTH(Tabela1[[#This Row],[data]])</f>
        <v>5</v>
      </c>
      <c r="I12347">
        <f>YEAR(Tabela1[[#This Row],[data]])</f>
        <v>2026</v>
      </c>
    </row>
    <row r="12348" spans="1:9" x14ac:dyDescent="0.25">
      <c r="A12348" t="s">
        <v>6</v>
      </c>
      <c r="B12348" s="1">
        <v>46172</v>
      </c>
      <c r="C12348">
        <v>11</v>
      </c>
      <c r="D12348">
        <v>689.22</v>
      </c>
      <c r="E12348">
        <v>100.8</v>
      </c>
      <c r="F12348" t="s">
        <v>7</v>
      </c>
      <c r="G12348" t="s">
        <v>11</v>
      </c>
      <c r="H12348" s="5">
        <f>MONTH(Tabela1[[#This Row],[data]])</f>
        <v>5</v>
      </c>
      <c r="I12348">
        <f>YEAR(Tabela1[[#This Row],[data]])</f>
        <v>2026</v>
      </c>
    </row>
    <row r="12349" spans="1:9" x14ac:dyDescent="0.25">
      <c r="A12349" t="s">
        <v>6</v>
      </c>
      <c r="B12349" s="1">
        <v>46172</v>
      </c>
      <c r="C12349">
        <v>12</v>
      </c>
      <c r="D12349">
        <v>701.82</v>
      </c>
      <c r="E12349">
        <v>111.3</v>
      </c>
      <c r="F12349" t="s">
        <v>7</v>
      </c>
      <c r="G12349" t="s">
        <v>11</v>
      </c>
      <c r="H12349" s="5">
        <f>MONTH(Tabela1[[#This Row],[data]])</f>
        <v>5</v>
      </c>
      <c r="I12349">
        <f>YEAR(Tabela1[[#This Row],[data]])</f>
        <v>2026</v>
      </c>
    </row>
    <row r="12350" spans="1:9" x14ac:dyDescent="0.25">
      <c r="A12350" t="s">
        <v>6</v>
      </c>
      <c r="B12350" s="1">
        <v>46172</v>
      </c>
      <c r="C12350">
        <v>13</v>
      </c>
      <c r="D12350">
        <v>706.86</v>
      </c>
      <c r="E12350">
        <v>127.26</v>
      </c>
      <c r="F12350" t="s">
        <v>7</v>
      </c>
      <c r="G12350" t="s">
        <v>11</v>
      </c>
      <c r="H12350" s="5">
        <f>MONTH(Tabela1[[#This Row],[data]])</f>
        <v>5</v>
      </c>
      <c r="I12350">
        <f>YEAR(Tabela1[[#This Row],[data]])</f>
        <v>2026</v>
      </c>
    </row>
    <row r="12351" spans="1:9" x14ac:dyDescent="0.25">
      <c r="A12351" t="s">
        <v>6</v>
      </c>
      <c r="B12351" s="1">
        <v>46172</v>
      </c>
      <c r="C12351">
        <v>14</v>
      </c>
      <c r="D12351">
        <v>712.32</v>
      </c>
      <c r="E12351">
        <v>126</v>
      </c>
      <c r="F12351" t="s">
        <v>7</v>
      </c>
      <c r="G12351" t="s">
        <v>11</v>
      </c>
      <c r="H12351" s="5">
        <f>MONTH(Tabela1[[#This Row],[data]])</f>
        <v>5</v>
      </c>
      <c r="I12351">
        <f>YEAR(Tabela1[[#This Row],[data]])</f>
        <v>2026</v>
      </c>
    </row>
    <row r="12352" spans="1:9" x14ac:dyDescent="0.25">
      <c r="A12352" t="s">
        <v>6</v>
      </c>
      <c r="B12352" s="1">
        <v>46172</v>
      </c>
      <c r="C12352">
        <v>15</v>
      </c>
      <c r="D12352">
        <v>706.02</v>
      </c>
      <c r="E12352">
        <v>120.54</v>
      </c>
      <c r="F12352" t="s">
        <v>7</v>
      </c>
      <c r="G12352" t="s">
        <v>11</v>
      </c>
      <c r="H12352" s="5">
        <f>MONTH(Tabela1[[#This Row],[data]])</f>
        <v>5</v>
      </c>
      <c r="I12352">
        <f>YEAR(Tabela1[[#This Row],[data]])</f>
        <v>2026</v>
      </c>
    </row>
    <row r="12353" spans="1:9" x14ac:dyDescent="0.25">
      <c r="A12353" t="s">
        <v>6</v>
      </c>
      <c r="B12353" s="1">
        <v>46172</v>
      </c>
      <c r="C12353">
        <v>16</v>
      </c>
      <c r="D12353">
        <v>708.12</v>
      </c>
      <c r="E12353">
        <v>112.98</v>
      </c>
      <c r="F12353" t="s">
        <v>7</v>
      </c>
      <c r="G12353" t="s">
        <v>11</v>
      </c>
      <c r="H12353" s="5">
        <f>MONTH(Tabela1[[#This Row],[data]])</f>
        <v>5</v>
      </c>
      <c r="I12353">
        <f>YEAR(Tabela1[[#This Row],[data]])</f>
        <v>2026</v>
      </c>
    </row>
    <row r="12354" spans="1:9" x14ac:dyDescent="0.25">
      <c r="A12354" t="s">
        <v>6</v>
      </c>
      <c r="B12354" s="1">
        <v>46172</v>
      </c>
      <c r="C12354">
        <v>17</v>
      </c>
      <c r="D12354">
        <v>703.92</v>
      </c>
      <c r="E12354">
        <v>103.74</v>
      </c>
      <c r="F12354" t="s">
        <v>7</v>
      </c>
      <c r="G12354" t="s">
        <v>11</v>
      </c>
      <c r="H12354" s="5">
        <f>MONTH(Tabela1[[#This Row],[data]])</f>
        <v>5</v>
      </c>
      <c r="I12354">
        <f>YEAR(Tabela1[[#This Row],[data]])</f>
        <v>2026</v>
      </c>
    </row>
    <row r="12355" spans="1:9" x14ac:dyDescent="0.25">
      <c r="A12355" t="s">
        <v>6</v>
      </c>
      <c r="B12355" s="1">
        <v>46172</v>
      </c>
      <c r="C12355">
        <v>18</v>
      </c>
      <c r="D12355">
        <v>721.98</v>
      </c>
      <c r="E12355">
        <v>107.1</v>
      </c>
      <c r="F12355" t="s">
        <v>7</v>
      </c>
      <c r="G12355" t="s">
        <v>11</v>
      </c>
      <c r="H12355" s="5">
        <f>MONTH(Tabela1[[#This Row],[data]])</f>
        <v>5</v>
      </c>
      <c r="I12355">
        <f>YEAR(Tabela1[[#This Row],[data]])</f>
        <v>2026</v>
      </c>
    </row>
    <row r="12356" spans="1:9" x14ac:dyDescent="0.25">
      <c r="A12356" t="s">
        <v>6</v>
      </c>
      <c r="B12356" s="1">
        <v>46172</v>
      </c>
      <c r="C12356">
        <v>19</v>
      </c>
      <c r="D12356">
        <v>742.98</v>
      </c>
      <c r="E12356">
        <v>117.6</v>
      </c>
      <c r="F12356" t="s">
        <v>7</v>
      </c>
      <c r="G12356" t="s">
        <v>11</v>
      </c>
      <c r="H12356" s="5">
        <f>MONTH(Tabela1[[#This Row],[data]])</f>
        <v>5</v>
      </c>
      <c r="I12356">
        <f>YEAR(Tabela1[[#This Row],[data]])</f>
        <v>2026</v>
      </c>
    </row>
    <row r="12357" spans="1:9" x14ac:dyDescent="0.25">
      <c r="A12357" t="s">
        <v>6</v>
      </c>
      <c r="B12357" s="1">
        <v>46172</v>
      </c>
      <c r="C12357">
        <v>20</v>
      </c>
      <c r="D12357">
        <v>733.74</v>
      </c>
      <c r="E12357">
        <v>119.7</v>
      </c>
      <c r="F12357" t="s">
        <v>7</v>
      </c>
      <c r="G12357" t="s">
        <v>11</v>
      </c>
      <c r="H12357" s="5">
        <f>MONTH(Tabela1[[#This Row],[data]])</f>
        <v>5</v>
      </c>
      <c r="I12357">
        <f>YEAR(Tabela1[[#This Row],[data]])</f>
        <v>2026</v>
      </c>
    </row>
    <row r="12358" spans="1:9" x14ac:dyDescent="0.25">
      <c r="A12358" t="s">
        <v>6</v>
      </c>
      <c r="B12358" s="1">
        <v>46172</v>
      </c>
      <c r="C12358">
        <v>21</v>
      </c>
      <c r="D12358">
        <v>660.24</v>
      </c>
      <c r="E12358">
        <v>61.32</v>
      </c>
      <c r="F12358" t="s">
        <v>7</v>
      </c>
      <c r="G12358" t="s">
        <v>11</v>
      </c>
      <c r="H12358" s="5">
        <f>MONTH(Tabela1[[#This Row],[data]])</f>
        <v>5</v>
      </c>
      <c r="I12358">
        <f>YEAR(Tabela1[[#This Row],[data]])</f>
        <v>2026</v>
      </c>
    </row>
    <row r="12359" spans="1:9" x14ac:dyDescent="0.25">
      <c r="A12359" t="s">
        <v>6</v>
      </c>
      <c r="B12359" s="1">
        <v>46172</v>
      </c>
      <c r="C12359">
        <v>22</v>
      </c>
      <c r="D12359">
        <v>625.38</v>
      </c>
      <c r="E12359">
        <v>44.52</v>
      </c>
      <c r="F12359" t="s">
        <v>7</v>
      </c>
      <c r="G12359" t="s">
        <v>11</v>
      </c>
      <c r="H12359" s="5">
        <f>MONTH(Tabela1[[#This Row],[data]])</f>
        <v>5</v>
      </c>
      <c r="I12359">
        <f>YEAR(Tabela1[[#This Row],[data]])</f>
        <v>2026</v>
      </c>
    </row>
    <row r="12360" spans="1:9" x14ac:dyDescent="0.25">
      <c r="A12360" t="s">
        <v>6</v>
      </c>
      <c r="B12360" s="1">
        <v>46172</v>
      </c>
      <c r="C12360">
        <v>23</v>
      </c>
      <c r="D12360">
        <v>420.42</v>
      </c>
      <c r="E12360">
        <v>0</v>
      </c>
      <c r="F12360" t="s">
        <v>7</v>
      </c>
      <c r="G12360" t="s">
        <v>11</v>
      </c>
      <c r="H12360" s="5">
        <f>MONTH(Tabela1[[#This Row],[data]])</f>
        <v>5</v>
      </c>
      <c r="I12360">
        <f>YEAR(Tabela1[[#This Row],[data]])</f>
        <v>2026</v>
      </c>
    </row>
    <row r="12361" spans="1:9" x14ac:dyDescent="0.25">
      <c r="A12361" t="s">
        <v>6</v>
      </c>
      <c r="B12361" s="1">
        <v>46172</v>
      </c>
      <c r="C12361">
        <v>24</v>
      </c>
      <c r="D12361">
        <v>300.72000000000003</v>
      </c>
      <c r="E12361">
        <v>0</v>
      </c>
      <c r="F12361" t="s">
        <v>7</v>
      </c>
      <c r="G12361" t="s">
        <v>11</v>
      </c>
      <c r="H12361" s="5">
        <f>MONTH(Tabela1[[#This Row],[data]])</f>
        <v>5</v>
      </c>
      <c r="I12361">
        <f>YEAR(Tabela1[[#This Row],[data]])</f>
        <v>2026</v>
      </c>
    </row>
    <row r="12362" spans="1:9" x14ac:dyDescent="0.25">
      <c r="A12362" t="s">
        <v>6</v>
      </c>
      <c r="B12362" s="1">
        <v>46173</v>
      </c>
      <c r="C12362">
        <v>1</v>
      </c>
      <c r="D12362">
        <v>271.74</v>
      </c>
      <c r="E12362">
        <v>0</v>
      </c>
      <c r="F12362" t="s">
        <v>7</v>
      </c>
      <c r="G12362" t="s">
        <v>12</v>
      </c>
      <c r="H12362" s="5">
        <f>MONTH(Tabela1[[#This Row],[data]])</f>
        <v>5</v>
      </c>
      <c r="I12362">
        <f>YEAR(Tabela1[[#This Row],[data]])</f>
        <v>2026</v>
      </c>
    </row>
    <row r="12363" spans="1:9" x14ac:dyDescent="0.25">
      <c r="A12363" t="s">
        <v>6</v>
      </c>
      <c r="B12363" s="1">
        <v>46173</v>
      </c>
      <c r="C12363">
        <v>2</v>
      </c>
      <c r="D12363">
        <v>247.38</v>
      </c>
      <c r="E12363">
        <v>0</v>
      </c>
      <c r="F12363" t="s">
        <v>7</v>
      </c>
      <c r="G12363" t="s">
        <v>12</v>
      </c>
      <c r="H12363" s="5">
        <f>MONTH(Tabela1[[#This Row],[data]])</f>
        <v>5</v>
      </c>
      <c r="I12363">
        <f>YEAR(Tabela1[[#This Row],[data]])</f>
        <v>2026</v>
      </c>
    </row>
    <row r="12364" spans="1:9" x14ac:dyDescent="0.25">
      <c r="A12364" t="s">
        <v>6</v>
      </c>
      <c r="B12364" s="1">
        <v>46173</v>
      </c>
      <c r="C12364">
        <v>3</v>
      </c>
      <c r="D12364">
        <v>238.14</v>
      </c>
      <c r="E12364">
        <v>0</v>
      </c>
      <c r="F12364" t="s">
        <v>7</v>
      </c>
      <c r="G12364" t="s">
        <v>12</v>
      </c>
      <c r="H12364" s="5">
        <f>MONTH(Tabela1[[#This Row],[data]])</f>
        <v>5</v>
      </c>
      <c r="I12364">
        <f>YEAR(Tabela1[[#This Row],[data]])</f>
        <v>2026</v>
      </c>
    </row>
    <row r="12365" spans="1:9" x14ac:dyDescent="0.25">
      <c r="A12365" t="s">
        <v>6</v>
      </c>
      <c r="B12365" s="1">
        <v>46173</v>
      </c>
      <c r="C12365">
        <v>4</v>
      </c>
      <c r="D12365">
        <v>236.04</v>
      </c>
      <c r="E12365">
        <v>0</v>
      </c>
      <c r="F12365" t="s">
        <v>7</v>
      </c>
      <c r="G12365" t="s">
        <v>12</v>
      </c>
      <c r="H12365" s="5">
        <f>MONTH(Tabela1[[#This Row],[data]])</f>
        <v>5</v>
      </c>
      <c r="I12365">
        <f>YEAR(Tabela1[[#This Row],[data]])</f>
        <v>2026</v>
      </c>
    </row>
    <row r="12366" spans="1:9" x14ac:dyDescent="0.25">
      <c r="A12366" t="s">
        <v>6</v>
      </c>
      <c r="B12366" s="1">
        <v>46173</v>
      </c>
      <c r="C12366">
        <v>5</v>
      </c>
      <c r="D12366">
        <v>234.36</v>
      </c>
      <c r="E12366">
        <v>0</v>
      </c>
      <c r="F12366" t="s">
        <v>7</v>
      </c>
      <c r="G12366" t="s">
        <v>12</v>
      </c>
      <c r="H12366" s="5">
        <f>MONTH(Tabela1[[#This Row],[data]])</f>
        <v>5</v>
      </c>
      <c r="I12366">
        <f>YEAR(Tabela1[[#This Row],[data]])</f>
        <v>2026</v>
      </c>
    </row>
    <row r="12367" spans="1:9" x14ac:dyDescent="0.25">
      <c r="A12367" t="s">
        <v>6</v>
      </c>
      <c r="B12367" s="1">
        <v>46173</v>
      </c>
      <c r="C12367">
        <v>6</v>
      </c>
      <c r="D12367">
        <v>232.68</v>
      </c>
      <c r="E12367">
        <v>0</v>
      </c>
      <c r="F12367" t="s">
        <v>7</v>
      </c>
      <c r="G12367" t="s">
        <v>12</v>
      </c>
      <c r="H12367" s="5">
        <f>MONTH(Tabela1[[#This Row],[data]])</f>
        <v>5</v>
      </c>
      <c r="I12367">
        <f>YEAR(Tabela1[[#This Row],[data]])</f>
        <v>2026</v>
      </c>
    </row>
    <row r="12368" spans="1:9" x14ac:dyDescent="0.25">
      <c r="A12368" t="s">
        <v>6</v>
      </c>
      <c r="B12368" s="1">
        <v>46173</v>
      </c>
      <c r="C12368">
        <v>7</v>
      </c>
      <c r="D12368">
        <v>222.6</v>
      </c>
      <c r="E12368">
        <v>0</v>
      </c>
      <c r="F12368" t="s">
        <v>7</v>
      </c>
      <c r="G12368" t="s">
        <v>12</v>
      </c>
      <c r="H12368" s="5">
        <f>MONTH(Tabela1[[#This Row],[data]])</f>
        <v>5</v>
      </c>
      <c r="I12368">
        <f>YEAR(Tabela1[[#This Row],[data]])</f>
        <v>2026</v>
      </c>
    </row>
    <row r="12369" spans="1:9" x14ac:dyDescent="0.25">
      <c r="A12369" t="s">
        <v>6</v>
      </c>
      <c r="B12369" s="1">
        <v>46173</v>
      </c>
      <c r="C12369">
        <v>8</v>
      </c>
      <c r="D12369">
        <v>218.4</v>
      </c>
      <c r="E12369">
        <v>0</v>
      </c>
      <c r="F12369" t="s">
        <v>7</v>
      </c>
      <c r="G12369" t="s">
        <v>12</v>
      </c>
      <c r="H12369" s="5">
        <f>MONTH(Tabela1[[#This Row],[data]])</f>
        <v>5</v>
      </c>
      <c r="I12369">
        <f>YEAR(Tabela1[[#This Row],[data]])</f>
        <v>2026</v>
      </c>
    </row>
    <row r="12370" spans="1:9" x14ac:dyDescent="0.25">
      <c r="A12370" t="s">
        <v>6</v>
      </c>
      <c r="B12370" s="1">
        <v>46173</v>
      </c>
      <c r="C12370">
        <v>9</v>
      </c>
      <c r="D12370">
        <v>283.92</v>
      </c>
      <c r="E12370">
        <v>0</v>
      </c>
      <c r="F12370" t="s">
        <v>7</v>
      </c>
      <c r="G12370" t="s">
        <v>12</v>
      </c>
      <c r="H12370" s="5">
        <f>MONTH(Tabela1[[#This Row],[data]])</f>
        <v>5</v>
      </c>
      <c r="I12370">
        <f>YEAR(Tabela1[[#This Row],[data]])</f>
        <v>2026</v>
      </c>
    </row>
    <row r="12371" spans="1:9" x14ac:dyDescent="0.25">
      <c r="A12371" t="s">
        <v>6</v>
      </c>
      <c r="B12371" s="1">
        <v>46173</v>
      </c>
      <c r="C12371">
        <v>10</v>
      </c>
      <c r="D12371">
        <v>340.2</v>
      </c>
      <c r="E12371">
        <v>1.68</v>
      </c>
      <c r="F12371" t="s">
        <v>7</v>
      </c>
      <c r="G12371" t="s">
        <v>12</v>
      </c>
      <c r="H12371" s="5">
        <f>MONTH(Tabela1[[#This Row],[data]])</f>
        <v>5</v>
      </c>
      <c r="I12371">
        <f>YEAR(Tabela1[[#This Row],[data]])</f>
        <v>2026</v>
      </c>
    </row>
    <row r="12372" spans="1:9" x14ac:dyDescent="0.25">
      <c r="A12372" t="s">
        <v>6</v>
      </c>
      <c r="B12372" s="1">
        <v>46173</v>
      </c>
      <c r="C12372">
        <v>11</v>
      </c>
      <c r="D12372">
        <v>422.52</v>
      </c>
      <c r="E12372">
        <v>10.92</v>
      </c>
      <c r="F12372" t="s">
        <v>7</v>
      </c>
      <c r="G12372" t="s">
        <v>12</v>
      </c>
      <c r="H12372" s="5">
        <f>MONTH(Tabela1[[#This Row],[data]])</f>
        <v>5</v>
      </c>
      <c r="I12372">
        <f>YEAR(Tabela1[[#This Row],[data]])</f>
        <v>2026</v>
      </c>
    </row>
    <row r="12373" spans="1:9" x14ac:dyDescent="0.25">
      <c r="A12373" t="s">
        <v>6</v>
      </c>
      <c r="B12373" s="1">
        <v>46173</v>
      </c>
      <c r="C12373">
        <v>12</v>
      </c>
      <c r="D12373">
        <v>507.78</v>
      </c>
      <c r="E12373">
        <v>16.8</v>
      </c>
      <c r="F12373" t="s">
        <v>7</v>
      </c>
      <c r="G12373" t="s">
        <v>12</v>
      </c>
      <c r="H12373" s="5">
        <f>MONTH(Tabela1[[#This Row],[data]])</f>
        <v>5</v>
      </c>
      <c r="I12373">
        <f>YEAR(Tabela1[[#This Row],[data]])</f>
        <v>2026</v>
      </c>
    </row>
    <row r="12374" spans="1:9" x14ac:dyDescent="0.25">
      <c r="A12374" t="s">
        <v>6</v>
      </c>
      <c r="B12374" s="1">
        <v>46173</v>
      </c>
      <c r="C12374">
        <v>13</v>
      </c>
      <c r="D12374">
        <v>771.96</v>
      </c>
      <c r="E12374">
        <v>123.48</v>
      </c>
      <c r="F12374" t="s">
        <v>7</v>
      </c>
      <c r="G12374" t="s">
        <v>12</v>
      </c>
      <c r="H12374" s="5">
        <f>MONTH(Tabela1[[#This Row],[data]])</f>
        <v>5</v>
      </c>
      <c r="I12374">
        <f>YEAR(Tabela1[[#This Row],[data]])</f>
        <v>2026</v>
      </c>
    </row>
    <row r="12375" spans="1:9" x14ac:dyDescent="0.25">
      <c r="A12375" t="s">
        <v>6</v>
      </c>
      <c r="B12375" s="1">
        <v>46173</v>
      </c>
      <c r="C12375">
        <v>14</v>
      </c>
      <c r="D12375">
        <v>805.56</v>
      </c>
      <c r="E12375">
        <v>149.52000000000001</v>
      </c>
      <c r="F12375" t="s">
        <v>7</v>
      </c>
      <c r="G12375" t="s">
        <v>12</v>
      </c>
      <c r="H12375" s="5">
        <f>MONTH(Tabela1[[#This Row],[data]])</f>
        <v>5</v>
      </c>
      <c r="I12375">
        <f>YEAR(Tabela1[[#This Row],[data]])</f>
        <v>2026</v>
      </c>
    </row>
    <row r="12376" spans="1:9" x14ac:dyDescent="0.25">
      <c r="A12376" t="s">
        <v>6</v>
      </c>
      <c r="B12376" s="1">
        <v>46173</v>
      </c>
      <c r="C12376">
        <v>15</v>
      </c>
      <c r="D12376">
        <v>816.06</v>
      </c>
      <c r="E12376">
        <v>152.88</v>
      </c>
      <c r="F12376" t="s">
        <v>7</v>
      </c>
      <c r="G12376" t="s">
        <v>12</v>
      </c>
      <c r="H12376" s="5">
        <f>MONTH(Tabela1[[#This Row],[data]])</f>
        <v>5</v>
      </c>
      <c r="I12376">
        <f>YEAR(Tabela1[[#This Row],[data]])</f>
        <v>2026</v>
      </c>
    </row>
    <row r="12377" spans="1:9" x14ac:dyDescent="0.25">
      <c r="A12377" t="s">
        <v>6</v>
      </c>
      <c r="B12377" s="1">
        <v>46173</v>
      </c>
      <c r="C12377">
        <v>16</v>
      </c>
      <c r="D12377">
        <v>808.5</v>
      </c>
      <c r="E12377">
        <v>154.13999999999999</v>
      </c>
      <c r="F12377" t="s">
        <v>7</v>
      </c>
      <c r="G12377" t="s">
        <v>12</v>
      </c>
      <c r="H12377" s="5">
        <f>MONTH(Tabela1[[#This Row],[data]])</f>
        <v>5</v>
      </c>
      <c r="I12377">
        <f>YEAR(Tabela1[[#This Row],[data]])</f>
        <v>2026</v>
      </c>
    </row>
    <row r="12378" spans="1:9" x14ac:dyDescent="0.25">
      <c r="A12378" t="s">
        <v>6</v>
      </c>
      <c r="B12378" s="1">
        <v>46173</v>
      </c>
      <c r="C12378">
        <v>17</v>
      </c>
      <c r="D12378">
        <v>791.28</v>
      </c>
      <c r="E12378">
        <v>154.13999999999999</v>
      </c>
      <c r="F12378" t="s">
        <v>7</v>
      </c>
      <c r="G12378" t="s">
        <v>12</v>
      </c>
      <c r="H12378" s="5">
        <f>MONTH(Tabela1[[#This Row],[data]])</f>
        <v>5</v>
      </c>
      <c r="I12378">
        <f>YEAR(Tabela1[[#This Row],[data]])</f>
        <v>2026</v>
      </c>
    </row>
    <row r="12379" spans="1:9" x14ac:dyDescent="0.25">
      <c r="A12379" t="s">
        <v>6</v>
      </c>
      <c r="B12379" s="1">
        <v>46173</v>
      </c>
      <c r="C12379">
        <v>18</v>
      </c>
      <c r="D12379">
        <v>778.26</v>
      </c>
      <c r="E12379">
        <v>160.44</v>
      </c>
      <c r="F12379" t="s">
        <v>7</v>
      </c>
      <c r="G12379" t="s">
        <v>12</v>
      </c>
      <c r="H12379" s="5">
        <f>MONTH(Tabela1[[#This Row],[data]])</f>
        <v>5</v>
      </c>
      <c r="I12379">
        <f>YEAR(Tabela1[[#This Row],[data]])</f>
        <v>2026</v>
      </c>
    </row>
    <row r="12380" spans="1:9" x14ac:dyDescent="0.25">
      <c r="A12380" t="s">
        <v>6</v>
      </c>
      <c r="B12380" s="1">
        <v>46173</v>
      </c>
      <c r="C12380">
        <v>19</v>
      </c>
      <c r="D12380">
        <v>788.34</v>
      </c>
      <c r="E12380">
        <v>135.24</v>
      </c>
      <c r="F12380" t="s">
        <v>7</v>
      </c>
      <c r="G12380" t="s">
        <v>12</v>
      </c>
      <c r="H12380" s="5">
        <f>MONTH(Tabela1[[#This Row],[data]])</f>
        <v>5</v>
      </c>
      <c r="I12380">
        <f>YEAR(Tabela1[[#This Row],[data]])</f>
        <v>2026</v>
      </c>
    </row>
    <row r="12381" spans="1:9" x14ac:dyDescent="0.25">
      <c r="A12381" t="s">
        <v>6</v>
      </c>
      <c r="B12381" s="1">
        <v>46173</v>
      </c>
      <c r="C12381">
        <v>20</v>
      </c>
      <c r="D12381">
        <v>791.28</v>
      </c>
      <c r="E12381">
        <v>137.34</v>
      </c>
      <c r="F12381" t="s">
        <v>7</v>
      </c>
      <c r="G12381" t="s">
        <v>12</v>
      </c>
      <c r="H12381" s="5">
        <f>MONTH(Tabela1[[#This Row],[data]])</f>
        <v>5</v>
      </c>
      <c r="I12381">
        <f>YEAR(Tabela1[[#This Row],[data]])</f>
        <v>2026</v>
      </c>
    </row>
    <row r="12382" spans="1:9" x14ac:dyDescent="0.25">
      <c r="A12382" t="s">
        <v>6</v>
      </c>
      <c r="B12382" s="1">
        <v>46173</v>
      </c>
      <c r="C12382">
        <v>21</v>
      </c>
      <c r="D12382">
        <v>623.70000000000005</v>
      </c>
      <c r="E12382">
        <v>61.74</v>
      </c>
      <c r="F12382" t="s">
        <v>7</v>
      </c>
      <c r="G12382" t="s">
        <v>12</v>
      </c>
      <c r="H12382" s="5">
        <f>MONTH(Tabela1[[#This Row],[data]])</f>
        <v>5</v>
      </c>
      <c r="I12382">
        <f>YEAR(Tabela1[[#This Row],[data]])</f>
        <v>2026</v>
      </c>
    </row>
    <row r="12383" spans="1:9" x14ac:dyDescent="0.25">
      <c r="A12383" t="s">
        <v>6</v>
      </c>
      <c r="B12383" s="1">
        <v>46173</v>
      </c>
      <c r="C12383">
        <v>22</v>
      </c>
      <c r="D12383">
        <v>491.4</v>
      </c>
      <c r="E12383">
        <v>31.08</v>
      </c>
      <c r="F12383" t="s">
        <v>7</v>
      </c>
      <c r="G12383" t="s">
        <v>12</v>
      </c>
      <c r="H12383" s="5">
        <f>MONTH(Tabela1[[#This Row],[data]])</f>
        <v>5</v>
      </c>
      <c r="I12383">
        <f>YEAR(Tabela1[[#This Row],[data]])</f>
        <v>2026</v>
      </c>
    </row>
    <row r="12384" spans="1:9" x14ac:dyDescent="0.25">
      <c r="A12384" t="s">
        <v>6</v>
      </c>
      <c r="B12384" s="1">
        <v>46173</v>
      </c>
      <c r="C12384">
        <v>23</v>
      </c>
      <c r="D12384">
        <v>349.02</v>
      </c>
      <c r="E12384">
        <v>0</v>
      </c>
      <c r="F12384" t="s">
        <v>7</v>
      </c>
      <c r="G12384" t="s">
        <v>12</v>
      </c>
      <c r="H12384" s="5">
        <f>MONTH(Tabela1[[#This Row],[data]])</f>
        <v>5</v>
      </c>
      <c r="I12384">
        <f>YEAR(Tabela1[[#This Row],[data]])</f>
        <v>2026</v>
      </c>
    </row>
    <row r="12385" spans="1:9" x14ac:dyDescent="0.25">
      <c r="A12385" t="s">
        <v>6</v>
      </c>
      <c r="B12385" s="1">
        <v>46173</v>
      </c>
      <c r="C12385">
        <v>24</v>
      </c>
      <c r="D12385">
        <v>276.77999999999997</v>
      </c>
      <c r="E12385">
        <v>0</v>
      </c>
      <c r="F12385" t="s">
        <v>7</v>
      </c>
      <c r="G12385" t="s">
        <v>12</v>
      </c>
      <c r="H12385" s="5">
        <f>MONTH(Tabela1[[#This Row],[data]])</f>
        <v>5</v>
      </c>
      <c r="I12385">
        <f>YEAR(Tabela1[[#This Row],[data]])</f>
        <v>2026</v>
      </c>
    </row>
    <row r="12386" spans="1:9" x14ac:dyDescent="0.25">
      <c r="A12386" t="s">
        <v>6</v>
      </c>
      <c r="B12386" s="1">
        <v>46174</v>
      </c>
      <c r="C12386">
        <v>1</v>
      </c>
      <c r="D12386">
        <v>257.45999999999998</v>
      </c>
      <c r="E12386">
        <v>0</v>
      </c>
      <c r="F12386" t="s">
        <v>7</v>
      </c>
      <c r="G12386" t="s">
        <v>11</v>
      </c>
      <c r="H12386" s="5">
        <f>MONTH(Tabela1[[#This Row],[data]])</f>
        <v>6</v>
      </c>
      <c r="I12386">
        <f>YEAR(Tabela1[[#This Row],[data]])</f>
        <v>2026</v>
      </c>
    </row>
    <row r="12387" spans="1:9" x14ac:dyDescent="0.25">
      <c r="A12387" t="s">
        <v>6</v>
      </c>
      <c r="B12387" s="1">
        <v>46174</v>
      </c>
      <c r="C12387">
        <v>2</v>
      </c>
      <c r="D12387">
        <v>244.86</v>
      </c>
      <c r="E12387">
        <v>0</v>
      </c>
      <c r="F12387" t="s">
        <v>7</v>
      </c>
      <c r="G12387" t="s">
        <v>11</v>
      </c>
      <c r="H12387" s="5">
        <f>MONTH(Tabela1[[#This Row],[data]])</f>
        <v>6</v>
      </c>
      <c r="I12387">
        <f>YEAR(Tabela1[[#This Row],[data]])</f>
        <v>2026</v>
      </c>
    </row>
    <row r="12388" spans="1:9" x14ac:dyDescent="0.25">
      <c r="A12388" t="s">
        <v>6</v>
      </c>
      <c r="B12388" s="1">
        <v>46174</v>
      </c>
      <c r="C12388">
        <v>3</v>
      </c>
      <c r="D12388">
        <v>236.46</v>
      </c>
      <c r="E12388">
        <v>0</v>
      </c>
      <c r="F12388" t="s">
        <v>7</v>
      </c>
      <c r="G12388" t="s">
        <v>11</v>
      </c>
      <c r="H12388" s="5">
        <f>MONTH(Tabela1[[#This Row],[data]])</f>
        <v>6</v>
      </c>
      <c r="I12388">
        <f>YEAR(Tabela1[[#This Row],[data]])</f>
        <v>2026</v>
      </c>
    </row>
    <row r="12389" spans="1:9" x14ac:dyDescent="0.25">
      <c r="A12389" t="s">
        <v>6</v>
      </c>
      <c r="B12389" s="1">
        <v>46174</v>
      </c>
      <c r="C12389">
        <v>4</v>
      </c>
      <c r="D12389">
        <v>244.86</v>
      </c>
      <c r="E12389">
        <v>0</v>
      </c>
      <c r="F12389" t="s">
        <v>7</v>
      </c>
      <c r="G12389" t="s">
        <v>11</v>
      </c>
      <c r="H12389" s="5">
        <f>MONTH(Tabela1[[#This Row],[data]])</f>
        <v>6</v>
      </c>
      <c r="I12389">
        <f>YEAR(Tabela1[[#This Row],[data]])</f>
        <v>2026</v>
      </c>
    </row>
    <row r="12390" spans="1:9" x14ac:dyDescent="0.25">
      <c r="A12390" t="s">
        <v>6</v>
      </c>
      <c r="B12390" s="1">
        <v>46174</v>
      </c>
      <c r="C12390">
        <v>5</v>
      </c>
      <c r="D12390">
        <v>241.92</v>
      </c>
      <c r="E12390">
        <v>0</v>
      </c>
      <c r="F12390" t="s">
        <v>7</v>
      </c>
      <c r="G12390" t="s">
        <v>11</v>
      </c>
      <c r="H12390" s="5">
        <f>MONTH(Tabela1[[#This Row],[data]])</f>
        <v>6</v>
      </c>
      <c r="I12390">
        <f>YEAR(Tabela1[[#This Row],[data]])</f>
        <v>2026</v>
      </c>
    </row>
    <row r="12391" spans="1:9" x14ac:dyDescent="0.25">
      <c r="A12391" t="s">
        <v>6</v>
      </c>
      <c r="B12391" s="1">
        <v>46174</v>
      </c>
      <c r="C12391">
        <v>6</v>
      </c>
      <c r="D12391">
        <v>239.82</v>
      </c>
      <c r="E12391">
        <v>0</v>
      </c>
      <c r="F12391" t="s">
        <v>7</v>
      </c>
      <c r="G12391" t="s">
        <v>11</v>
      </c>
      <c r="H12391" s="5">
        <f>MONTH(Tabela1[[#This Row],[data]])</f>
        <v>6</v>
      </c>
      <c r="I12391">
        <f>YEAR(Tabela1[[#This Row],[data]])</f>
        <v>2026</v>
      </c>
    </row>
    <row r="12392" spans="1:9" x14ac:dyDescent="0.25">
      <c r="A12392" t="s">
        <v>6</v>
      </c>
      <c r="B12392" s="1">
        <v>46174</v>
      </c>
      <c r="C12392">
        <v>7</v>
      </c>
      <c r="D12392">
        <v>259.56</v>
      </c>
      <c r="E12392">
        <v>0</v>
      </c>
      <c r="F12392" t="s">
        <v>7</v>
      </c>
      <c r="G12392" t="s">
        <v>11</v>
      </c>
      <c r="H12392" s="5">
        <f>MONTH(Tabela1[[#This Row],[data]])</f>
        <v>6</v>
      </c>
      <c r="I12392">
        <f>YEAR(Tabela1[[#This Row],[data]])</f>
        <v>2026</v>
      </c>
    </row>
    <row r="12393" spans="1:9" x14ac:dyDescent="0.25">
      <c r="A12393" t="s">
        <v>6</v>
      </c>
      <c r="B12393" s="1">
        <v>46174</v>
      </c>
      <c r="C12393">
        <v>8</v>
      </c>
      <c r="D12393">
        <v>266.27999999999997</v>
      </c>
      <c r="E12393">
        <v>0</v>
      </c>
      <c r="F12393" t="s">
        <v>7</v>
      </c>
      <c r="G12393" t="s">
        <v>11</v>
      </c>
      <c r="H12393" s="5">
        <f>MONTH(Tabela1[[#This Row],[data]])</f>
        <v>6</v>
      </c>
      <c r="I12393">
        <f>YEAR(Tabela1[[#This Row],[data]])</f>
        <v>2026</v>
      </c>
    </row>
    <row r="12394" spans="1:9" x14ac:dyDescent="0.25">
      <c r="A12394" t="s">
        <v>6</v>
      </c>
      <c r="B12394" s="1">
        <v>46174</v>
      </c>
      <c r="C12394">
        <v>9</v>
      </c>
      <c r="D12394">
        <v>332.64</v>
      </c>
      <c r="E12394">
        <v>0</v>
      </c>
      <c r="F12394" t="s">
        <v>7</v>
      </c>
      <c r="G12394" t="s">
        <v>11</v>
      </c>
      <c r="H12394" s="5">
        <f>MONTH(Tabela1[[#This Row],[data]])</f>
        <v>6</v>
      </c>
      <c r="I12394">
        <f>YEAR(Tabela1[[#This Row],[data]])</f>
        <v>2026</v>
      </c>
    </row>
    <row r="12395" spans="1:9" x14ac:dyDescent="0.25">
      <c r="A12395" t="s">
        <v>6</v>
      </c>
      <c r="B12395" s="1">
        <v>46174</v>
      </c>
      <c r="C12395">
        <v>10</v>
      </c>
      <c r="D12395">
        <v>413.7</v>
      </c>
      <c r="E12395">
        <v>5.88</v>
      </c>
      <c r="F12395" t="s">
        <v>7</v>
      </c>
      <c r="G12395" t="s">
        <v>11</v>
      </c>
      <c r="H12395" s="5">
        <f>MONTH(Tabela1[[#This Row],[data]])</f>
        <v>6</v>
      </c>
      <c r="I12395">
        <f>YEAR(Tabela1[[#This Row],[data]])</f>
        <v>2026</v>
      </c>
    </row>
    <row r="12396" spans="1:9" x14ac:dyDescent="0.25">
      <c r="A12396" t="s">
        <v>6</v>
      </c>
      <c r="B12396" s="1">
        <v>46174</v>
      </c>
      <c r="C12396">
        <v>11</v>
      </c>
      <c r="D12396">
        <v>551.88</v>
      </c>
      <c r="E12396">
        <v>51.66</v>
      </c>
      <c r="F12396" t="s">
        <v>7</v>
      </c>
      <c r="G12396" t="s">
        <v>11</v>
      </c>
      <c r="H12396" s="5">
        <f>MONTH(Tabela1[[#This Row],[data]])</f>
        <v>6</v>
      </c>
      <c r="I12396">
        <f>YEAR(Tabela1[[#This Row],[data]])</f>
        <v>2026</v>
      </c>
    </row>
    <row r="12397" spans="1:9" x14ac:dyDescent="0.25">
      <c r="A12397" t="s">
        <v>6</v>
      </c>
      <c r="B12397" s="1">
        <v>46174</v>
      </c>
      <c r="C12397">
        <v>12</v>
      </c>
      <c r="D12397">
        <v>784.56</v>
      </c>
      <c r="E12397">
        <v>172.2</v>
      </c>
      <c r="F12397" t="s">
        <v>7</v>
      </c>
      <c r="G12397" t="s">
        <v>11</v>
      </c>
      <c r="H12397" s="5">
        <f>MONTH(Tabela1[[#This Row],[data]])</f>
        <v>6</v>
      </c>
      <c r="I12397">
        <f>YEAR(Tabela1[[#This Row],[data]])</f>
        <v>2026</v>
      </c>
    </row>
    <row r="12398" spans="1:9" x14ac:dyDescent="0.25">
      <c r="A12398" t="s">
        <v>6</v>
      </c>
      <c r="B12398" s="1">
        <v>46174</v>
      </c>
      <c r="C12398">
        <v>13</v>
      </c>
      <c r="D12398">
        <v>775.74</v>
      </c>
      <c r="E12398">
        <v>172.62</v>
      </c>
      <c r="F12398" t="s">
        <v>7</v>
      </c>
      <c r="G12398" t="s">
        <v>11</v>
      </c>
      <c r="H12398" s="5">
        <f>MONTH(Tabela1[[#This Row],[data]])</f>
        <v>6</v>
      </c>
      <c r="I12398">
        <f>YEAR(Tabela1[[#This Row],[data]])</f>
        <v>2026</v>
      </c>
    </row>
    <row r="12399" spans="1:9" x14ac:dyDescent="0.25">
      <c r="A12399" t="s">
        <v>6</v>
      </c>
      <c r="B12399" s="1">
        <v>46174</v>
      </c>
      <c r="C12399">
        <v>14</v>
      </c>
      <c r="D12399">
        <v>793.8</v>
      </c>
      <c r="E12399">
        <v>163.80000000000001</v>
      </c>
      <c r="F12399" t="s">
        <v>7</v>
      </c>
      <c r="G12399" t="s">
        <v>11</v>
      </c>
      <c r="H12399" s="5">
        <f>MONTH(Tabela1[[#This Row],[data]])</f>
        <v>6</v>
      </c>
      <c r="I12399">
        <f>YEAR(Tabela1[[#This Row],[data]])</f>
        <v>2026</v>
      </c>
    </row>
    <row r="12400" spans="1:9" x14ac:dyDescent="0.25">
      <c r="A12400" t="s">
        <v>6</v>
      </c>
      <c r="B12400" s="1">
        <v>46174</v>
      </c>
      <c r="C12400">
        <v>15</v>
      </c>
      <c r="D12400">
        <v>790.02</v>
      </c>
      <c r="E12400">
        <v>160.02000000000001</v>
      </c>
      <c r="F12400" t="s">
        <v>7</v>
      </c>
      <c r="G12400" t="s">
        <v>11</v>
      </c>
      <c r="H12400" s="5">
        <f>MONTH(Tabela1[[#This Row],[data]])</f>
        <v>6</v>
      </c>
      <c r="I12400">
        <f>YEAR(Tabela1[[#This Row],[data]])</f>
        <v>2026</v>
      </c>
    </row>
    <row r="12401" spans="1:9" x14ac:dyDescent="0.25">
      <c r="A12401" t="s">
        <v>6</v>
      </c>
      <c r="B12401" s="1">
        <v>46174</v>
      </c>
      <c r="C12401">
        <v>16</v>
      </c>
      <c r="D12401">
        <v>793.8</v>
      </c>
      <c r="E12401">
        <v>164.64</v>
      </c>
      <c r="F12401" t="s">
        <v>7</v>
      </c>
      <c r="G12401" t="s">
        <v>11</v>
      </c>
      <c r="H12401" s="5">
        <f>MONTH(Tabela1[[#This Row],[data]])</f>
        <v>6</v>
      </c>
      <c r="I12401">
        <f>YEAR(Tabela1[[#This Row],[data]])</f>
        <v>2026</v>
      </c>
    </row>
    <row r="12402" spans="1:9" x14ac:dyDescent="0.25">
      <c r="A12402" t="s">
        <v>6</v>
      </c>
      <c r="B12402" s="1">
        <v>46174</v>
      </c>
      <c r="C12402">
        <v>17</v>
      </c>
      <c r="D12402">
        <v>765.66</v>
      </c>
      <c r="E12402">
        <v>149.1</v>
      </c>
      <c r="F12402" t="s">
        <v>7</v>
      </c>
      <c r="G12402" t="s">
        <v>11</v>
      </c>
      <c r="H12402" s="5">
        <f>MONTH(Tabela1[[#This Row],[data]])</f>
        <v>6</v>
      </c>
      <c r="I12402">
        <f>YEAR(Tabela1[[#This Row],[data]])</f>
        <v>2026</v>
      </c>
    </row>
    <row r="12403" spans="1:9" x14ac:dyDescent="0.25">
      <c r="A12403" t="s">
        <v>6</v>
      </c>
      <c r="B12403" s="1">
        <v>46174</v>
      </c>
      <c r="C12403">
        <v>18</v>
      </c>
      <c r="D12403">
        <v>764.82</v>
      </c>
      <c r="E12403">
        <v>154.56</v>
      </c>
      <c r="F12403" t="s">
        <v>7</v>
      </c>
      <c r="G12403" t="s">
        <v>11</v>
      </c>
      <c r="H12403" s="5">
        <f>MONTH(Tabela1[[#This Row],[data]])</f>
        <v>6</v>
      </c>
      <c r="I12403">
        <f>YEAR(Tabela1[[#This Row],[data]])</f>
        <v>2026</v>
      </c>
    </row>
    <row r="12404" spans="1:9" x14ac:dyDescent="0.25">
      <c r="A12404" t="s">
        <v>6</v>
      </c>
      <c r="B12404" s="1">
        <v>46174</v>
      </c>
      <c r="C12404">
        <v>19</v>
      </c>
      <c r="D12404">
        <v>633.36</v>
      </c>
      <c r="E12404">
        <v>50.82</v>
      </c>
      <c r="F12404" t="s">
        <v>7</v>
      </c>
      <c r="G12404" t="s">
        <v>11</v>
      </c>
      <c r="H12404" s="5">
        <f>MONTH(Tabela1[[#This Row],[data]])</f>
        <v>6</v>
      </c>
      <c r="I12404">
        <f>YEAR(Tabela1[[#This Row],[data]])</f>
        <v>2026</v>
      </c>
    </row>
    <row r="12405" spans="1:9" x14ac:dyDescent="0.25">
      <c r="A12405" t="s">
        <v>6</v>
      </c>
      <c r="B12405" s="1">
        <v>46174</v>
      </c>
      <c r="C12405">
        <v>20</v>
      </c>
      <c r="D12405">
        <v>607.74</v>
      </c>
      <c r="E12405">
        <v>49.14</v>
      </c>
      <c r="F12405" t="s">
        <v>7</v>
      </c>
      <c r="G12405" t="s">
        <v>11</v>
      </c>
      <c r="H12405" s="5">
        <f>MONTH(Tabela1[[#This Row],[data]])</f>
        <v>6</v>
      </c>
      <c r="I12405">
        <f>YEAR(Tabela1[[#This Row],[data]])</f>
        <v>2026</v>
      </c>
    </row>
    <row r="12406" spans="1:9" x14ac:dyDescent="0.25">
      <c r="A12406" t="s">
        <v>6</v>
      </c>
      <c r="B12406" s="1">
        <v>46174</v>
      </c>
      <c r="C12406">
        <v>21</v>
      </c>
      <c r="D12406">
        <v>600.6</v>
      </c>
      <c r="E12406">
        <v>40.74</v>
      </c>
      <c r="F12406" t="s">
        <v>7</v>
      </c>
      <c r="G12406" t="s">
        <v>11</v>
      </c>
      <c r="H12406" s="5">
        <f>MONTH(Tabela1[[#This Row],[data]])</f>
        <v>6</v>
      </c>
      <c r="I12406">
        <f>YEAR(Tabela1[[#This Row],[data]])</f>
        <v>2026</v>
      </c>
    </row>
    <row r="12407" spans="1:9" x14ac:dyDescent="0.25">
      <c r="A12407" t="s">
        <v>6</v>
      </c>
      <c r="B12407" s="1">
        <v>46174</v>
      </c>
      <c r="C12407">
        <v>22</v>
      </c>
      <c r="D12407">
        <v>575.82000000000005</v>
      </c>
      <c r="E12407">
        <v>27.72</v>
      </c>
      <c r="F12407" t="s">
        <v>7</v>
      </c>
      <c r="G12407" t="s">
        <v>11</v>
      </c>
      <c r="H12407" s="5">
        <f>MONTH(Tabela1[[#This Row],[data]])</f>
        <v>6</v>
      </c>
      <c r="I12407">
        <f>YEAR(Tabela1[[#This Row],[data]])</f>
        <v>2026</v>
      </c>
    </row>
    <row r="12408" spans="1:9" x14ac:dyDescent="0.25">
      <c r="A12408" t="s">
        <v>6</v>
      </c>
      <c r="B12408" s="1">
        <v>46174</v>
      </c>
      <c r="C12408">
        <v>23</v>
      </c>
      <c r="D12408">
        <v>380.94</v>
      </c>
      <c r="E12408">
        <v>0</v>
      </c>
      <c r="F12408" t="s">
        <v>7</v>
      </c>
      <c r="G12408" t="s">
        <v>11</v>
      </c>
      <c r="H12408" s="5">
        <f>MONTH(Tabela1[[#This Row],[data]])</f>
        <v>6</v>
      </c>
      <c r="I12408">
        <f>YEAR(Tabela1[[#This Row],[data]])</f>
        <v>2026</v>
      </c>
    </row>
    <row r="12409" spans="1:9" x14ac:dyDescent="0.25">
      <c r="A12409" t="s">
        <v>6</v>
      </c>
      <c r="B12409" s="1">
        <v>46174</v>
      </c>
      <c r="C12409">
        <v>24</v>
      </c>
      <c r="D12409">
        <v>283.92</v>
      </c>
      <c r="E12409">
        <v>0</v>
      </c>
      <c r="F12409" t="s">
        <v>7</v>
      </c>
      <c r="G12409" t="s">
        <v>11</v>
      </c>
      <c r="H12409" s="5">
        <f>MONTH(Tabela1[[#This Row],[data]])</f>
        <v>6</v>
      </c>
      <c r="I12409">
        <f>YEAR(Tabela1[[#This Row],[data]])</f>
        <v>2026</v>
      </c>
    </row>
    <row r="12410" spans="1:9" x14ac:dyDescent="0.25">
      <c r="A12410" t="s">
        <v>6</v>
      </c>
      <c r="B12410" s="1">
        <v>46175</v>
      </c>
      <c r="C12410">
        <v>1</v>
      </c>
      <c r="D12410">
        <v>256.2</v>
      </c>
      <c r="E12410">
        <v>0</v>
      </c>
      <c r="F12410" t="s">
        <v>7</v>
      </c>
      <c r="G12410" t="s">
        <v>11</v>
      </c>
      <c r="H12410" s="5">
        <f>MONTH(Tabela1[[#This Row],[data]])</f>
        <v>6</v>
      </c>
      <c r="I12410">
        <f>YEAR(Tabela1[[#This Row],[data]])</f>
        <v>2026</v>
      </c>
    </row>
    <row r="12411" spans="1:9" x14ac:dyDescent="0.25">
      <c r="A12411" t="s">
        <v>6</v>
      </c>
      <c r="B12411" s="1">
        <v>46175</v>
      </c>
      <c r="C12411">
        <v>2</v>
      </c>
      <c r="D12411">
        <v>241.92</v>
      </c>
      <c r="E12411">
        <v>0</v>
      </c>
      <c r="F12411" t="s">
        <v>7</v>
      </c>
      <c r="G12411" t="s">
        <v>11</v>
      </c>
      <c r="H12411" s="5">
        <f>MONTH(Tabela1[[#This Row],[data]])</f>
        <v>6</v>
      </c>
      <c r="I12411">
        <f>YEAR(Tabela1[[#This Row],[data]])</f>
        <v>2026</v>
      </c>
    </row>
    <row r="12412" spans="1:9" x14ac:dyDescent="0.25">
      <c r="A12412" t="s">
        <v>6</v>
      </c>
      <c r="B12412" s="1">
        <v>46175</v>
      </c>
      <c r="C12412">
        <v>3</v>
      </c>
      <c r="D12412">
        <v>241.5</v>
      </c>
      <c r="E12412">
        <v>0</v>
      </c>
      <c r="F12412" t="s">
        <v>7</v>
      </c>
      <c r="G12412" t="s">
        <v>11</v>
      </c>
      <c r="H12412" s="5">
        <f>MONTH(Tabela1[[#This Row],[data]])</f>
        <v>6</v>
      </c>
      <c r="I12412">
        <f>YEAR(Tabela1[[#This Row],[data]])</f>
        <v>2026</v>
      </c>
    </row>
    <row r="12413" spans="1:9" x14ac:dyDescent="0.25">
      <c r="A12413" t="s">
        <v>6</v>
      </c>
      <c r="B12413" s="1">
        <v>46175</v>
      </c>
      <c r="C12413">
        <v>4</v>
      </c>
      <c r="D12413">
        <v>240.66</v>
      </c>
      <c r="E12413">
        <v>0</v>
      </c>
      <c r="F12413" t="s">
        <v>7</v>
      </c>
      <c r="G12413" t="s">
        <v>11</v>
      </c>
      <c r="H12413" s="5">
        <f>MONTH(Tabela1[[#This Row],[data]])</f>
        <v>6</v>
      </c>
      <c r="I12413">
        <f>YEAR(Tabela1[[#This Row],[data]])</f>
        <v>2026</v>
      </c>
    </row>
    <row r="12414" spans="1:9" x14ac:dyDescent="0.25">
      <c r="A12414" t="s">
        <v>6</v>
      </c>
      <c r="B12414" s="1">
        <v>46175</v>
      </c>
      <c r="C12414">
        <v>5</v>
      </c>
      <c r="D12414">
        <v>242.76</v>
      </c>
      <c r="E12414">
        <v>0</v>
      </c>
      <c r="F12414" t="s">
        <v>7</v>
      </c>
      <c r="G12414" t="s">
        <v>11</v>
      </c>
      <c r="H12414" s="5">
        <f>MONTH(Tabela1[[#This Row],[data]])</f>
        <v>6</v>
      </c>
      <c r="I12414">
        <f>YEAR(Tabela1[[#This Row],[data]])</f>
        <v>2026</v>
      </c>
    </row>
    <row r="12415" spans="1:9" x14ac:dyDescent="0.25">
      <c r="A12415" t="s">
        <v>6</v>
      </c>
      <c r="B12415" s="1">
        <v>46175</v>
      </c>
      <c r="C12415">
        <v>6</v>
      </c>
      <c r="D12415">
        <v>239.4</v>
      </c>
      <c r="E12415">
        <v>0</v>
      </c>
      <c r="F12415" t="s">
        <v>7</v>
      </c>
      <c r="G12415" t="s">
        <v>11</v>
      </c>
      <c r="H12415" s="5">
        <f>MONTH(Tabela1[[#This Row],[data]])</f>
        <v>6</v>
      </c>
      <c r="I12415">
        <f>YEAR(Tabela1[[#This Row],[data]])</f>
        <v>2026</v>
      </c>
    </row>
    <row r="12416" spans="1:9" x14ac:dyDescent="0.25">
      <c r="A12416" t="s">
        <v>6</v>
      </c>
      <c r="B12416" s="1">
        <v>46175</v>
      </c>
      <c r="C12416">
        <v>7</v>
      </c>
      <c r="D12416">
        <v>241.92</v>
      </c>
      <c r="E12416">
        <v>0</v>
      </c>
      <c r="F12416" t="s">
        <v>7</v>
      </c>
      <c r="G12416" t="s">
        <v>11</v>
      </c>
      <c r="H12416" s="5">
        <f>MONTH(Tabela1[[#This Row],[data]])</f>
        <v>6</v>
      </c>
      <c r="I12416">
        <f>YEAR(Tabela1[[#This Row],[data]])</f>
        <v>2026</v>
      </c>
    </row>
    <row r="12417" spans="1:9" x14ac:dyDescent="0.25">
      <c r="A12417" t="s">
        <v>6</v>
      </c>
      <c r="B12417" s="1">
        <v>46175</v>
      </c>
      <c r="C12417">
        <v>8</v>
      </c>
      <c r="D12417">
        <v>258.72000000000003</v>
      </c>
      <c r="E12417">
        <v>0</v>
      </c>
      <c r="F12417" t="s">
        <v>7</v>
      </c>
      <c r="G12417" t="s">
        <v>11</v>
      </c>
      <c r="H12417" s="5">
        <f>MONTH(Tabela1[[#This Row],[data]])</f>
        <v>6</v>
      </c>
      <c r="I12417">
        <f>YEAR(Tabela1[[#This Row],[data]])</f>
        <v>2026</v>
      </c>
    </row>
    <row r="12418" spans="1:9" x14ac:dyDescent="0.25">
      <c r="A12418" t="s">
        <v>6</v>
      </c>
      <c r="B12418" s="1">
        <v>46175</v>
      </c>
      <c r="C12418">
        <v>9</v>
      </c>
      <c r="D12418">
        <v>322.56</v>
      </c>
      <c r="E12418">
        <v>0</v>
      </c>
      <c r="F12418" t="s">
        <v>7</v>
      </c>
      <c r="G12418" t="s">
        <v>11</v>
      </c>
      <c r="H12418" s="5">
        <f>MONTH(Tabela1[[#This Row],[data]])</f>
        <v>6</v>
      </c>
      <c r="I12418">
        <f>YEAR(Tabela1[[#This Row],[data]])</f>
        <v>2026</v>
      </c>
    </row>
    <row r="12419" spans="1:9" x14ac:dyDescent="0.25">
      <c r="A12419" t="s">
        <v>6</v>
      </c>
      <c r="B12419" s="1">
        <v>46175</v>
      </c>
      <c r="C12419">
        <v>10</v>
      </c>
      <c r="D12419">
        <v>405.3</v>
      </c>
      <c r="E12419">
        <v>7.98</v>
      </c>
      <c r="F12419" t="s">
        <v>7</v>
      </c>
      <c r="G12419" t="s">
        <v>11</v>
      </c>
      <c r="H12419" s="5">
        <f>MONTH(Tabela1[[#This Row],[data]])</f>
        <v>6</v>
      </c>
      <c r="I12419">
        <f>YEAR(Tabela1[[#This Row],[data]])</f>
        <v>2026</v>
      </c>
    </row>
    <row r="12420" spans="1:9" x14ac:dyDescent="0.25">
      <c r="A12420" t="s">
        <v>6</v>
      </c>
      <c r="B12420" s="1">
        <v>46175</v>
      </c>
      <c r="C12420">
        <v>11</v>
      </c>
      <c r="D12420">
        <v>536.34</v>
      </c>
      <c r="E12420">
        <v>24.36</v>
      </c>
      <c r="F12420" t="s">
        <v>7</v>
      </c>
      <c r="G12420" t="s">
        <v>11</v>
      </c>
      <c r="H12420" s="5">
        <f>MONTH(Tabela1[[#This Row],[data]])</f>
        <v>6</v>
      </c>
      <c r="I12420">
        <f>YEAR(Tabela1[[#This Row],[data]])</f>
        <v>2026</v>
      </c>
    </row>
    <row r="12421" spans="1:9" x14ac:dyDescent="0.25">
      <c r="A12421" t="s">
        <v>6</v>
      </c>
      <c r="B12421" s="1">
        <v>46175</v>
      </c>
      <c r="C12421">
        <v>12</v>
      </c>
      <c r="D12421">
        <v>778.26</v>
      </c>
      <c r="E12421">
        <v>131.04</v>
      </c>
      <c r="F12421" t="s">
        <v>7</v>
      </c>
      <c r="G12421" t="s">
        <v>11</v>
      </c>
      <c r="H12421" s="5">
        <f>MONTH(Tabela1[[#This Row],[data]])</f>
        <v>6</v>
      </c>
      <c r="I12421">
        <f>YEAR(Tabela1[[#This Row],[data]])</f>
        <v>2026</v>
      </c>
    </row>
    <row r="12422" spans="1:9" x14ac:dyDescent="0.25">
      <c r="A12422" t="s">
        <v>6</v>
      </c>
      <c r="B12422" s="1">
        <v>46175</v>
      </c>
      <c r="C12422">
        <v>13</v>
      </c>
      <c r="D12422">
        <v>761.88</v>
      </c>
      <c r="E12422">
        <v>154.56</v>
      </c>
      <c r="F12422" t="s">
        <v>7</v>
      </c>
      <c r="G12422" t="s">
        <v>11</v>
      </c>
      <c r="H12422" s="5">
        <f>MONTH(Tabela1[[#This Row],[data]])</f>
        <v>6</v>
      </c>
      <c r="I12422">
        <f>YEAR(Tabela1[[#This Row],[data]])</f>
        <v>2026</v>
      </c>
    </row>
    <row r="12423" spans="1:9" x14ac:dyDescent="0.25">
      <c r="A12423" t="s">
        <v>6</v>
      </c>
      <c r="B12423" s="1">
        <v>46175</v>
      </c>
      <c r="C12423">
        <v>14</v>
      </c>
      <c r="D12423">
        <v>777.42</v>
      </c>
      <c r="E12423">
        <v>156.24</v>
      </c>
      <c r="F12423" t="s">
        <v>7</v>
      </c>
      <c r="G12423" t="s">
        <v>11</v>
      </c>
      <c r="H12423" s="5">
        <f>MONTH(Tabela1[[#This Row],[data]])</f>
        <v>6</v>
      </c>
      <c r="I12423">
        <f>YEAR(Tabela1[[#This Row],[data]])</f>
        <v>2026</v>
      </c>
    </row>
    <row r="12424" spans="1:9" x14ac:dyDescent="0.25">
      <c r="A12424" t="s">
        <v>6</v>
      </c>
      <c r="B12424" s="1">
        <v>46175</v>
      </c>
      <c r="C12424">
        <v>15</v>
      </c>
      <c r="D12424">
        <v>763.98</v>
      </c>
      <c r="E12424">
        <v>151.19999999999999</v>
      </c>
      <c r="F12424" t="s">
        <v>7</v>
      </c>
      <c r="G12424" t="s">
        <v>11</v>
      </c>
      <c r="H12424" s="5">
        <f>MONTH(Tabela1[[#This Row],[data]])</f>
        <v>6</v>
      </c>
      <c r="I12424">
        <f>YEAR(Tabela1[[#This Row],[data]])</f>
        <v>2026</v>
      </c>
    </row>
    <row r="12425" spans="1:9" x14ac:dyDescent="0.25">
      <c r="A12425" t="s">
        <v>6</v>
      </c>
      <c r="B12425" s="1">
        <v>46175</v>
      </c>
      <c r="C12425">
        <v>16</v>
      </c>
      <c r="D12425">
        <v>769.86</v>
      </c>
      <c r="E12425">
        <v>152.04</v>
      </c>
      <c r="F12425" t="s">
        <v>7</v>
      </c>
      <c r="G12425" t="s">
        <v>11</v>
      </c>
      <c r="H12425" s="5">
        <f>MONTH(Tabela1[[#This Row],[data]])</f>
        <v>6</v>
      </c>
      <c r="I12425">
        <f>YEAR(Tabela1[[#This Row],[data]])</f>
        <v>2026</v>
      </c>
    </row>
    <row r="12426" spans="1:9" x14ac:dyDescent="0.25">
      <c r="A12426" t="s">
        <v>6</v>
      </c>
      <c r="B12426" s="1">
        <v>46175</v>
      </c>
      <c r="C12426">
        <v>17</v>
      </c>
      <c r="D12426">
        <v>759.78</v>
      </c>
      <c r="E12426">
        <v>147.41999999999999</v>
      </c>
      <c r="F12426" t="s">
        <v>7</v>
      </c>
      <c r="G12426" t="s">
        <v>11</v>
      </c>
      <c r="H12426" s="5">
        <f>MONTH(Tabela1[[#This Row],[data]])</f>
        <v>6</v>
      </c>
      <c r="I12426">
        <f>YEAR(Tabela1[[#This Row],[data]])</f>
        <v>2026</v>
      </c>
    </row>
    <row r="12427" spans="1:9" x14ac:dyDescent="0.25">
      <c r="A12427" t="s">
        <v>6</v>
      </c>
      <c r="B12427" s="1">
        <v>46175</v>
      </c>
      <c r="C12427">
        <v>18</v>
      </c>
      <c r="D12427">
        <v>735</v>
      </c>
      <c r="E12427">
        <v>102.48</v>
      </c>
      <c r="F12427" t="s">
        <v>7</v>
      </c>
      <c r="G12427" t="s">
        <v>11</v>
      </c>
      <c r="H12427" s="5">
        <f>MONTH(Tabela1[[#This Row],[data]])</f>
        <v>6</v>
      </c>
      <c r="I12427">
        <f>YEAR(Tabela1[[#This Row],[data]])</f>
        <v>2026</v>
      </c>
    </row>
    <row r="12428" spans="1:9" x14ac:dyDescent="0.25">
      <c r="A12428" t="s">
        <v>6</v>
      </c>
      <c r="B12428" s="1">
        <v>46175</v>
      </c>
      <c r="C12428">
        <v>19</v>
      </c>
      <c r="D12428">
        <v>604.38</v>
      </c>
      <c r="E12428">
        <v>31.92</v>
      </c>
      <c r="F12428" t="s">
        <v>7</v>
      </c>
      <c r="G12428" t="s">
        <v>11</v>
      </c>
      <c r="H12428" s="5">
        <f>MONTH(Tabela1[[#This Row],[data]])</f>
        <v>6</v>
      </c>
      <c r="I12428">
        <f>YEAR(Tabela1[[#This Row],[data]])</f>
        <v>2026</v>
      </c>
    </row>
    <row r="12429" spans="1:9" x14ac:dyDescent="0.25">
      <c r="A12429" t="s">
        <v>6</v>
      </c>
      <c r="B12429" s="1">
        <v>46175</v>
      </c>
      <c r="C12429">
        <v>20</v>
      </c>
      <c r="D12429">
        <v>597.24</v>
      </c>
      <c r="E12429">
        <v>45.36</v>
      </c>
      <c r="F12429" t="s">
        <v>7</v>
      </c>
      <c r="G12429" t="s">
        <v>11</v>
      </c>
      <c r="H12429" s="5">
        <f>MONTH(Tabela1[[#This Row],[data]])</f>
        <v>6</v>
      </c>
      <c r="I12429">
        <f>YEAR(Tabela1[[#This Row],[data]])</f>
        <v>2026</v>
      </c>
    </row>
    <row r="12430" spans="1:9" x14ac:dyDescent="0.25">
      <c r="A12430" t="s">
        <v>6</v>
      </c>
      <c r="B12430" s="1">
        <v>46175</v>
      </c>
      <c r="C12430">
        <v>21</v>
      </c>
      <c r="D12430">
        <v>598.08000000000004</v>
      </c>
      <c r="E12430">
        <v>40.32</v>
      </c>
      <c r="F12430" t="s">
        <v>7</v>
      </c>
      <c r="G12430" t="s">
        <v>11</v>
      </c>
      <c r="H12430" s="5">
        <f>MONTH(Tabela1[[#This Row],[data]])</f>
        <v>6</v>
      </c>
      <c r="I12430">
        <f>YEAR(Tabela1[[#This Row],[data]])</f>
        <v>2026</v>
      </c>
    </row>
    <row r="12431" spans="1:9" x14ac:dyDescent="0.25">
      <c r="A12431" t="s">
        <v>6</v>
      </c>
      <c r="B12431" s="1">
        <v>46175</v>
      </c>
      <c r="C12431">
        <v>22</v>
      </c>
      <c r="D12431">
        <v>557.34</v>
      </c>
      <c r="E12431">
        <v>22.68</v>
      </c>
      <c r="F12431" t="s">
        <v>7</v>
      </c>
      <c r="G12431" t="s">
        <v>11</v>
      </c>
      <c r="H12431" s="5">
        <f>MONTH(Tabela1[[#This Row],[data]])</f>
        <v>6</v>
      </c>
      <c r="I12431">
        <f>YEAR(Tabela1[[#This Row],[data]])</f>
        <v>2026</v>
      </c>
    </row>
    <row r="12432" spans="1:9" x14ac:dyDescent="0.25">
      <c r="A12432" t="s">
        <v>6</v>
      </c>
      <c r="B12432" s="1">
        <v>46175</v>
      </c>
      <c r="C12432">
        <v>23</v>
      </c>
      <c r="D12432">
        <v>361.2</v>
      </c>
      <c r="E12432">
        <v>0</v>
      </c>
      <c r="F12432" t="s">
        <v>7</v>
      </c>
      <c r="G12432" t="s">
        <v>11</v>
      </c>
      <c r="H12432" s="5">
        <f>MONTH(Tabela1[[#This Row],[data]])</f>
        <v>6</v>
      </c>
      <c r="I12432">
        <f>YEAR(Tabela1[[#This Row],[data]])</f>
        <v>2026</v>
      </c>
    </row>
    <row r="12433" spans="1:9" x14ac:dyDescent="0.25">
      <c r="A12433" t="s">
        <v>6</v>
      </c>
      <c r="B12433" s="1">
        <v>46175</v>
      </c>
      <c r="C12433">
        <v>24</v>
      </c>
      <c r="D12433">
        <v>276.36</v>
      </c>
      <c r="E12433">
        <v>0</v>
      </c>
      <c r="F12433" t="s">
        <v>7</v>
      </c>
      <c r="G12433" t="s">
        <v>11</v>
      </c>
      <c r="H12433" s="5">
        <f>MONTH(Tabela1[[#This Row],[data]])</f>
        <v>6</v>
      </c>
      <c r="I12433">
        <f>YEAR(Tabela1[[#This Row],[data]])</f>
        <v>2026</v>
      </c>
    </row>
    <row r="12434" spans="1:9" x14ac:dyDescent="0.25">
      <c r="A12434" t="s">
        <v>6</v>
      </c>
      <c r="B12434" s="1">
        <v>46176</v>
      </c>
      <c r="C12434">
        <v>1</v>
      </c>
      <c r="D12434">
        <v>247.38</v>
      </c>
      <c r="E12434">
        <v>0</v>
      </c>
      <c r="F12434" t="s">
        <v>7</v>
      </c>
      <c r="G12434" t="s">
        <v>11</v>
      </c>
      <c r="H12434" s="5">
        <f>MONTH(Tabela1[[#This Row],[data]])</f>
        <v>6</v>
      </c>
      <c r="I12434">
        <f>YEAR(Tabela1[[#This Row],[data]])</f>
        <v>2026</v>
      </c>
    </row>
    <row r="12435" spans="1:9" x14ac:dyDescent="0.25">
      <c r="A12435" t="s">
        <v>6</v>
      </c>
      <c r="B12435" s="1">
        <v>46176</v>
      </c>
      <c r="C12435">
        <v>2</v>
      </c>
      <c r="D12435">
        <v>241.5</v>
      </c>
      <c r="E12435">
        <v>0</v>
      </c>
      <c r="F12435" t="s">
        <v>7</v>
      </c>
      <c r="G12435" t="s">
        <v>11</v>
      </c>
      <c r="H12435" s="5">
        <f>MONTH(Tabela1[[#This Row],[data]])</f>
        <v>6</v>
      </c>
      <c r="I12435">
        <f>YEAR(Tabela1[[#This Row],[data]])</f>
        <v>2026</v>
      </c>
    </row>
    <row r="12436" spans="1:9" x14ac:dyDescent="0.25">
      <c r="A12436" t="s">
        <v>6</v>
      </c>
      <c r="B12436" s="1">
        <v>46176</v>
      </c>
      <c r="C12436">
        <v>3</v>
      </c>
      <c r="D12436">
        <v>238.56</v>
      </c>
      <c r="E12436">
        <v>0</v>
      </c>
      <c r="F12436" t="s">
        <v>7</v>
      </c>
      <c r="G12436" t="s">
        <v>11</v>
      </c>
      <c r="H12436" s="5">
        <f>MONTH(Tabela1[[#This Row],[data]])</f>
        <v>6</v>
      </c>
      <c r="I12436">
        <f>YEAR(Tabela1[[#This Row],[data]])</f>
        <v>2026</v>
      </c>
    </row>
    <row r="12437" spans="1:9" x14ac:dyDescent="0.25">
      <c r="A12437" t="s">
        <v>6</v>
      </c>
      <c r="B12437" s="1">
        <v>46176</v>
      </c>
      <c r="C12437">
        <v>4</v>
      </c>
      <c r="D12437">
        <v>237.72</v>
      </c>
      <c r="E12437">
        <v>0</v>
      </c>
      <c r="F12437" t="s">
        <v>7</v>
      </c>
      <c r="G12437" t="s">
        <v>11</v>
      </c>
      <c r="H12437" s="5">
        <f>MONTH(Tabela1[[#This Row],[data]])</f>
        <v>6</v>
      </c>
      <c r="I12437">
        <f>YEAR(Tabela1[[#This Row],[data]])</f>
        <v>2026</v>
      </c>
    </row>
    <row r="12438" spans="1:9" x14ac:dyDescent="0.25">
      <c r="A12438" t="s">
        <v>6</v>
      </c>
      <c r="B12438" s="1">
        <v>46176</v>
      </c>
      <c r="C12438">
        <v>5</v>
      </c>
      <c r="D12438">
        <v>236.04</v>
      </c>
      <c r="E12438">
        <v>0</v>
      </c>
      <c r="F12438" t="s">
        <v>7</v>
      </c>
      <c r="G12438" t="s">
        <v>11</v>
      </c>
      <c r="H12438" s="5">
        <f>MONTH(Tabela1[[#This Row],[data]])</f>
        <v>6</v>
      </c>
      <c r="I12438">
        <f>YEAR(Tabela1[[#This Row],[data]])</f>
        <v>2026</v>
      </c>
    </row>
    <row r="12439" spans="1:9" x14ac:dyDescent="0.25">
      <c r="A12439" t="s">
        <v>6</v>
      </c>
      <c r="B12439" s="1">
        <v>46176</v>
      </c>
      <c r="C12439">
        <v>6</v>
      </c>
      <c r="D12439">
        <v>234.78</v>
      </c>
      <c r="E12439">
        <v>0</v>
      </c>
      <c r="F12439" t="s">
        <v>7</v>
      </c>
      <c r="G12439" t="s">
        <v>11</v>
      </c>
      <c r="H12439" s="5">
        <f>MONTH(Tabela1[[#This Row],[data]])</f>
        <v>6</v>
      </c>
      <c r="I12439">
        <f>YEAR(Tabela1[[#This Row],[data]])</f>
        <v>2026</v>
      </c>
    </row>
    <row r="12440" spans="1:9" x14ac:dyDescent="0.25">
      <c r="A12440" t="s">
        <v>6</v>
      </c>
      <c r="B12440" s="1">
        <v>46176</v>
      </c>
      <c r="C12440">
        <v>7</v>
      </c>
      <c r="D12440">
        <v>241.5</v>
      </c>
      <c r="E12440">
        <v>0</v>
      </c>
      <c r="F12440" t="s">
        <v>7</v>
      </c>
      <c r="G12440" t="s">
        <v>11</v>
      </c>
      <c r="H12440" s="5">
        <f>MONTH(Tabela1[[#This Row],[data]])</f>
        <v>6</v>
      </c>
      <c r="I12440">
        <f>YEAR(Tabela1[[#This Row],[data]])</f>
        <v>2026</v>
      </c>
    </row>
    <row r="12441" spans="1:9" x14ac:dyDescent="0.25">
      <c r="A12441" t="s">
        <v>6</v>
      </c>
      <c r="B12441" s="1">
        <v>46176</v>
      </c>
      <c r="C12441">
        <v>8</v>
      </c>
      <c r="D12441">
        <v>233.52</v>
      </c>
      <c r="E12441">
        <v>0</v>
      </c>
      <c r="F12441" t="s">
        <v>7</v>
      </c>
      <c r="G12441" t="s">
        <v>11</v>
      </c>
      <c r="H12441" s="5">
        <f>MONTH(Tabela1[[#This Row],[data]])</f>
        <v>6</v>
      </c>
      <c r="I12441">
        <f>YEAR(Tabela1[[#This Row],[data]])</f>
        <v>2026</v>
      </c>
    </row>
    <row r="12442" spans="1:9" x14ac:dyDescent="0.25">
      <c r="A12442" t="s">
        <v>6</v>
      </c>
      <c r="B12442" s="1">
        <v>46176</v>
      </c>
      <c r="C12442">
        <v>9</v>
      </c>
      <c r="D12442">
        <v>331.38</v>
      </c>
      <c r="E12442">
        <v>0</v>
      </c>
      <c r="F12442" t="s">
        <v>7</v>
      </c>
      <c r="G12442" t="s">
        <v>11</v>
      </c>
      <c r="H12442" s="5">
        <f>MONTH(Tabela1[[#This Row],[data]])</f>
        <v>6</v>
      </c>
      <c r="I12442">
        <f>YEAR(Tabela1[[#This Row],[data]])</f>
        <v>2026</v>
      </c>
    </row>
    <row r="12443" spans="1:9" x14ac:dyDescent="0.25">
      <c r="A12443" t="s">
        <v>6</v>
      </c>
      <c r="B12443" s="1">
        <v>46176</v>
      </c>
      <c r="C12443">
        <v>10</v>
      </c>
      <c r="D12443">
        <v>423.36</v>
      </c>
      <c r="E12443">
        <v>7.14</v>
      </c>
      <c r="F12443" t="s">
        <v>7</v>
      </c>
      <c r="G12443" t="s">
        <v>11</v>
      </c>
      <c r="H12443" s="5">
        <f>MONTH(Tabela1[[#This Row],[data]])</f>
        <v>6</v>
      </c>
      <c r="I12443">
        <f>YEAR(Tabela1[[#This Row],[data]])</f>
        <v>2026</v>
      </c>
    </row>
    <row r="12444" spans="1:9" x14ac:dyDescent="0.25">
      <c r="A12444" t="s">
        <v>6</v>
      </c>
      <c r="B12444" s="1">
        <v>46176</v>
      </c>
      <c r="C12444">
        <v>11</v>
      </c>
      <c r="D12444">
        <v>553.14</v>
      </c>
      <c r="E12444">
        <v>33.6</v>
      </c>
      <c r="F12444" t="s">
        <v>7</v>
      </c>
      <c r="G12444" t="s">
        <v>11</v>
      </c>
      <c r="H12444" s="5">
        <f>MONTH(Tabela1[[#This Row],[data]])</f>
        <v>6</v>
      </c>
      <c r="I12444">
        <f>YEAR(Tabela1[[#This Row],[data]])</f>
        <v>2026</v>
      </c>
    </row>
    <row r="12445" spans="1:9" x14ac:dyDescent="0.25">
      <c r="A12445" t="s">
        <v>6</v>
      </c>
      <c r="B12445" s="1">
        <v>46176</v>
      </c>
      <c r="C12445">
        <v>12</v>
      </c>
      <c r="D12445">
        <v>792.54</v>
      </c>
      <c r="E12445">
        <v>146.58000000000001</v>
      </c>
      <c r="F12445" t="s">
        <v>7</v>
      </c>
      <c r="G12445" t="s">
        <v>11</v>
      </c>
      <c r="H12445" s="5">
        <f>MONTH(Tabela1[[#This Row],[data]])</f>
        <v>6</v>
      </c>
      <c r="I12445">
        <f>YEAR(Tabela1[[#This Row],[data]])</f>
        <v>2026</v>
      </c>
    </row>
    <row r="12446" spans="1:9" x14ac:dyDescent="0.25">
      <c r="A12446" t="s">
        <v>6</v>
      </c>
      <c r="B12446" s="1">
        <v>46176</v>
      </c>
      <c r="C12446">
        <v>13</v>
      </c>
      <c r="D12446">
        <v>801.78</v>
      </c>
      <c r="E12446">
        <v>195.72</v>
      </c>
      <c r="F12446" t="s">
        <v>7</v>
      </c>
      <c r="G12446" t="s">
        <v>11</v>
      </c>
      <c r="H12446" s="5">
        <f>MONTH(Tabela1[[#This Row],[data]])</f>
        <v>6</v>
      </c>
      <c r="I12446">
        <f>YEAR(Tabela1[[#This Row],[data]])</f>
        <v>2026</v>
      </c>
    </row>
    <row r="12447" spans="1:9" x14ac:dyDescent="0.25">
      <c r="A12447" t="s">
        <v>6</v>
      </c>
      <c r="B12447" s="1">
        <v>46176</v>
      </c>
      <c r="C12447">
        <v>14</v>
      </c>
      <c r="D12447">
        <v>788.34</v>
      </c>
      <c r="E12447">
        <v>167.58</v>
      </c>
      <c r="F12447" t="s">
        <v>7</v>
      </c>
      <c r="G12447" t="s">
        <v>11</v>
      </c>
      <c r="H12447" s="5">
        <f>MONTH(Tabela1[[#This Row],[data]])</f>
        <v>6</v>
      </c>
      <c r="I12447">
        <f>YEAR(Tabela1[[#This Row],[data]])</f>
        <v>2026</v>
      </c>
    </row>
    <row r="12448" spans="1:9" x14ac:dyDescent="0.25">
      <c r="A12448" t="s">
        <v>6</v>
      </c>
      <c r="B12448" s="1">
        <v>46176</v>
      </c>
      <c r="C12448">
        <v>15</v>
      </c>
      <c r="D12448">
        <v>784.14</v>
      </c>
      <c r="E12448">
        <v>163.80000000000001</v>
      </c>
      <c r="F12448" t="s">
        <v>7</v>
      </c>
      <c r="G12448" t="s">
        <v>11</v>
      </c>
      <c r="H12448" s="5">
        <f>MONTH(Tabela1[[#This Row],[data]])</f>
        <v>6</v>
      </c>
      <c r="I12448">
        <f>YEAR(Tabela1[[#This Row],[data]])</f>
        <v>2026</v>
      </c>
    </row>
    <row r="12449" spans="1:9" x14ac:dyDescent="0.25">
      <c r="A12449" t="s">
        <v>6</v>
      </c>
      <c r="B12449" s="1">
        <v>46176</v>
      </c>
      <c r="C12449">
        <v>16</v>
      </c>
      <c r="D12449">
        <v>777.84</v>
      </c>
      <c r="E12449">
        <v>161.28</v>
      </c>
      <c r="F12449" t="s">
        <v>7</v>
      </c>
      <c r="G12449" t="s">
        <v>11</v>
      </c>
      <c r="H12449" s="5">
        <f>MONTH(Tabela1[[#This Row],[data]])</f>
        <v>6</v>
      </c>
      <c r="I12449">
        <f>YEAR(Tabela1[[#This Row],[data]])</f>
        <v>2026</v>
      </c>
    </row>
    <row r="12450" spans="1:9" x14ac:dyDescent="0.25">
      <c r="A12450" t="s">
        <v>6</v>
      </c>
      <c r="B12450" s="1">
        <v>46176</v>
      </c>
      <c r="C12450">
        <v>17</v>
      </c>
      <c r="D12450">
        <v>778.68</v>
      </c>
      <c r="E12450">
        <v>175.56</v>
      </c>
      <c r="F12450" t="s">
        <v>7</v>
      </c>
      <c r="G12450" t="s">
        <v>11</v>
      </c>
      <c r="H12450" s="5">
        <f>MONTH(Tabela1[[#This Row],[data]])</f>
        <v>6</v>
      </c>
      <c r="I12450">
        <f>YEAR(Tabela1[[#This Row],[data]])</f>
        <v>2026</v>
      </c>
    </row>
    <row r="12451" spans="1:9" x14ac:dyDescent="0.25">
      <c r="A12451" t="s">
        <v>6</v>
      </c>
      <c r="B12451" s="1">
        <v>46176</v>
      </c>
      <c r="C12451">
        <v>18</v>
      </c>
      <c r="D12451">
        <v>755.16</v>
      </c>
      <c r="E12451">
        <v>148.68</v>
      </c>
      <c r="F12451" t="s">
        <v>7</v>
      </c>
      <c r="G12451" t="s">
        <v>11</v>
      </c>
      <c r="H12451" s="5">
        <f>MONTH(Tabela1[[#This Row],[data]])</f>
        <v>6</v>
      </c>
      <c r="I12451">
        <f>YEAR(Tabela1[[#This Row],[data]])</f>
        <v>2026</v>
      </c>
    </row>
    <row r="12452" spans="1:9" x14ac:dyDescent="0.25">
      <c r="A12452" t="s">
        <v>6</v>
      </c>
      <c r="B12452" s="1">
        <v>46176</v>
      </c>
      <c r="C12452">
        <v>19</v>
      </c>
      <c r="D12452">
        <v>639.24</v>
      </c>
      <c r="E12452">
        <v>47.04</v>
      </c>
      <c r="F12452" t="s">
        <v>7</v>
      </c>
      <c r="G12452" t="s">
        <v>11</v>
      </c>
      <c r="H12452" s="5">
        <f>MONTH(Tabela1[[#This Row],[data]])</f>
        <v>6</v>
      </c>
      <c r="I12452">
        <f>YEAR(Tabela1[[#This Row],[data]])</f>
        <v>2026</v>
      </c>
    </row>
    <row r="12453" spans="1:9" x14ac:dyDescent="0.25">
      <c r="A12453" t="s">
        <v>6</v>
      </c>
      <c r="B12453" s="1">
        <v>46176</v>
      </c>
      <c r="C12453">
        <v>20</v>
      </c>
      <c r="D12453">
        <v>605.64</v>
      </c>
      <c r="E12453">
        <v>48.72</v>
      </c>
      <c r="F12453" t="s">
        <v>7</v>
      </c>
      <c r="G12453" t="s">
        <v>11</v>
      </c>
      <c r="H12453" s="5">
        <f>MONTH(Tabela1[[#This Row],[data]])</f>
        <v>6</v>
      </c>
      <c r="I12453">
        <f>YEAR(Tabela1[[#This Row],[data]])</f>
        <v>2026</v>
      </c>
    </row>
    <row r="12454" spans="1:9" x14ac:dyDescent="0.25">
      <c r="A12454" t="s">
        <v>6</v>
      </c>
      <c r="B12454" s="1">
        <v>46176</v>
      </c>
      <c r="C12454">
        <v>21</v>
      </c>
      <c r="D12454">
        <v>600.6</v>
      </c>
      <c r="E12454">
        <v>44.1</v>
      </c>
      <c r="F12454" t="s">
        <v>7</v>
      </c>
      <c r="G12454" t="s">
        <v>11</v>
      </c>
      <c r="H12454" s="5">
        <f>MONTH(Tabela1[[#This Row],[data]])</f>
        <v>6</v>
      </c>
      <c r="I12454">
        <f>YEAR(Tabela1[[#This Row],[data]])</f>
        <v>2026</v>
      </c>
    </row>
    <row r="12455" spans="1:9" x14ac:dyDescent="0.25">
      <c r="A12455" t="s">
        <v>6</v>
      </c>
      <c r="B12455" s="1">
        <v>46176</v>
      </c>
      <c r="C12455">
        <v>22</v>
      </c>
      <c r="D12455">
        <v>569.52</v>
      </c>
      <c r="E12455">
        <v>27.3</v>
      </c>
      <c r="F12455" t="s">
        <v>7</v>
      </c>
      <c r="G12455" t="s">
        <v>11</v>
      </c>
      <c r="H12455" s="5">
        <f>MONTH(Tabela1[[#This Row],[data]])</f>
        <v>6</v>
      </c>
      <c r="I12455">
        <f>YEAR(Tabela1[[#This Row],[data]])</f>
        <v>2026</v>
      </c>
    </row>
    <row r="12456" spans="1:9" x14ac:dyDescent="0.25">
      <c r="A12456" t="s">
        <v>6</v>
      </c>
      <c r="B12456" s="1">
        <v>46176</v>
      </c>
      <c r="C12456">
        <v>23</v>
      </c>
      <c r="D12456">
        <v>376.32</v>
      </c>
      <c r="E12456">
        <v>0</v>
      </c>
      <c r="F12456" t="s">
        <v>7</v>
      </c>
      <c r="G12456" t="s">
        <v>11</v>
      </c>
      <c r="H12456" s="5">
        <f>MONTH(Tabela1[[#This Row],[data]])</f>
        <v>6</v>
      </c>
      <c r="I12456">
        <f>YEAR(Tabela1[[#This Row],[data]])</f>
        <v>2026</v>
      </c>
    </row>
    <row r="12457" spans="1:9" x14ac:dyDescent="0.25">
      <c r="A12457" t="s">
        <v>6</v>
      </c>
      <c r="B12457" s="1">
        <v>46176</v>
      </c>
      <c r="C12457">
        <v>24</v>
      </c>
      <c r="D12457">
        <v>270.06</v>
      </c>
      <c r="E12457">
        <v>0</v>
      </c>
      <c r="F12457" t="s">
        <v>7</v>
      </c>
      <c r="G12457" t="s">
        <v>11</v>
      </c>
      <c r="H12457" s="5">
        <f>MONTH(Tabela1[[#This Row],[data]])</f>
        <v>6</v>
      </c>
      <c r="I12457">
        <f>YEAR(Tabela1[[#This Row],[data]])</f>
        <v>2026</v>
      </c>
    </row>
    <row r="12458" spans="1:9" x14ac:dyDescent="0.25">
      <c r="A12458" t="s">
        <v>6</v>
      </c>
      <c r="B12458" s="1">
        <v>46177</v>
      </c>
      <c r="C12458">
        <v>1</v>
      </c>
      <c r="D12458">
        <v>256.62</v>
      </c>
      <c r="E12458">
        <v>0</v>
      </c>
      <c r="F12458" t="s">
        <v>7</v>
      </c>
      <c r="G12458" t="s">
        <v>11</v>
      </c>
      <c r="H12458" s="5">
        <f>MONTH(Tabela1[[#This Row],[data]])</f>
        <v>6</v>
      </c>
      <c r="I12458">
        <f>YEAR(Tabela1[[#This Row],[data]])</f>
        <v>2026</v>
      </c>
    </row>
    <row r="12459" spans="1:9" x14ac:dyDescent="0.25">
      <c r="A12459" t="s">
        <v>6</v>
      </c>
      <c r="B12459" s="1">
        <v>46177</v>
      </c>
      <c r="C12459">
        <v>2</v>
      </c>
      <c r="D12459">
        <v>237.3</v>
      </c>
      <c r="E12459">
        <v>0</v>
      </c>
      <c r="F12459" t="s">
        <v>7</v>
      </c>
      <c r="G12459" t="s">
        <v>11</v>
      </c>
      <c r="H12459" s="5">
        <f>MONTH(Tabela1[[#This Row],[data]])</f>
        <v>6</v>
      </c>
      <c r="I12459">
        <f>YEAR(Tabela1[[#This Row],[data]])</f>
        <v>2026</v>
      </c>
    </row>
    <row r="12460" spans="1:9" x14ac:dyDescent="0.25">
      <c r="A12460" t="s">
        <v>6</v>
      </c>
      <c r="B12460" s="1">
        <v>46177</v>
      </c>
      <c r="C12460">
        <v>3</v>
      </c>
      <c r="D12460">
        <v>234.36</v>
      </c>
      <c r="E12460">
        <v>0</v>
      </c>
      <c r="F12460" t="s">
        <v>7</v>
      </c>
      <c r="G12460" t="s">
        <v>11</v>
      </c>
      <c r="H12460" s="5">
        <f>MONTH(Tabela1[[#This Row],[data]])</f>
        <v>6</v>
      </c>
      <c r="I12460">
        <f>YEAR(Tabela1[[#This Row],[data]])</f>
        <v>2026</v>
      </c>
    </row>
    <row r="12461" spans="1:9" x14ac:dyDescent="0.25">
      <c r="A12461" t="s">
        <v>6</v>
      </c>
      <c r="B12461" s="1">
        <v>46177</v>
      </c>
      <c r="C12461">
        <v>4</v>
      </c>
      <c r="D12461">
        <v>237.72</v>
      </c>
      <c r="E12461">
        <v>0</v>
      </c>
      <c r="F12461" t="s">
        <v>7</v>
      </c>
      <c r="G12461" t="s">
        <v>11</v>
      </c>
      <c r="H12461" s="5">
        <f>MONTH(Tabela1[[#This Row],[data]])</f>
        <v>6</v>
      </c>
      <c r="I12461">
        <f>YEAR(Tabela1[[#This Row],[data]])</f>
        <v>2026</v>
      </c>
    </row>
    <row r="12462" spans="1:9" x14ac:dyDescent="0.25">
      <c r="A12462" t="s">
        <v>6</v>
      </c>
      <c r="B12462" s="1">
        <v>46177</v>
      </c>
      <c r="C12462">
        <v>5</v>
      </c>
      <c r="D12462">
        <v>236.46</v>
      </c>
      <c r="E12462">
        <v>0</v>
      </c>
      <c r="F12462" t="s">
        <v>7</v>
      </c>
      <c r="G12462" t="s">
        <v>11</v>
      </c>
      <c r="H12462" s="5">
        <f>MONTH(Tabela1[[#This Row],[data]])</f>
        <v>6</v>
      </c>
      <c r="I12462">
        <f>YEAR(Tabela1[[#This Row],[data]])</f>
        <v>2026</v>
      </c>
    </row>
    <row r="12463" spans="1:9" x14ac:dyDescent="0.25">
      <c r="A12463" t="s">
        <v>6</v>
      </c>
      <c r="B12463" s="1">
        <v>46177</v>
      </c>
      <c r="C12463">
        <v>6</v>
      </c>
      <c r="D12463">
        <v>230.58</v>
      </c>
      <c r="E12463">
        <v>0</v>
      </c>
      <c r="F12463" t="s">
        <v>7</v>
      </c>
      <c r="G12463" t="s">
        <v>11</v>
      </c>
      <c r="H12463" s="5">
        <f>MONTH(Tabela1[[#This Row],[data]])</f>
        <v>6</v>
      </c>
      <c r="I12463">
        <f>YEAR(Tabela1[[#This Row],[data]])</f>
        <v>2026</v>
      </c>
    </row>
    <row r="12464" spans="1:9" x14ac:dyDescent="0.25">
      <c r="A12464" t="s">
        <v>6</v>
      </c>
      <c r="B12464" s="1">
        <v>46177</v>
      </c>
      <c r="C12464">
        <v>7</v>
      </c>
      <c r="D12464">
        <v>228.48</v>
      </c>
      <c r="E12464">
        <v>0</v>
      </c>
      <c r="F12464" t="s">
        <v>7</v>
      </c>
      <c r="G12464" t="s">
        <v>11</v>
      </c>
      <c r="H12464" s="5">
        <f>MONTH(Tabela1[[#This Row],[data]])</f>
        <v>6</v>
      </c>
      <c r="I12464">
        <f>YEAR(Tabela1[[#This Row],[data]])</f>
        <v>2026</v>
      </c>
    </row>
    <row r="12465" spans="1:9" x14ac:dyDescent="0.25">
      <c r="A12465" t="s">
        <v>6</v>
      </c>
      <c r="B12465" s="1">
        <v>46177</v>
      </c>
      <c r="C12465">
        <v>8</v>
      </c>
      <c r="D12465">
        <v>236.88</v>
      </c>
      <c r="E12465">
        <v>0</v>
      </c>
      <c r="F12465" t="s">
        <v>7</v>
      </c>
      <c r="G12465" t="s">
        <v>11</v>
      </c>
      <c r="H12465" s="5">
        <f>MONTH(Tabela1[[#This Row],[data]])</f>
        <v>6</v>
      </c>
      <c r="I12465">
        <f>YEAR(Tabela1[[#This Row],[data]])</f>
        <v>2026</v>
      </c>
    </row>
    <row r="12466" spans="1:9" x14ac:dyDescent="0.25">
      <c r="A12466" t="s">
        <v>6</v>
      </c>
      <c r="B12466" s="1">
        <v>46177</v>
      </c>
      <c r="C12466">
        <v>9</v>
      </c>
      <c r="D12466">
        <v>280.56</v>
      </c>
      <c r="E12466">
        <v>0</v>
      </c>
      <c r="F12466" t="s">
        <v>7</v>
      </c>
      <c r="G12466" t="s">
        <v>11</v>
      </c>
      <c r="H12466" s="5">
        <f>MONTH(Tabela1[[#This Row],[data]])</f>
        <v>6</v>
      </c>
      <c r="I12466">
        <f>YEAR(Tabela1[[#This Row],[data]])</f>
        <v>2026</v>
      </c>
    </row>
    <row r="12467" spans="1:9" x14ac:dyDescent="0.25">
      <c r="A12467" t="s">
        <v>6</v>
      </c>
      <c r="B12467" s="1">
        <v>46177</v>
      </c>
      <c r="C12467">
        <v>10</v>
      </c>
      <c r="D12467">
        <v>354.48</v>
      </c>
      <c r="E12467">
        <v>3.78</v>
      </c>
      <c r="F12467" t="s">
        <v>7</v>
      </c>
      <c r="G12467" t="s">
        <v>11</v>
      </c>
      <c r="H12467" s="5">
        <f>MONTH(Tabela1[[#This Row],[data]])</f>
        <v>6</v>
      </c>
      <c r="I12467">
        <f>YEAR(Tabela1[[#This Row],[data]])</f>
        <v>2026</v>
      </c>
    </row>
    <row r="12468" spans="1:9" x14ac:dyDescent="0.25">
      <c r="A12468" t="s">
        <v>6</v>
      </c>
      <c r="B12468" s="1">
        <v>46177</v>
      </c>
      <c r="C12468">
        <v>11</v>
      </c>
      <c r="D12468">
        <v>429.24</v>
      </c>
      <c r="E12468">
        <v>14.7</v>
      </c>
      <c r="F12468" t="s">
        <v>7</v>
      </c>
      <c r="G12468" t="s">
        <v>11</v>
      </c>
      <c r="H12468" s="5">
        <f>MONTH(Tabela1[[#This Row],[data]])</f>
        <v>6</v>
      </c>
      <c r="I12468">
        <f>YEAR(Tabela1[[#This Row],[data]])</f>
        <v>2026</v>
      </c>
    </row>
    <row r="12469" spans="1:9" x14ac:dyDescent="0.25">
      <c r="A12469" t="s">
        <v>6</v>
      </c>
      <c r="B12469" s="1">
        <v>46177</v>
      </c>
      <c r="C12469">
        <v>12</v>
      </c>
      <c r="D12469">
        <v>692.16</v>
      </c>
      <c r="E12469">
        <v>124.32</v>
      </c>
      <c r="F12469" t="s">
        <v>7</v>
      </c>
      <c r="G12469" t="s">
        <v>11</v>
      </c>
      <c r="H12469" s="5">
        <f>MONTH(Tabela1[[#This Row],[data]])</f>
        <v>6</v>
      </c>
      <c r="I12469">
        <f>YEAR(Tabela1[[#This Row],[data]])</f>
        <v>2026</v>
      </c>
    </row>
    <row r="12470" spans="1:9" x14ac:dyDescent="0.25">
      <c r="A12470" t="s">
        <v>6</v>
      </c>
      <c r="B12470" s="1">
        <v>46177</v>
      </c>
      <c r="C12470">
        <v>13</v>
      </c>
      <c r="D12470">
        <v>743.82</v>
      </c>
      <c r="E12470">
        <v>158.34</v>
      </c>
      <c r="F12470" t="s">
        <v>7</v>
      </c>
      <c r="G12470" t="s">
        <v>11</v>
      </c>
      <c r="H12470" s="5">
        <f>MONTH(Tabela1[[#This Row],[data]])</f>
        <v>6</v>
      </c>
      <c r="I12470">
        <f>YEAR(Tabela1[[#This Row],[data]])</f>
        <v>2026</v>
      </c>
    </row>
    <row r="12471" spans="1:9" x14ac:dyDescent="0.25">
      <c r="A12471" t="s">
        <v>6</v>
      </c>
      <c r="B12471" s="1">
        <v>46177</v>
      </c>
      <c r="C12471">
        <v>14</v>
      </c>
      <c r="D12471">
        <v>760.2</v>
      </c>
      <c r="E12471">
        <v>141.12</v>
      </c>
      <c r="F12471" t="s">
        <v>7</v>
      </c>
      <c r="G12471" t="s">
        <v>11</v>
      </c>
      <c r="H12471" s="5">
        <f>MONTH(Tabela1[[#This Row],[data]])</f>
        <v>6</v>
      </c>
      <c r="I12471">
        <f>YEAR(Tabela1[[#This Row],[data]])</f>
        <v>2026</v>
      </c>
    </row>
    <row r="12472" spans="1:9" x14ac:dyDescent="0.25">
      <c r="A12472" t="s">
        <v>6</v>
      </c>
      <c r="B12472" s="1">
        <v>46177</v>
      </c>
      <c r="C12472">
        <v>15</v>
      </c>
      <c r="D12472">
        <v>774.9</v>
      </c>
      <c r="E12472">
        <v>144.47999999999999</v>
      </c>
      <c r="F12472" t="s">
        <v>7</v>
      </c>
      <c r="G12472" t="s">
        <v>11</v>
      </c>
      <c r="H12472" s="5">
        <f>MONTH(Tabela1[[#This Row],[data]])</f>
        <v>6</v>
      </c>
      <c r="I12472">
        <f>YEAR(Tabela1[[#This Row],[data]])</f>
        <v>2026</v>
      </c>
    </row>
    <row r="12473" spans="1:9" x14ac:dyDescent="0.25">
      <c r="A12473" t="s">
        <v>6</v>
      </c>
      <c r="B12473" s="1">
        <v>46177</v>
      </c>
      <c r="C12473">
        <v>16</v>
      </c>
      <c r="D12473">
        <v>780.36</v>
      </c>
      <c r="E12473">
        <v>171.78</v>
      </c>
      <c r="F12473" t="s">
        <v>7</v>
      </c>
      <c r="G12473" t="s">
        <v>11</v>
      </c>
      <c r="H12473" s="5">
        <f>MONTH(Tabela1[[#This Row],[data]])</f>
        <v>6</v>
      </c>
      <c r="I12473">
        <f>YEAR(Tabela1[[#This Row],[data]])</f>
        <v>2026</v>
      </c>
    </row>
    <row r="12474" spans="1:9" x14ac:dyDescent="0.25">
      <c r="A12474" t="s">
        <v>6</v>
      </c>
      <c r="B12474" s="1">
        <v>46177</v>
      </c>
      <c r="C12474">
        <v>17</v>
      </c>
      <c r="D12474">
        <v>776.58</v>
      </c>
      <c r="E12474">
        <v>157.08000000000001</v>
      </c>
      <c r="F12474" t="s">
        <v>7</v>
      </c>
      <c r="G12474" t="s">
        <v>11</v>
      </c>
      <c r="H12474" s="5">
        <f>MONTH(Tabela1[[#This Row],[data]])</f>
        <v>6</v>
      </c>
      <c r="I12474">
        <f>YEAR(Tabela1[[#This Row],[data]])</f>
        <v>2026</v>
      </c>
    </row>
    <row r="12475" spans="1:9" x14ac:dyDescent="0.25">
      <c r="A12475" t="s">
        <v>6</v>
      </c>
      <c r="B12475" s="1">
        <v>46177</v>
      </c>
      <c r="C12475">
        <v>18</v>
      </c>
      <c r="D12475">
        <v>775.74</v>
      </c>
      <c r="E12475">
        <v>144.47999999999999</v>
      </c>
      <c r="F12475" t="s">
        <v>7</v>
      </c>
      <c r="G12475" t="s">
        <v>11</v>
      </c>
      <c r="H12475" s="5">
        <f>MONTH(Tabela1[[#This Row],[data]])</f>
        <v>6</v>
      </c>
      <c r="I12475">
        <f>YEAR(Tabela1[[#This Row],[data]])</f>
        <v>2026</v>
      </c>
    </row>
    <row r="12476" spans="1:9" x14ac:dyDescent="0.25">
      <c r="A12476" t="s">
        <v>6</v>
      </c>
      <c r="B12476" s="1">
        <v>46177</v>
      </c>
      <c r="C12476">
        <v>19</v>
      </c>
      <c r="D12476">
        <v>654.36</v>
      </c>
      <c r="E12476">
        <v>48.72</v>
      </c>
      <c r="F12476" t="s">
        <v>7</v>
      </c>
      <c r="G12476" t="s">
        <v>11</v>
      </c>
      <c r="H12476" s="5">
        <f>MONTH(Tabela1[[#This Row],[data]])</f>
        <v>6</v>
      </c>
      <c r="I12476">
        <f>YEAR(Tabela1[[#This Row],[data]])</f>
        <v>2026</v>
      </c>
    </row>
    <row r="12477" spans="1:9" x14ac:dyDescent="0.25">
      <c r="A12477" t="s">
        <v>6</v>
      </c>
      <c r="B12477" s="1">
        <v>46177</v>
      </c>
      <c r="C12477">
        <v>20</v>
      </c>
      <c r="D12477">
        <v>640.91999999999996</v>
      </c>
      <c r="E12477">
        <v>46.62</v>
      </c>
      <c r="F12477" t="s">
        <v>7</v>
      </c>
      <c r="G12477" t="s">
        <v>11</v>
      </c>
      <c r="H12477" s="5">
        <f>MONTH(Tabela1[[#This Row],[data]])</f>
        <v>6</v>
      </c>
      <c r="I12477">
        <f>YEAR(Tabela1[[#This Row],[data]])</f>
        <v>2026</v>
      </c>
    </row>
    <row r="12478" spans="1:9" x14ac:dyDescent="0.25">
      <c r="A12478" t="s">
        <v>6</v>
      </c>
      <c r="B12478" s="1">
        <v>46177</v>
      </c>
      <c r="C12478">
        <v>21</v>
      </c>
      <c r="D12478">
        <v>593.46</v>
      </c>
      <c r="E12478">
        <v>26.88</v>
      </c>
      <c r="F12478" t="s">
        <v>7</v>
      </c>
      <c r="G12478" t="s">
        <v>11</v>
      </c>
      <c r="H12478" s="5">
        <f>MONTH(Tabela1[[#This Row],[data]])</f>
        <v>6</v>
      </c>
      <c r="I12478">
        <f>YEAR(Tabela1[[#This Row],[data]])</f>
        <v>2026</v>
      </c>
    </row>
    <row r="12479" spans="1:9" x14ac:dyDescent="0.25">
      <c r="A12479" t="s">
        <v>6</v>
      </c>
      <c r="B12479" s="1">
        <v>46177</v>
      </c>
      <c r="C12479">
        <v>22</v>
      </c>
      <c r="D12479">
        <v>506.94</v>
      </c>
      <c r="E12479">
        <v>17.22</v>
      </c>
      <c r="F12479" t="s">
        <v>7</v>
      </c>
      <c r="G12479" t="s">
        <v>11</v>
      </c>
      <c r="H12479" s="5">
        <f>MONTH(Tabela1[[#This Row],[data]])</f>
        <v>6</v>
      </c>
      <c r="I12479">
        <f>YEAR(Tabela1[[#This Row],[data]])</f>
        <v>2026</v>
      </c>
    </row>
    <row r="12480" spans="1:9" x14ac:dyDescent="0.25">
      <c r="A12480" t="s">
        <v>6</v>
      </c>
      <c r="B12480" s="1">
        <v>46177</v>
      </c>
      <c r="C12480">
        <v>23</v>
      </c>
      <c r="D12480">
        <v>359.52</v>
      </c>
      <c r="E12480">
        <v>0</v>
      </c>
      <c r="F12480" t="s">
        <v>7</v>
      </c>
      <c r="G12480" t="s">
        <v>11</v>
      </c>
      <c r="H12480" s="5">
        <f>MONTH(Tabela1[[#This Row],[data]])</f>
        <v>6</v>
      </c>
      <c r="I12480">
        <f>YEAR(Tabela1[[#This Row],[data]])</f>
        <v>2026</v>
      </c>
    </row>
    <row r="12481" spans="1:9" x14ac:dyDescent="0.25">
      <c r="A12481" t="s">
        <v>6</v>
      </c>
      <c r="B12481" s="1">
        <v>46177</v>
      </c>
      <c r="C12481">
        <v>24</v>
      </c>
      <c r="D12481">
        <v>289.8</v>
      </c>
      <c r="E12481">
        <v>0</v>
      </c>
      <c r="F12481" t="s">
        <v>7</v>
      </c>
      <c r="G12481" t="s">
        <v>11</v>
      </c>
      <c r="H12481" s="5">
        <f>MONTH(Tabela1[[#This Row],[data]])</f>
        <v>6</v>
      </c>
      <c r="I12481">
        <f>YEAR(Tabela1[[#This Row],[data]])</f>
        <v>2026</v>
      </c>
    </row>
    <row r="12482" spans="1:9" x14ac:dyDescent="0.25">
      <c r="A12482" t="s">
        <v>6</v>
      </c>
      <c r="B12482" s="1">
        <v>46178</v>
      </c>
      <c r="C12482">
        <v>1</v>
      </c>
      <c r="D12482">
        <v>262.5</v>
      </c>
      <c r="E12482">
        <v>0</v>
      </c>
      <c r="F12482" t="s">
        <v>7</v>
      </c>
      <c r="G12482" t="s">
        <v>11</v>
      </c>
      <c r="H12482" s="5">
        <f>MONTH(Tabela1[[#This Row],[data]])</f>
        <v>6</v>
      </c>
      <c r="I12482">
        <f>YEAR(Tabela1[[#This Row],[data]])</f>
        <v>2026</v>
      </c>
    </row>
    <row r="12483" spans="1:9" x14ac:dyDescent="0.25">
      <c r="A12483" t="s">
        <v>6</v>
      </c>
      <c r="B12483" s="1">
        <v>46178</v>
      </c>
      <c r="C12483">
        <v>2</v>
      </c>
      <c r="D12483">
        <v>243.6</v>
      </c>
      <c r="E12483">
        <v>0</v>
      </c>
      <c r="F12483" t="s">
        <v>7</v>
      </c>
      <c r="G12483" t="s">
        <v>11</v>
      </c>
      <c r="H12483" s="5">
        <f>MONTH(Tabela1[[#This Row],[data]])</f>
        <v>6</v>
      </c>
      <c r="I12483">
        <f>YEAR(Tabela1[[#This Row],[data]])</f>
        <v>2026</v>
      </c>
    </row>
    <row r="12484" spans="1:9" x14ac:dyDescent="0.25">
      <c r="A12484" t="s">
        <v>6</v>
      </c>
      <c r="B12484" s="1">
        <v>46178</v>
      </c>
      <c r="C12484">
        <v>3</v>
      </c>
      <c r="D12484">
        <v>239.4</v>
      </c>
      <c r="E12484">
        <v>0</v>
      </c>
      <c r="F12484" t="s">
        <v>7</v>
      </c>
      <c r="G12484" t="s">
        <v>11</v>
      </c>
      <c r="H12484" s="5">
        <f>MONTH(Tabela1[[#This Row],[data]])</f>
        <v>6</v>
      </c>
      <c r="I12484">
        <f>YEAR(Tabela1[[#This Row],[data]])</f>
        <v>2026</v>
      </c>
    </row>
    <row r="12485" spans="1:9" x14ac:dyDescent="0.25">
      <c r="A12485" t="s">
        <v>6</v>
      </c>
      <c r="B12485" s="1">
        <v>46178</v>
      </c>
      <c r="C12485">
        <v>4</v>
      </c>
      <c r="D12485">
        <v>242.34</v>
      </c>
      <c r="E12485">
        <v>0</v>
      </c>
      <c r="F12485" t="s">
        <v>7</v>
      </c>
      <c r="G12485" t="s">
        <v>11</v>
      </c>
      <c r="H12485" s="5">
        <f>MONTH(Tabela1[[#This Row],[data]])</f>
        <v>6</v>
      </c>
      <c r="I12485">
        <f>YEAR(Tabela1[[#This Row],[data]])</f>
        <v>2026</v>
      </c>
    </row>
    <row r="12486" spans="1:9" x14ac:dyDescent="0.25">
      <c r="A12486" t="s">
        <v>6</v>
      </c>
      <c r="B12486" s="1">
        <v>46178</v>
      </c>
      <c r="C12486">
        <v>5</v>
      </c>
      <c r="D12486">
        <v>242.76</v>
      </c>
      <c r="E12486">
        <v>0</v>
      </c>
      <c r="F12486" t="s">
        <v>7</v>
      </c>
      <c r="G12486" t="s">
        <v>11</v>
      </c>
      <c r="H12486" s="5">
        <f>MONTH(Tabela1[[#This Row],[data]])</f>
        <v>6</v>
      </c>
      <c r="I12486">
        <f>YEAR(Tabela1[[#This Row],[data]])</f>
        <v>2026</v>
      </c>
    </row>
    <row r="12487" spans="1:9" x14ac:dyDescent="0.25">
      <c r="A12487" t="s">
        <v>6</v>
      </c>
      <c r="B12487" s="1">
        <v>46178</v>
      </c>
      <c r="C12487">
        <v>6</v>
      </c>
      <c r="D12487">
        <v>237.72</v>
      </c>
      <c r="E12487">
        <v>0</v>
      </c>
      <c r="F12487" t="s">
        <v>7</v>
      </c>
      <c r="G12487" t="s">
        <v>11</v>
      </c>
      <c r="H12487" s="5">
        <f>MONTH(Tabela1[[#This Row],[data]])</f>
        <v>6</v>
      </c>
      <c r="I12487">
        <f>YEAR(Tabela1[[#This Row],[data]])</f>
        <v>2026</v>
      </c>
    </row>
    <row r="12488" spans="1:9" x14ac:dyDescent="0.25">
      <c r="A12488" t="s">
        <v>6</v>
      </c>
      <c r="B12488" s="1">
        <v>46178</v>
      </c>
      <c r="C12488">
        <v>7</v>
      </c>
      <c r="D12488">
        <v>239.82</v>
      </c>
      <c r="E12488">
        <v>0</v>
      </c>
      <c r="F12488" t="s">
        <v>7</v>
      </c>
      <c r="G12488" t="s">
        <v>11</v>
      </c>
      <c r="H12488" s="5">
        <f>MONTH(Tabela1[[#This Row],[data]])</f>
        <v>6</v>
      </c>
      <c r="I12488">
        <f>YEAR(Tabela1[[#This Row],[data]])</f>
        <v>2026</v>
      </c>
    </row>
    <row r="12489" spans="1:9" x14ac:dyDescent="0.25">
      <c r="A12489" t="s">
        <v>6</v>
      </c>
      <c r="B12489" s="1">
        <v>46178</v>
      </c>
      <c r="C12489">
        <v>8</v>
      </c>
      <c r="D12489">
        <v>228.9</v>
      </c>
      <c r="E12489">
        <v>0</v>
      </c>
      <c r="F12489" t="s">
        <v>7</v>
      </c>
      <c r="G12489" t="s">
        <v>11</v>
      </c>
      <c r="H12489" s="5">
        <f>MONTH(Tabela1[[#This Row],[data]])</f>
        <v>6</v>
      </c>
      <c r="I12489">
        <f>YEAR(Tabela1[[#This Row],[data]])</f>
        <v>2026</v>
      </c>
    </row>
    <row r="12490" spans="1:9" x14ac:dyDescent="0.25">
      <c r="A12490" t="s">
        <v>6</v>
      </c>
      <c r="B12490" s="1">
        <v>46178</v>
      </c>
      <c r="C12490">
        <v>9</v>
      </c>
      <c r="D12490">
        <v>317.94</v>
      </c>
      <c r="E12490">
        <v>0</v>
      </c>
      <c r="F12490" t="s">
        <v>7</v>
      </c>
      <c r="G12490" t="s">
        <v>11</v>
      </c>
      <c r="H12490" s="5">
        <f>MONTH(Tabela1[[#This Row],[data]])</f>
        <v>6</v>
      </c>
      <c r="I12490">
        <f>YEAR(Tabela1[[#This Row],[data]])</f>
        <v>2026</v>
      </c>
    </row>
    <row r="12491" spans="1:9" x14ac:dyDescent="0.25">
      <c r="A12491" t="s">
        <v>6</v>
      </c>
      <c r="B12491" s="1">
        <v>46178</v>
      </c>
      <c r="C12491">
        <v>10</v>
      </c>
      <c r="D12491">
        <v>421.68</v>
      </c>
      <c r="E12491">
        <v>6.3</v>
      </c>
      <c r="F12491" t="s">
        <v>7</v>
      </c>
      <c r="G12491" t="s">
        <v>11</v>
      </c>
      <c r="H12491" s="5">
        <f>MONTH(Tabela1[[#This Row],[data]])</f>
        <v>6</v>
      </c>
      <c r="I12491">
        <f>YEAR(Tabela1[[#This Row],[data]])</f>
        <v>2026</v>
      </c>
    </row>
    <row r="12492" spans="1:9" x14ac:dyDescent="0.25">
      <c r="A12492" t="s">
        <v>6</v>
      </c>
      <c r="B12492" s="1">
        <v>46178</v>
      </c>
      <c r="C12492">
        <v>11</v>
      </c>
      <c r="D12492">
        <v>557.34</v>
      </c>
      <c r="E12492">
        <v>39.9</v>
      </c>
      <c r="F12492" t="s">
        <v>7</v>
      </c>
      <c r="G12492" t="s">
        <v>11</v>
      </c>
      <c r="H12492" s="5">
        <f>MONTH(Tabela1[[#This Row],[data]])</f>
        <v>6</v>
      </c>
      <c r="I12492">
        <f>YEAR(Tabela1[[#This Row],[data]])</f>
        <v>2026</v>
      </c>
    </row>
    <row r="12493" spans="1:9" x14ac:dyDescent="0.25">
      <c r="A12493" t="s">
        <v>6</v>
      </c>
      <c r="B12493" s="1">
        <v>46178</v>
      </c>
      <c r="C12493">
        <v>12</v>
      </c>
      <c r="D12493">
        <v>792.96</v>
      </c>
      <c r="E12493">
        <v>152.88</v>
      </c>
      <c r="F12493" t="s">
        <v>7</v>
      </c>
      <c r="G12493" t="s">
        <v>11</v>
      </c>
      <c r="H12493" s="5">
        <f>MONTH(Tabela1[[#This Row],[data]])</f>
        <v>6</v>
      </c>
      <c r="I12493">
        <f>YEAR(Tabela1[[#This Row],[data]])</f>
        <v>2026</v>
      </c>
    </row>
    <row r="12494" spans="1:9" x14ac:dyDescent="0.25">
      <c r="A12494" t="s">
        <v>6</v>
      </c>
      <c r="B12494" s="1">
        <v>46178</v>
      </c>
      <c r="C12494">
        <v>13</v>
      </c>
      <c r="D12494">
        <v>791.7</v>
      </c>
      <c r="E12494">
        <v>176.4</v>
      </c>
      <c r="F12494" t="s">
        <v>7</v>
      </c>
      <c r="G12494" t="s">
        <v>11</v>
      </c>
      <c r="H12494" s="5">
        <f>MONTH(Tabela1[[#This Row],[data]])</f>
        <v>6</v>
      </c>
      <c r="I12494">
        <f>YEAR(Tabela1[[#This Row],[data]])</f>
        <v>2026</v>
      </c>
    </row>
    <row r="12495" spans="1:9" x14ac:dyDescent="0.25">
      <c r="A12495" t="s">
        <v>6</v>
      </c>
      <c r="B12495" s="1">
        <v>46178</v>
      </c>
      <c r="C12495">
        <v>14</v>
      </c>
      <c r="D12495">
        <v>804.72</v>
      </c>
      <c r="E12495">
        <v>174.72</v>
      </c>
      <c r="F12495" t="s">
        <v>7</v>
      </c>
      <c r="G12495" t="s">
        <v>11</v>
      </c>
      <c r="H12495" s="5">
        <f>MONTH(Tabela1[[#This Row],[data]])</f>
        <v>6</v>
      </c>
      <c r="I12495">
        <f>YEAR(Tabela1[[#This Row],[data]])</f>
        <v>2026</v>
      </c>
    </row>
    <row r="12496" spans="1:9" x14ac:dyDescent="0.25">
      <c r="A12496" t="s">
        <v>6</v>
      </c>
      <c r="B12496" s="1">
        <v>46178</v>
      </c>
      <c r="C12496">
        <v>15</v>
      </c>
      <c r="D12496">
        <v>818.16</v>
      </c>
      <c r="E12496">
        <v>182.28</v>
      </c>
      <c r="F12496" t="s">
        <v>7</v>
      </c>
      <c r="G12496" t="s">
        <v>11</v>
      </c>
      <c r="H12496" s="5">
        <f>MONTH(Tabela1[[#This Row],[data]])</f>
        <v>6</v>
      </c>
      <c r="I12496">
        <f>YEAR(Tabela1[[#This Row],[data]])</f>
        <v>2026</v>
      </c>
    </row>
    <row r="12497" spans="1:9" x14ac:dyDescent="0.25">
      <c r="A12497" t="s">
        <v>6</v>
      </c>
      <c r="B12497" s="1">
        <v>46178</v>
      </c>
      <c r="C12497">
        <v>16</v>
      </c>
      <c r="D12497">
        <v>816.9</v>
      </c>
      <c r="E12497">
        <v>187.32</v>
      </c>
      <c r="F12497" t="s">
        <v>7</v>
      </c>
      <c r="G12497" t="s">
        <v>11</v>
      </c>
      <c r="H12497" s="5">
        <f>MONTH(Tabela1[[#This Row],[data]])</f>
        <v>6</v>
      </c>
      <c r="I12497">
        <f>YEAR(Tabela1[[#This Row],[data]])</f>
        <v>2026</v>
      </c>
    </row>
    <row r="12498" spans="1:9" x14ac:dyDescent="0.25">
      <c r="A12498" t="s">
        <v>6</v>
      </c>
      <c r="B12498" s="1">
        <v>46178</v>
      </c>
      <c r="C12498">
        <v>17</v>
      </c>
      <c r="D12498">
        <v>800.1</v>
      </c>
      <c r="E12498">
        <v>179.34</v>
      </c>
      <c r="F12498" t="s">
        <v>7</v>
      </c>
      <c r="G12498" t="s">
        <v>11</v>
      </c>
      <c r="H12498" s="5">
        <f>MONTH(Tabela1[[#This Row],[data]])</f>
        <v>6</v>
      </c>
      <c r="I12498">
        <f>YEAR(Tabela1[[#This Row],[data]])</f>
        <v>2026</v>
      </c>
    </row>
    <row r="12499" spans="1:9" x14ac:dyDescent="0.25">
      <c r="A12499" t="s">
        <v>6</v>
      </c>
      <c r="B12499" s="1">
        <v>46178</v>
      </c>
      <c r="C12499">
        <v>18</v>
      </c>
      <c r="D12499">
        <v>781.62</v>
      </c>
      <c r="E12499">
        <v>153.30000000000001</v>
      </c>
      <c r="F12499" t="s">
        <v>7</v>
      </c>
      <c r="G12499" t="s">
        <v>11</v>
      </c>
      <c r="H12499" s="5">
        <f>MONTH(Tabela1[[#This Row],[data]])</f>
        <v>6</v>
      </c>
      <c r="I12499">
        <f>YEAR(Tabela1[[#This Row],[data]])</f>
        <v>2026</v>
      </c>
    </row>
    <row r="12500" spans="1:9" x14ac:dyDescent="0.25">
      <c r="A12500" t="s">
        <v>6</v>
      </c>
      <c r="B12500" s="1">
        <v>46178</v>
      </c>
      <c r="C12500">
        <v>19</v>
      </c>
      <c r="D12500">
        <v>661.5</v>
      </c>
      <c r="E12500">
        <v>47.88</v>
      </c>
      <c r="F12500" t="s">
        <v>7</v>
      </c>
      <c r="G12500" t="s">
        <v>11</v>
      </c>
      <c r="H12500" s="5">
        <f>MONTH(Tabela1[[#This Row],[data]])</f>
        <v>6</v>
      </c>
      <c r="I12500">
        <f>YEAR(Tabela1[[#This Row],[data]])</f>
        <v>2026</v>
      </c>
    </row>
    <row r="12501" spans="1:9" x14ac:dyDescent="0.25">
      <c r="A12501" t="s">
        <v>6</v>
      </c>
      <c r="B12501" s="1">
        <v>46178</v>
      </c>
      <c r="C12501">
        <v>20</v>
      </c>
      <c r="D12501">
        <v>645.54</v>
      </c>
      <c r="E12501">
        <v>45.36</v>
      </c>
      <c r="F12501" t="s">
        <v>7</v>
      </c>
      <c r="G12501" t="s">
        <v>11</v>
      </c>
      <c r="H12501" s="5">
        <f>MONTH(Tabela1[[#This Row],[data]])</f>
        <v>6</v>
      </c>
      <c r="I12501">
        <f>YEAR(Tabela1[[#This Row],[data]])</f>
        <v>2026</v>
      </c>
    </row>
    <row r="12502" spans="1:9" x14ac:dyDescent="0.25">
      <c r="A12502" t="s">
        <v>6</v>
      </c>
      <c r="B12502" s="1">
        <v>46178</v>
      </c>
      <c r="C12502">
        <v>21</v>
      </c>
      <c r="D12502">
        <v>639.24</v>
      </c>
      <c r="E12502">
        <v>55.02</v>
      </c>
      <c r="F12502" t="s">
        <v>7</v>
      </c>
      <c r="G12502" t="s">
        <v>11</v>
      </c>
      <c r="H12502" s="5">
        <f>MONTH(Tabela1[[#This Row],[data]])</f>
        <v>6</v>
      </c>
      <c r="I12502">
        <f>YEAR(Tabela1[[#This Row],[data]])</f>
        <v>2026</v>
      </c>
    </row>
    <row r="12503" spans="1:9" x14ac:dyDescent="0.25">
      <c r="A12503" t="s">
        <v>6</v>
      </c>
      <c r="B12503" s="1">
        <v>46178</v>
      </c>
      <c r="C12503">
        <v>22</v>
      </c>
      <c r="D12503">
        <v>600.17999999999995</v>
      </c>
      <c r="E12503">
        <v>36.119999999999997</v>
      </c>
      <c r="F12503" t="s">
        <v>7</v>
      </c>
      <c r="G12503" t="s">
        <v>11</v>
      </c>
      <c r="H12503" s="5">
        <f>MONTH(Tabela1[[#This Row],[data]])</f>
        <v>6</v>
      </c>
      <c r="I12503">
        <f>YEAR(Tabela1[[#This Row],[data]])</f>
        <v>2026</v>
      </c>
    </row>
    <row r="12504" spans="1:9" x14ac:dyDescent="0.25">
      <c r="A12504" t="s">
        <v>6</v>
      </c>
      <c r="B12504" s="1">
        <v>46178</v>
      </c>
      <c r="C12504">
        <v>23</v>
      </c>
      <c r="D12504">
        <v>427.14</v>
      </c>
      <c r="E12504">
        <v>0</v>
      </c>
      <c r="F12504" t="s">
        <v>7</v>
      </c>
      <c r="G12504" t="s">
        <v>11</v>
      </c>
      <c r="H12504" s="5">
        <f>MONTH(Tabela1[[#This Row],[data]])</f>
        <v>6</v>
      </c>
      <c r="I12504">
        <f>YEAR(Tabela1[[#This Row],[data]])</f>
        <v>2026</v>
      </c>
    </row>
    <row r="12505" spans="1:9" x14ac:dyDescent="0.25">
      <c r="A12505" t="s">
        <v>6</v>
      </c>
      <c r="B12505" s="1">
        <v>46178</v>
      </c>
      <c r="C12505">
        <v>24</v>
      </c>
      <c r="D12505">
        <v>286.86</v>
      </c>
      <c r="E12505">
        <v>0</v>
      </c>
      <c r="F12505" t="s">
        <v>7</v>
      </c>
      <c r="G12505" t="s">
        <v>11</v>
      </c>
      <c r="H12505" s="5">
        <f>MONTH(Tabela1[[#This Row],[data]])</f>
        <v>6</v>
      </c>
      <c r="I12505">
        <f>YEAR(Tabela1[[#This Row],[data]])</f>
        <v>2026</v>
      </c>
    </row>
    <row r="12506" spans="1:9" x14ac:dyDescent="0.25">
      <c r="A12506" t="s">
        <v>6</v>
      </c>
      <c r="B12506" s="1">
        <v>46179</v>
      </c>
      <c r="C12506">
        <v>1</v>
      </c>
      <c r="D12506">
        <v>262.08</v>
      </c>
      <c r="E12506">
        <v>0</v>
      </c>
      <c r="F12506" t="s">
        <v>7</v>
      </c>
      <c r="G12506" t="s">
        <v>11</v>
      </c>
      <c r="H12506" s="5">
        <f>MONTH(Tabela1[[#This Row],[data]])</f>
        <v>6</v>
      </c>
      <c r="I12506">
        <f>YEAR(Tabela1[[#This Row],[data]])</f>
        <v>2026</v>
      </c>
    </row>
    <row r="12507" spans="1:9" x14ac:dyDescent="0.25">
      <c r="A12507" t="s">
        <v>6</v>
      </c>
      <c r="B12507" s="1">
        <v>46179</v>
      </c>
      <c r="C12507">
        <v>2</v>
      </c>
      <c r="D12507">
        <v>228.9</v>
      </c>
      <c r="E12507">
        <v>0</v>
      </c>
      <c r="F12507" t="s">
        <v>7</v>
      </c>
      <c r="G12507" t="s">
        <v>11</v>
      </c>
      <c r="H12507" s="5">
        <f>MONTH(Tabela1[[#This Row],[data]])</f>
        <v>6</v>
      </c>
      <c r="I12507">
        <f>YEAR(Tabela1[[#This Row],[data]])</f>
        <v>2026</v>
      </c>
    </row>
    <row r="12508" spans="1:9" x14ac:dyDescent="0.25">
      <c r="A12508" t="s">
        <v>6</v>
      </c>
      <c r="B12508" s="1">
        <v>46179</v>
      </c>
      <c r="C12508">
        <v>3</v>
      </c>
      <c r="D12508">
        <v>229.74</v>
      </c>
      <c r="E12508">
        <v>0</v>
      </c>
      <c r="F12508" t="s">
        <v>7</v>
      </c>
      <c r="G12508" t="s">
        <v>11</v>
      </c>
      <c r="H12508" s="5">
        <f>MONTH(Tabela1[[#This Row],[data]])</f>
        <v>6</v>
      </c>
      <c r="I12508">
        <f>YEAR(Tabela1[[#This Row],[data]])</f>
        <v>2026</v>
      </c>
    </row>
    <row r="12509" spans="1:9" x14ac:dyDescent="0.25">
      <c r="A12509" t="s">
        <v>6</v>
      </c>
      <c r="B12509" s="1">
        <v>46179</v>
      </c>
      <c r="C12509">
        <v>4</v>
      </c>
      <c r="D12509">
        <v>233.52</v>
      </c>
      <c r="E12509">
        <v>0</v>
      </c>
      <c r="F12509" t="s">
        <v>7</v>
      </c>
      <c r="G12509" t="s">
        <v>11</v>
      </c>
      <c r="H12509" s="5">
        <f>MONTH(Tabela1[[#This Row],[data]])</f>
        <v>6</v>
      </c>
      <c r="I12509">
        <f>YEAR(Tabela1[[#This Row],[data]])</f>
        <v>2026</v>
      </c>
    </row>
    <row r="12510" spans="1:9" x14ac:dyDescent="0.25">
      <c r="A12510" t="s">
        <v>6</v>
      </c>
      <c r="B12510" s="1">
        <v>46179</v>
      </c>
      <c r="C12510">
        <v>5</v>
      </c>
      <c r="D12510">
        <v>229.74</v>
      </c>
      <c r="E12510">
        <v>0</v>
      </c>
      <c r="F12510" t="s">
        <v>7</v>
      </c>
      <c r="G12510" t="s">
        <v>11</v>
      </c>
      <c r="H12510" s="5">
        <f>MONTH(Tabela1[[#This Row],[data]])</f>
        <v>6</v>
      </c>
      <c r="I12510">
        <f>YEAR(Tabela1[[#This Row],[data]])</f>
        <v>2026</v>
      </c>
    </row>
    <row r="12511" spans="1:9" x14ac:dyDescent="0.25">
      <c r="A12511" t="s">
        <v>6</v>
      </c>
      <c r="B12511" s="1">
        <v>46179</v>
      </c>
      <c r="C12511">
        <v>6</v>
      </c>
      <c r="D12511">
        <v>225.54</v>
      </c>
      <c r="E12511">
        <v>0</v>
      </c>
      <c r="F12511" t="s">
        <v>7</v>
      </c>
      <c r="G12511" t="s">
        <v>11</v>
      </c>
      <c r="H12511" s="5">
        <f>MONTH(Tabela1[[#This Row],[data]])</f>
        <v>6</v>
      </c>
      <c r="I12511">
        <f>YEAR(Tabela1[[#This Row],[data]])</f>
        <v>2026</v>
      </c>
    </row>
    <row r="12512" spans="1:9" x14ac:dyDescent="0.25">
      <c r="A12512" t="s">
        <v>6</v>
      </c>
      <c r="B12512" s="1">
        <v>46179</v>
      </c>
      <c r="C12512">
        <v>7</v>
      </c>
      <c r="D12512">
        <v>225.96</v>
      </c>
      <c r="E12512">
        <v>0</v>
      </c>
      <c r="F12512" t="s">
        <v>7</v>
      </c>
      <c r="G12512" t="s">
        <v>11</v>
      </c>
      <c r="H12512" s="5">
        <f>MONTH(Tabela1[[#This Row],[data]])</f>
        <v>6</v>
      </c>
      <c r="I12512">
        <f>YEAR(Tabela1[[#This Row],[data]])</f>
        <v>2026</v>
      </c>
    </row>
    <row r="12513" spans="1:9" x14ac:dyDescent="0.25">
      <c r="A12513" t="s">
        <v>6</v>
      </c>
      <c r="B12513" s="1">
        <v>46179</v>
      </c>
      <c r="C12513">
        <v>8</v>
      </c>
      <c r="D12513">
        <v>226.8</v>
      </c>
      <c r="E12513">
        <v>0</v>
      </c>
      <c r="F12513" t="s">
        <v>7</v>
      </c>
      <c r="G12513" t="s">
        <v>11</v>
      </c>
      <c r="H12513" s="5">
        <f>MONTH(Tabela1[[#This Row],[data]])</f>
        <v>6</v>
      </c>
      <c r="I12513">
        <f>YEAR(Tabela1[[#This Row],[data]])</f>
        <v>2026</v>
      </c>
    </row>
    <row r="12514" spans="1:9" x14ac:dyDescent="0.25">
      <c r="A12514" t="s">
        <v>6</v>
      </c>
      <c r="B12514" s="1">
        <v>46179</v>
      </c>
      <c r="C12514">
        <v>9</v>
      </c>
      <c r="D12514">
        <v>287.7</v>
      </c>
      <c r="E12514">
        <v>0</v>
      </c>
      <c r="F12514" t="s">
        <v>7</v>
      </c>
      <c r="G12514" t="s">
        <v>11</v>
      </c>
      <c r="H12514" s="5">
        <f>MONTH(Tabela1[[#This Row],[data]])</f>
        <v>6</v>
      </c>
      <c r="I12514">
        <f>YEAR(Tabela1[[#This Row],[data]])</f>
        <v>2026</v>
      </c>
    </row>
    <row r="12515" spans="1:9" x14ac:dyDescent="0.25">
      <c r="A12515" t="s">
        <v>6</v>
      </c>
      <c r="B12515" s="1">
        <v>46179</v>
      </c>
      <c r="C12515">
        <v>10</v>
      </c>
      <c r="D12515">
        <v>398.16</v>
      </c>
      <c r="E12515">
        <v>1.68</v>
      </c>
      <c r="F12515" t="s">
        <v>7</v>
      </c>
      <c r="G12515" t="s">
        <v>11</v>
      </c>
      <c r="H12515" s="5">
        <f>MONTH(Tabela1[[#This Row],[data]])</f>
        <v>6</v>
      </c>
      <c r="I12515">
        <f>YEAR(Tabela1[[#This Row],[data]])</f>
        <v>2026</v>
      </c>
    </row>
    <row r="12516" spans="1:9" x14ac:dyDescent="0.25">
      <c r="A12516" t="s">
        <v>6</v>
      </c>
      <c r="B12516" s="1">
        <v>46179</v>
      </c>
      <c r="C12516">
        <v>11</v>
      </c>
      <c r="D12516">
        <v>728.7</v>
      </c>
      <c r="E12516">
        <v>118.44</v>
      </c>
      <c r="F12516" t="s">
        <v>7</v>
      </c>
      <c r="G12516" t="s">
        <v>11</v>
      </c>
      <c r="H12516" s="5">
        <f>MONTH(Tabela1[[#This Row],[data]])</f>
        <v>6</v>
      </c>
      <c r="I12516">
        <f>YEAR(Tabela1[[#This Row],[data]])</f>
        <v>2026</v>
      </c>
    </row>
    <row r="12517" spans="1:9" x14ac:dyDescent="0.25">
      <c r="A12517" t="s">
        <v>6</v>
      </c>
      <c r="B12517" s="1">
        <v>46179</v>
      </c>
      <c r="C12517">
        <v>12</v>
      </c>
      <c r="D12517">
        <v>788.34</v>
      </c>
      <c r="E12517">
        <v>170.1</v>
      </c>
      <c r="F12517" t="s">
        <v>7</v>
      </c>
      <c r="G12517" t="s">
        <v>11</v>
      </c>
      <c r="H12517" s="5">
        <f>MONTH(Tabela1[[#This Row],[data]])</f>
        <v>6</v>
      </c>
      <c r="I12517">
        <f>YEAR(Tabela1[[#This Row],[data]])</f>
        <v>2026</v>
      </c>
    </row>
    <row r="12518" spans="1:9" x14ac:dyDescent="0.25">
      <c r="A12518" t="s">
        <v>6</v>
      </c>
      <c r="B12518" s="1">
        <v>46179</v>
      </c>
      <c r="C12518">
        <v>13</v>
      </c>
      <c r="D12518">
        <v>793.8</v>
      </c>
      <c r="E12518">
        <v>168.42</v>
      </c>
      <c r="F12518" t="s">
        <v>7</v>
      </c>
      <c r="G12518" t="s">
        <v>11</v>
      </c>
      <c r="H12518" s="5">
        <f>MONTH(Tabela1[[#This Row],[data]])</f>
        <v>6</v>
      </c>
      <c r="I12518">
        <f>YEAR(Tabela1[[#This Row],[data]])</f>
        <v>2026</v>
      </c>
    </row>
    <row r="12519" spans="1:9" x14ac:dyDescent="0.25">
      <c r="A12519" t="s">
        <v>6</v>
      </c>
      <c r="B12519" s="1">
        <v>46179</v>
      </c>
      <c r="C12519">
        <v>14</v>
      </c>
      <c r="D12519">
        <v>811.86</v>
      </c>
      <c r="E12519">
        <v>171.36</v>
      </c>
      <c r="F12519" t="s">
        <v>7</v>
      </c>
      <c r="G12519" t="s">
        <v>11</v>
      </c>
      <c r="H12519" s="5">
        <f>MONTH(Tabela1[[#This Row],[data]])</f>
        <v>6</v>
      </c>
      <c r="I12519">
        <f>YEAR(Tabela1[[#This Row],[data]])</f>
        <v>2026</v>
      </c>
    </row>
    <row r="12520" spans="1:9" x14ac:dyDescent="0.25">
      <c r="A12520" t="s">
        <v>6</v>
      </c>
      <c r="B12520" s="1">
        <v>46179</v>
      </c>
      <c r="C12520">
        <v>15</v>
      </c>
      <c r="D12520">
        <v>823.2</v>
      </c>
      <c r="E12520">
        <v>180.6</v>
      </c>
      <c r="F12520" t="s">
        <v>7</v>
      </c>
      <c r="G12520" t="s">
        <v>11</v>
      </c>
      <c r="H12520" s="5">
        <f>MONTH(Tabela1[[#This Row],[data]])</f>
        <v>6</v>
      </c>
      <c r="I12520">
        <f>YEAR(Tabela1[[#This Row],[data]])</f>
        <v>2026</v>
      </c>
    </row>
    <row r="12521" spans="1:9" x14ac:dyDescent="0.25">
      <c r="A12521" t="s">
        <v>6</v>
      </c>
      <c r="B12521" s="1">
        <v>46179</v>
      </c>
      <c r="C12521">
        <v>16</v>
      </c>
      <c r="D12521">
        <v>823.2</v>
      </c>
      <c r="E12521">
        <v>192.36</v>
      </c>
      <c r="F12521" t="s">
        <v>7</v>
      </c>
      <c r="G12521" t="s">
        <v>11</v>
      </c>
      <c r="H12521" s="5">
        <f>MONTH(Tabela1[[#This Row],[data]])</f>
        <v>6</v>
      </c>
      <c r="I12521">
        <f>YEAR(Tabela1[[#This Row],[data]])</f>
        <v>2026</v>
      </c>
    </row>
    <row r="12522" spans="1:9" x14ac:dyDescent="0.25">
      <c r="A12522" t="s">
        <v>6</v>
      </c>
      <c r="B12522" s="1">
        <v>46179</v>
      </c>
      <c r="C12522">
        <v>17</v>
      </c>
      <c r="D12522">
        <v>813.12</v>
      </c>
      <c r="E12522">
        <v>183.54</v>
      </c>
      <c r="F12522" t="s">
        <v>7</v>
      </c>
      <c r="G12522" t="s">
        <v>11</v>
      </c>
      <c r="H12522" s="5">
        <f>MONTH(Tabela1[[#This Row],[data]])</f>
        <v>6</v>
      </c>
      <c r="I12522">
        <f>YEAR(Tabela1[[#This Row],[data]])</f>
        <v>2026</v>
      </c>
    </row>
    <row r="12523" spans="1:9" x14ac:dyDescent="0.25">
      <c r="A12523" t="s">
        <v>6</v>
      </c>
      <c r="B12523" s="1">
        <v>46179</v>
      </c>
      <c r="C12523">
        <v>18</v>
      </c>
      <c r="D12523">
        <v>796.32</v>
      </c>
      <c r="E12523">
        <v>162.54</v>
      </c>
      <c r="F12523" t="s">
        <v>7</v>
      </c>
      <c r="G12523" t="s">
        <v>11</v>
      </c>
      <c r="H12523" s="5">
        <f>MONTH(Tabela1[[#This Row],[data]])</f>
        <v>6</v>
      </c>
      <c r="I12523">
        <f>YEAR(Tabela1[[#This Row],[data]])</f>
        <v>2026</v>
      </c>
    </row>
    <row r="12524" spans="1:9" x14ac:dyDescent="0.25">
      <c r="A12524" t="s">
        <v>6</v>
      </c>
      <c r="B12524" s="1">
        <v>46179</v>
      </c>
      <c r="C12524">
        <v>19</v>
      </c>
      <c r="D12524">
        <v>810.6</v>
      </c>
      <c r="E12524">
        <v>155.82</v>
      </c>
      <c r="F12524" t="s">
        <v>7</v>
      </c>
      <c r="G12524" t="s">
        <v>11</v>
      </c>
      <c r="H12524" s="5">
        <f>MONTH(Tabela1[[#This Row],[data]])</f>
        <v>6</v>
      </c>
      <c r="I12524">
        <f>YEAR(Tabela1[[#This Row],[data]])</f>
        <v>2026</v>
      </c>
    </row>
    <row r="12525" spans="1:9" x14ac:dyDescent="0.25">
      <c r="A12525" t="s">
        <v>6</v>
      </c>
      <c r="B12525" s="1">
        <v>46179</v>
      </c>
      <c r="C12525">
        <v>20</v>
      </c>
      <c r="D12525">
        <v>790.86</v>
      </c>
      <c r="E12525">
        <v>139.44</v>
      </c>
      <c r="F12525" t="s">
        <v>7</v>
      </c>
      <c r="G12525" t="s">
        <v>11</v>
      </c>
      <c r="H12525" s="5">
        <f>MONTH(Tabela1[[#This Row],[data]])</f>
        <v>6</v>
      </c>
      <c r="I12525">
        <f>YEAR(Tabela1[[#This Row],[data]])</f>
        <v>2026</v>
      </c>
    </row>
    <row r="12526" spans="1:9" x14ac:dyDescent="0.25">
      <c r="A12526" t="s">
        <v>6</v>
      </c>
      <c r="B12526" s="1">
        <v>46179</v>
      </c>
      <c r="C12526">
        <v>21</v>
      </c>
      <c r="D12526">
        <v>676.2</v>
      </c>
      <c r="E12526">
        <v>60.06</v>
      </c>
      <c r="F12526" t="s">
        <v>7</v>
      </c>
      <c r="G12526" t="s">
        <v>11</v>
      </c>
      <c r="H12526" s="5">
        <f>MONTH(Tabela1[[#This Row],[data]])</f>
        <v>6</v>
      </c>
      <c r="I12526">
        <f>YEAR(Tabela1[[#This Row],[data]])</f>
        <v>2026</v>
      </c>
    </row>
    <row r="12527" spans="1:9" x14ac:dyDescent="0.25">
      <c r="A12527" t="s">
        <v>6</v>
      </c>
      <c r="B12527" s="1">
        <v>46179</v>
      </c>
      <c r="C12527">
        <v>22</v>
      </c>
      <c r="D12527">
        <v>592.62</v>
      </c>
      <c r="E12527">
        <v>24.78</v>
      </c>
      <c r="F12527" t="s">
        <v>7</v>
      </c>
      <c r="G12527" t="s">
        <v>11</v>
      </c>
      <c r="H12527" s="5">
        <f>MONTH(Tabela1[[#This Row],[data]])</f>
        <v>6</v>
      </c>
      <c r="I12527">
        <f>YEAR(Tabela1[[#This Row],[data]])</f>
        <v>2026</v>
      </c>
    </row>
    <row r="12528" spans="1:9" x14ac:dyDescent="0.25">
      <c r="A12528" t="s">
        <v>6</v>
      </c>
      <c r="B12528" s="1">
        <v>46179</v>
      </c>
      <c r="C12528">
        <v>23</v>
      </c>
      <c r="D12528">
        <v>407.4</v>
      </c>
      <c r="E12528">
        <v>0.42</v>
      </c>
      <c r="F12528" t="s">
        <v>7</v>
      </c>
      <c r="G12528" t="s">
        <v>11</v>
      </c>
      <c r="H12528" s="5">
        <f>MONTH(Tabela1[[#This Row],[data]])</f>
        <v>6</v>
      </c>
      <c r="I12528">
        <f>YEAR(Tabela1[[#This Row],[data]])</f>
        <v>2026</v>
      </c>
    </row>
    <row r="12529" spans="1:9" x14ac:dyDescent="0.25">
      <c r="A12529" t="s">
        <v>6</v>
      </c>
      <c r="B12529" s="1">
        <v>46179</v>
      </c>
      <c r="C12529">
        <v>24</v>
      </c>
      <c r="D12529">
        <v>289.8</v>
      </c>
      <c r="E12529">
        <v>0</v>
      </c>
      <c r="F12529" t="s">
        <v>7</v>
      </c>
      <c r="G12529" t="s">
        <v>11</v>
      </c>
      <c r="H12529" s="5">
        <f>MONTH(Tabela1[[#This Row],[data]])</f>
        <v>6</v>
      </c>
      <c r="I12529">
        <f>YEAR(Tabela1[[#This Row],[data]])</f>
        <v>2026</v>
      </c>
    </row>
    <row r="12530" spans="1:9" x14ac:dyDescent="0.25">
      <c r="A12530" t="s">
        <v>6</v>
      </c>
      <c r="B12530" s="1">
        <v>46180</v>
      </c>
      <c r="C12530">
        <v>1</v>
      </c>
      <c r="D12530">
        <v>249.9</v>
      </c>
      <c r="E12530">
        <v>0</v>
      </c>
      <c r="F12530" t="s">
        <v>7</v>
      </c>
      <c r="G12530" t="s">
        <v>11</v>
      </c>
      <c r="H12530" s="5">
        <f>MONTH(Tabela1[[#This Row],[data]])</f>
        <v>6</v>
      </c>
      <c r="I12530">
        <f>YEAR(Tabela1[[#This Row],[data]])</f>
        <v>2026</v>
      </c>
    </row>
    <row r="12531" spans="1:9" x14ac:dyDescent="0.25">
      <c r="A12531" t="s">
        <v>6</v>
      </c>
      <c r="B12531" s="1">
        <v>46180</v>
      </c>
      <c r="C12531">
        <v>2</v>
      </c>
      <c r="D12531">
        <v>230.16</v>
      </c>
      <c r="E12531">
        <v>0</v>
      </c>
      <c r="F12531" t="s">
        <v>7</v>
      </c>
      <c r="G12531" t="s">
        <v>11</v>
      </c>
      <c r="H12531" s="5">
        <f>MONTH(Tabela1[[#This Row],[data]])</f>
        <v>6</v>
      </c>
      <c r="I12531">
        <f>YEAR(Tabela1[[#This Row],[data]])</f>
        <v>2026</v>
      </c>
    </row>
    <row r="12532" spans="1:9" x14ac:dyDescent="0.25">
      <c r="A12532" t="s">
        <v>6</v>
      </c>
      <c r="B12532" s="1">
        <v>46180</v>
      </c>
      <c r="C12532">
        <v>3</v>
      </c>
      <c r="D12532">
        <v>229.32</v>
      </c>
      <c r="E12532">
        <v>0</v>
      </c>
      <c r="F12532" t="s">
        <v>7</v>
      </c>
      <c r="G12532" t="s">
        <v>11</v>
      </c>
      <c r="H12532" s="5">
        <f>MONTH(Tabela1[[#This Row],[data]])</f>
        <v>6</v>
      </c>
      <c r="I12532">
        <f>YEAR(Tabela1[[#This Row],[data]])</f>
        <v>2026</v>
      </c>
    </row>
    <row r="12533" spans="1:9" x14ac:dyDescent="0.25">
      <c r="A12533" t="s">
        <v>6</v>
      </c>
      <c r="B12533" s="1">
        <v>46180</v>
      </c>
      <c r="C12533">
        <v>4</v>
      </c>
      <c r="D12533">
        <v>226.38</v>
      </c>
      <c r="E12533">
        <v>0</v>
      </c>
      <c r="F12533" t="s">
        <v>7</v>
      </c>
      <c r="G12533" t="s">
        <v>11</v>
      </c>
      <c r="H12533" s="5">
        <f>MONTH(Tabela1[[#This Row],[data]])</f>
        <v>6</v>
      </c>
      <c r="I12533">
        <f>YEAR(Tabela1[[#This Row],[data]])</f>
        <v>2026</v>
      </c>
    </row>
    <row r="12534" spans="1:9" x14ac:dyDescent="0.25">
      <c r="A12534" t="s">
        <v>6</v>
      </c>
      <c r="B12534" s="1">
        <v>46180</v>
      </c>
      <c r="C12534">
        <v>5</v>
      </c>
      <c r="D12534">
        <v>226.8</v>
      </c>
      <c r="E12534">
        <v>0</v>
      </c>
      <c r="F12534" t="s">
        <v>7</v>
      </c>
      <c r="G12534" t="s">
        <v>11</v>
      </c>
      <c r="H12534" s="5">
        <f>MONTH(Tabela1[[#This Row],[data]])</f>
        <v>6</v>
      </c>
      <c r="I12534">
        <f>YEAR(Tabela1[[#This Row],[data]])</f>
        <v>2026</v>
      </c>
    </row>
    <row r="12535" spans="1:9" x14ac:dyDescent="0.25">
      <c r="A12535" t="s">
        <v>6</v>
      </c>
      <c r="B12535" s="1">
        <v>46180</v>
      </c>
      <c r="C12535">
        <v>6</v>
      </c>
      <c r="D12535">
        <v>225.12</v>
      </c>
      <c r="E12535">
        <v>0</v>
      </c>
      <c r="F12535" t="s">
        <v>7</v>
      </c>
      <c r="G12535" t="s">
        <v>11</v>
      </c>
      <c r="H12535" s="5">
        <f>MONTH(Tabela1[[#This Row],[data]])</f>
        <v>6</v>
      </c>
      <c r="I12535">
        <f>YEAR(Tabela1[[#This Row],[data]])</f>
        <v>2026</v>
      </c>
    </row>
    <row r="12536" spans="1:9" x14ac:dyDescent="0.25">
      <c r="A12536" t="s">
        <v>6</v>
      </c>
      <c r="B12536" s="1">
        <v>46180</v>
      </c>
      <c r="C12536">
        <v>7</v>
      </c>
      <c r="D12536">
        <v>221.76</v>
      </c>
      <c r="E12536">
        <v>0</v>
      </c>
      <c r="F12536" t="s">
        <v>7</v>
      </c>
      <c r="G12536" t="s">
        <v>11</v>
      </c>
      <c r="H12536" s="5">
        <f>MONTH(Tabela1[[#This Row],[data]])</f>
        <v>6</v>
      </c>
      <c r="I12536">
        <f>YEAR(Tabela1[[#This Row],[data]])</f>
        <v>2026</v>
      </c>
    </row>
    <row r="12537" spans="1:9" x14ac:dyDescent="0.25">
      <c r="A12537" t="s">
        <v>6</v>
      </c>
      <c r="B12537" s="1">
        <v>46180</v>
      </c>
      <c r="C12537">
        <v>8</v>
      </c>
      <c r="D12537">
        <v>207.48</v>
      </c>
      <c r="E12537">
        <v>0</v>
      </c>
      <c r="F12537" t="s">
        <v>7</v>
      </c>
      <c r="G12537" t="s">
        <v>11</v>
      </c>
      <c r="H12537" s="5">
        <f>MONTH(Tabela1[[#This Row],[data]])</f>
        <v>6</v>
      </c>
      <c r="I12537">
        <f>YEAR(Tabela1[[#This Row],[data]])</f>
        <v>2026</v>
      </c>
    </row>
    <row r="12538" spans="1:9" x14ac:dyDescent="0.25">
      <c r="A12538" t="s">
        <v>6</v>
      </c>
      <c r="B12538" s="1">
        <v>46180</v>
      </c>
      <c r="C12538">
        <v>9</v>
      </c>
      <c r="D12538">
        <v>249.06</v>
      </c>
      <c r="E12538">
        <v>0</v>
      </c>
      <c r="F12538" t="s">
        <v>7</v>
      </c>
      <c r="G12538" t="s">
        <v>11</v>
      </c>
      <c r="H12538" s="5">
        <f>MONTH(Tabela1[[#This Row],[data]])</f>
        <v>6</v>
      </c>
      <c r="I12538">
        <f>YEAR(Tabela1[[#This Row],[data]])</f>
        <v>2026</v>
      </c>
    </row>
    <row r="12539" spans="1:9" x14ac:dyDescent="0.25">
      <c r="A12539" t="s">
        <v>6</v>
      </c>
      <c r="B12539" s="1">
        <v>46180</v>
      </c>
      <c r="C12539">
        <v>10</v>
      </c>
      <c r="D12539">
        <v>317.52</v>
      </c>
      <c r="E12539">
        <v>0</v>
      </c>
      <c r="F12539" t="s">
        <v>7</v>
      </c>
      <c r="G12539" t="s">
        <v>11</v>
      </c>
      <c r="H12539" s="5">
        <f>MONTH(Tabela1[[#This Row],[data]])</f>
        <v>6</v>
      </c>
      <c r="I12539">
        <f>YEAR(Tabela1[[#This Row],[data]])</f>
        <v>2026</v>
      </c>
    </row>
    <row r="12540" spans="1:9" x14ac:dyDescent="0.25">
      <c r="A12540" t="s">
        <v>6</v>
      </c>
      <c r="B12540" s="1">
        <v>46180</v>
      </c>
      <c r="C12540">
        <v>11</v>
      </c>
      <c r="D12540">
        <v>397.74</v>
      </c>
      <c r="E12540">
        <v>2.1</v>
      </c>
      <c r="F12540" t="s">
        <v>7</v>
      </c>
      <c r="G12540" t="s">
        <v>11</v>
      </c>
      <c r="H12540" s="5">
        <f>MONTH(Tabela1[[#This Row],[data]])</f>
        <v>6</v>
      </c>
      <c r="I12540">
        <f>YEAR(Tabela1[[#This Row],[data]])</f>
        <v>2026</v>
      </c>
    </row>
    <row r="12541" spans="1:9" x14ac:dyDescent="0.25">
      <c r="A12541" t="s">
        <v>6</v>
      </c>
      <c r="B12541" s="1">
        <v>46180</v>
      </c>
      <c r="C12541">
        <v>12</v>
      </c>
      <c r="D12541">
        <v>482.16</v>
      </c>
      <c r="E12541">
        <v>9.24</v>
      </c>
      <c r="F12541" t="s">
        <v>7</v>
      </c>
      <c r="G12541" t="s">
        <v>11</v>
      </c>
      <c r="H12541" s="5">
        <f>MONTH(Tabela1[[#This Row],[data]])</f>
        <v>6</v>
      </c>
      <c r="I12541">
        <f>YEAR(Tabela1[[#This Row],[data]])</f>
        <v>2026</v>
      </c>
    </row>
    <row r="12542" spans="1:9" x14ac:dyDescent="0.25">
      <c r="A12542" t="s">
        <v>6</v>
      </c>
      <c r="B12542" s="1">
        <v>46180</v>
      </c>
      <c r="C12542">
        <v>13</v>
      </c>
      <c r="D12542">
        <v>708.12</v>
      </c>
      <c r="E12542">
        <v>96.18</v>
      </c>
      <c r="F12542" t="s">
        <v>7</v>
      </c>
      <c r="G12542" t="s">
        <v>11</v>
      </c>
      <c r="H12542" s="5">
        <f>MONTH(Tabela1[[#This Row],[data]])</f>
        <v>6</v>
      </c>
      <c r="I12542">
        <f>YEAR(Tabela1[[#This Row],[data]])</f>
        <v>2026</v>
      </c>
    </row>
    <row r="12543" spans="1:9" x14ac:dyDescent="0.25">
      <c r="A12543" t="s">
        <v>6</v>
      </c>
      <c r="B12543" s="1">
        <v>46180</v>
      </c>
      <c r="C12543">
        <v>14</v>
      </c>
      <c r="D12543">
        <v>736.26</v>
      </c>
      <c r="E12543">
        <v>125.16</v>
      </c>
      <c r="F12543" t="s">
        <v>7</v>
      </c>
      <c r="G12543" t="s">
        <v>11</v>
      </c>
      <c r="H12543" s="5">
        <f>MONTH(Tabela1[[#This Row],[data]])</f>
        <v>6</v>
      </c>
      <c r="I12543">
        <f>YEAR(Tabela1[[#This Row],[data]])</f>
        <v>2026</v>
      </c>
    </row>
    <row r="12544" spans="1:9" x14ac:dyDescent="0.25">
      <c r="A12544" t="s">
        <v>6</v>
      </c>
      <c r="B12544" s="1">
        <v>46180</v>
      </c>
      <c r="C12544">
        <v>15</v>
      </c>
      <c r="D12544">
        <v>771.96</v>
      </c>
      <c r="E12544">
        <v>152.46</v>
      </c>
      <c r="F12544" t="s">
        <v>7</v>
      </c>
      <c r="G12544" t="s">
        <v>11</v>
      </c>
      <c r="H12544" s="5">
        <f>MONTH(Tabela1[[#This Row],[data]])</f>
        <v>6</v>
      </c>
      <c r="I12544">
        <f>YEAR(Tabela1[[#This Row],[data]])</f>
        <v>2026</v>
      </c>
    </row>
    <row r="12545" spans="1:9" x14ac:dyDescent="0.25">
      <c r="A12545" t="s">
        <v>6</v>
      </c>
      <c r="B12545" s="1">
        <v>46180</v>
      </c>
      <c r="C12545">
        <v>16</v>
      </c>
      <c r="D12545">
        <v>789.18</v>
      </c>
      <c r="E12545">
        <v>152.04</v>
      </c>
      <c r="F12545" t="s">
        <v>7</v>
      </c>
      <c r="G12545" t="s">
        <v>11</v>
      </c>
      <c r="H12545" s="5">
        <f>MONTH(Tabela1[[#This Row],[data]])</f>
        <v>6</v>
      </c>
      <c r="I12545">
        <f>YEAR(Tabela1[[#This Row],[data]])</f>
        <v>2026</v>
      </c>
    </row>
    <row r="12546" spans="1:9" x14ac:dyDescent="0.25">
      <c r="A12546" t="s">
        <v>6</v>
      </c>
      <c r="B12546" s="1">
        <v>46180</v>
      </c>
      <c r="C12546">
        <v>17</v>
      </c>
      <c r="D12546">
        <v>787.5</v>
      </c>
      <c r="E12546">
        <v>154.56</v>
      </c>
      <c r="F12546" t="s">
        <v>7</v>
      </c>
      <c r="G12546" t="s">
        <v>11</v>
      </c>
      <c r="H12546" s="5">
        <f>MONTH(Tabela1[[#This Row],[data]])</f>
        <v>6</v>
      </c>
      <c r="I12546">
        <f>YEAR(Tabela1[[#This Row],[data]])</f>
        <v>2026</v>
      </c>
    </row>
    <row r="12547" spans="1:9" x14ac:dyDescent="0.25">
      <c r="A12547" t="s">
        <v>6</v>
      </c>
      <c r="B12547" s="1">
        <v>46180</v>
      </c>
      <c r="C12547">
        <v>18</v>
      </c>
      <c r="D12547">
        <v>780.36</v>
      </c>
      <c r="E12547">
        <v>144.06</v>
      </c>
      <c r="F12547" t="s">
        <v>7</v>
      </c>
      <c r="G12547" t="s">
        <v>11</v>
      </c>
      <c r="H12547" s="5">
        <f>MONTH(Tabela1[[#This Row],[data]])</f>
        <v>6</v>
      </c>
      <c r="I12547">
        <f>YEAR(Tabela1[[#This Row],[data]])</f>
        <v>2026</v>
      </c>
    </row>
    <row r="12548" spans="1:9" x14ac:dyDescent="0.25">
      <c r="A12548" t="s">
        <v>6</v>
      </c>
      <c r="B12548" s="1">
        <v>46180</v>
      </c>
      <c r="C12548">
        <v>19</v>
      </c>
      <c r="D12548">
        <v>790.02</v>
      </c>
      <c r="E12548">
        <v>141.96</v>
      </c>
      <c r="F12548" t="s">
        <v>7</v>
      </c>
      <c r="G12548" t="s">
        <v>11</v>
      </c>
      <c r="H12548" s="5">
        <f>MONTH(Tabela1[[#This Row],[data]])</f>
        <v>6</v>
      </c>
      <c r="I12548">
        <f>YEAR(Tabela1[[#This Row],[data]])</f>
        <v>2026</v>
      </c>
    </row>
    <row r="12549" spans="1:9" x14ac:dyDescent="0.25">
      <c r="A12549" t="s">
        <v>6</v>
      </c>
      <c r="B12549" s="1">
        <v>46180</v>
      </c>
      <c r="C12549">
        <v>20</v>
      </c>
      <c r="D12549">
        <v>787.92</v>
      </c>
      <c r="E12549">
        <v>135.24</v>
      </c>
      <c r="F12549" t="s">
        <v>7</v>
      </c>
      <c r="G12549" t="s">
        <v>11</v>
      </c>
      <c r="H12549" s="5">
        <f>MONTH(Tabela1[[#This Row],[data]])</f>
        <v>6</v>
      </c>
      <c r="I12549">
        <f>YEAR(Tabela1[[#This Row],[data]])</f>
        <v>2026</v>
      </c>
    </row>
    <row r="12550" spans="1:9" x14ac:dyDescent="0.25">
      <c r="A12550" t="s">
        <v>6</v>
      </c>
      <c r="B12550" s="1">
        <v>46180</v>
      </c>
      <c r="C12550">
        <v>21</v>
      </c>
      <c r="D12550">
        <v>620.76</v>
      </c>
      <c r="E12550">
        <v>57.54</v>
      </c>
      <c r="F12550" t="s">
        <v>7</v>
      </c>
      <c r="G12550" t="s">
        <v>11</v>
      </c>
      <c r="H12550" s="5">
        <f>MONTH(Tabela1[[#This Row],[data]])</f>
        <v>6</v>
      </c>
      <c r="I12550">
        <f>YEAR(Tabela1[[#This Row],[data]])</f>
        <v>2026</v>
      </c>
    </row>
    <row r="12551" spans="1:9" x14ac:dyDescent="0.25">
      <c r="A12551" t="s">
        <v>6</v>
      </c>
      <c r="B12551" s="1">
        <v>46180</v>
      </c>
      <c r="C12551">
        <v>22</v>
      </c>
      <c r="D12551">
        <v>494.76</v>
      </c>
      <c r="E12551">
        <v>33.6</v>
      </c>
      <c r="F12551" t="s">
        <v>7</v>
      </c>
      <c r="G12551" t="s">
        <v>11</v>
      </c>
      <c r="H12551" s="5">
        <f>MONTH(Tabela1[[#This Row],[data]])</f>
        <v>6</v>
      </c>
      <c r="I12551">
        <f>YEAR(Tabela1[[#This Row],[data]])</f>
        <v>2026</v>
      </c>
    </row>
    <row r="12552" spans="1:9" x14ac:dyDescent="0.25">
      <c r="A12552" t="s">
        <v>6</v>
      </c>
      <c r="B12552" s="1">
        <v>46180</v>
      </c>
      <c r="C12552">
        <v>23</v>
      </c>
      <c r="D12552">
        <v>344.4</v>
      </c>
      <c r="E12552">
        <v>1.68</v>
      </c>
      <c r="F12552" t="s">
        <v>7</v>
      </c>
      <c r="G12552" t="s">
        <v>11</v>
      </c>
      <c r="H12552" s="5">
        <f>MONTH(Tabela1[[#This Row],[data]])</f>
        <v>6</v>
      </c>
      <c r="I12552">
        <f>YEAR(Tabela1[[#This Row],[data]])</f>
        <v>2026</v>
      </c>
    </row>
    <row r="12553" spans="1:9" x14ac:dyDescent="0.25">
      <c r="A12553" t="s">
        <v>6</v>
      </c>
      <c r="B12553" s="1">
        <v>46180</v>
      </c>
      <c r="C12553">
        <v>24</v>
      </c>
      <c r="D12553">
        <v>274.26</v>
      </c>
      <c r="E12553">
        <v>0</v>
      </c>
      <c r="F12553" t="s">
        <v>7</v>
      </c>
      <c r="G12553" t="s">
        <v>11</v>
      </c>
      <c r="H12553" s="5">
        <f>MONTH(Tabela1[[#This Row],[data]])</f>
        <v>6</v>
      </c>
      <c r="I12553">
        <f>YEAR(Tabela1[[#This Row],[data]])</f>
        <v>2026</v>
      </c>
    </row>
    <row r="12554" spans="1:9" x14ac:dyDescent="0.25">
      <c r="A12554" t="s">
        <v>6</v>
      </c>
      <c r="B12554" s="1">
        <v>46181</v>
      </c>
      <c r="C12554">
        <v>1</v>
      </c>
      <c r="D12554">
        <v>260.39999999999998</v>
      </c>
      <c r="E12554">
        <v>0</v>
      </c>
      <c r="F12554" t="s">
        <v>7</v>
      </c>
      <c r="G12554" t="s">
        <v>11</v>
      </c>
      <c r="H12554" s="5">
        <f>MONTH(Tabela1[[#This Row],[data]])</f>
        <v>6</v>
      </c>
      <c r="I12554">
        <f>YEAR(Tabela1[[#This Row],[data]])</f>
        <v>2026</v>
      </c>
    </row>
    <row r="12555" spans="1:9" x14ac:dyDescent="0.25">
      <c r="A12555" t="s">
        <v>6</v>
      </c>
      <c r="B12555" s="1">
        <v>46181</v>
      </c>
      <c r="C12555">
        <v>2</v>
      </c>
      <c r="D12555">
        <v>239.82</v>
      </c>
      <c r="E12555">
        <v>0</v>
      </c>
      <c r="F12555" t="s">
        <v>7</v>
      </c>
      <c r="G12555" t="s">
        <v>11</v>
      </c>
      <c r="H12555" s="5">
        <f>MONTH(Tabela1[[#This Row],[data]])</f>
        <v>6</v>
      </c>
      <c r="I12555">
        <f>YEAR(Tabela1[[#This Row],[data]])</f>
        <v>2026</v>
      </c>
    </row>
    <row r="12556" spans="1:9" x14ac:dyDescent="0.25">
      <c r="A12556" t="s">
        <v>6</v>
      </c>
      <c r="B12556" s="1">
        <v>46181</v>
      </c>
      <c r="C12556">
        <v>3</v>
      </c>
      <c r="D12556">
        <v>231.42</v>
      </c>
      <c r="E12556">
        <v>0</v>
      </c>
      <c r="F12556" t="s">
        <v>7</v>
      </c>
      <c r="G12556" t="s">
        <v>11</v>
      </c>
      <c r="H12556" s="5">
        <f>MONTH(Tabela1[[#This Row],[data]])</f>
        <v>6</v>
      </c>
      <c r="I12556">
        <f>YEAR(Tabela1[[#This Row],[data]])</f>
        <v>2026</v>
      </c>
    </row>
    <row r="12557" spans="1:9" x14ac:dyDescent="0.25">
      <c r="A12557" t="s">
        <v>6</v>
      </c>
      <c r="B12557" s="1">
        <v>46181</v>
      </c>
      <c r="C12557">
        <v>4</v>
      </c>
      <c r="D12557">
        <v>237.72</v>
      </c>
      <c r="E12557">
        <v>0</v>
      </c>
      <c r="F12557" t="s">
        <v>7</v>
      </c>
      <c r="G12557" t="s">
        <v>11</v>
      </c>
      <c r="H12557" s="5">
        <f>MONTH(Tabela1[[#This Row],[data]])</f>
        <v>6</v>
      </c>
      <c r="I12557">
        <f>YEAR(Tabela1[[#This Row],[data]])</f>
        <v>2026</v>
      </c>
    </row>
    <row r="12558" spans="1:9" x14ac:dyDescent="0.25">
      <c r="A12558" t="s">
        <v>6</v>
      </c>
      <c r="B12558" s="1">
        <v>46181</v>
      </c>
      <c r="C12558">
        <v>5</v>
      </c>
      <c r="D12558">
        <v>236.46</v>
      </c>
      <c r="E12558">
        <v>0</v>
      </c>
      <c r="F12558" t="s">
        <v>7</v>
      </c>
      <c r="G12558" t="s">
        <v>11</v>
      </c>
      <c r="H12558" s="5">
        <f>MONTH(Tabela1[[#This Row],[data]])</f>
        <v>6</v>
      </c>
      <c r="I12558">
        <f>YEAR(Tabela1[[#This Row],[data]])</f>
        <v>2026</v>
      </c>
    </row>
    <row r="12559" spans="1:9" x14ac:dyDescent="0.25">
      <c r="A12559" t="s">
        <v>6</v>
      </c>
      <c r="B12559" s="1">
        <v>46181</v>
      </c>
      <c r="C12559">
        <v>6</v>
      </c>
      <c r="D12559">
        <v>230.16</v>
      </c>
      <c r="E12559">
        <v>0</v>
      </c>
      <c r="F12559" t="s">
        <v>7</v>
      </c>
      <c r="G12559" t="s">
        <v>11</v>
      </c>
      <c r="H12559" s="5">
        <f>MONTH(Tabela1[[#This Row],[data]])</f>
        <v>6</v>
      </c>
      <c r="I12559">
        <f>YEAR(Tabela1[[#This Row],[data]])</f>
        <v>2026</v>
      </c>
    </row>
    <row r="12560" spans="1:9" x14ac:dyDescent="0.25">
      <c r="A12560" t="s">
        <v>6</v>
      </c>
      <c r="B12560" s="1">
        <v>46181</v>
      </c>
      <c r="C12560">
        <v>7</v>
      </c>
      <c r="D12560">
        <v>246.96</v>
      </c>
      <c r="E12560">
        <v>0</v>
      </c>
      <c r="F12560" t="s">
        <v>7</v>
      </c>
      <c r="G12560" t="s">
        <v>11</v>
      </c>
      <c r="H12560" s="5">
        <f>MONTH(Tabela1[[#This Row],[data]])</f>
        <v>6</v>
      </c>
      <c r="I12560">
        <f>YEAR(Tabela1[[#This Row],[data]])</f>
        <v>2026</v>
      </c>
    </row>
    <row r="12561" spans="1:9" x14ac:dyDescent="0.25">
      <c r="A12561" t="s">
        <v>6</v>
      </c>
      <c r="B12561" s="1">
        <v>46181</v>
      </c>
      <c r="C12561">
        <v>8</v>
      </c>
      <c r="D12561">
        <v>244.44</v>
      </c>
      <c r="E12561">
        <v>0</v>
      </c>
      <c r="F12561" t="s">
        <v>7</v>
      </c>
      <c r="G12561" t="s">
        <v>11</v>
      </c>
      <c r="H12561" s="5">
        <f>MONTH(Tabela1[[#This Row],[data]])</f>
        <v>6</v>
      </c>
      <c r="I12561">
        <f>YEAR(Tabela1[[#This Row],[data]])</f>
        <v>2026</v>
      </c>
    </row>
    <row r="12562" spans="1:9" x14ac:dyDescent="0.25">
      <c r="A12562" t="s">
        <v>6</v>
      </c>
      <c r="B12562" s="1">
        <v>46181</v>
      </c>
      <c r="C12562">
        <v>9</v>
      </c>
      <c r="D12562">
        <v>305.33999999999997</v>
      </c>
      <c r="E12562">
        <v>0</v>
      </c>
      <c r="F12562" t="s">
        <v>7</v>
      </c>
      <c r="G12562" t="s">
        <v>11</v>
      </c>
      <c r="H12562" s="5">
        <f>MONTH(Tabela1[[#This Row],[data]])</f>
        <v>6</v>
      </c>
      <c r="I12562">
        <f>YEAR(Tabela1[[#This Row],[data]])</f>
        <v>2026</v>
      </c>
    </row>
    <row r="12563" spans="1:9" x14ac:dyDescent="0.25">
      <c r="A12563" t="s">
        <v>6</v>
      </c>
      <c r="B12563" s="1">
        <v>46181</v>
      </c>
      <c r="C12563">
        <v>10</v>
      </c>
      <c r="D12563">
        <v>410.34</v>
      </c>
      <c r="E12563">
        <v>6.72</v>
      </c>
      <c r="F12563" t="s">
        <v>7</v>
      </c>
      <c r="G12563" t="s">
        <v>11</v>
      </c>
      <c r="H12563" s="5">
        <f>MONTH(Tabela1[[#This Row],[data]])</f>
        <v>6</v>
      </c>
      <c r="I12563">
        <f>YEAR(Tabela1[[#This Row],[data]])</f>
        <v>2026</v>
      </c>
    </row>
    <row r="12564" spans="1:9" x14ac:dyDescent="0.25">
      <c r="A12564" t="s">
        <v>6</v>
      </c>
      <c r="B12564" s="1">
        <v>46181</v>
      </c>
      <c r="C12564">
        <v>11</v>
      </c>
      <c r="D12564">
        <v>535.91999999999996</v>
      </c>
      <c r="E12564">
        <v>38.64</v>
      </c>
      <c r="F12564" t="s">
        <v>7</v>
      </c>
      <c r="G12564" t="s">
        <v>11</v>
      </c>
      <c r="H12564" s="5">
        <f>MONTH(Tabela1[[#This Row],[data]])</f>
        <v>6</v>
      </c>
      <c r="I12564">
        <f>YEAR(Tabela1[[#This Row],[data]])</f>
        <v>2026</v>
      </c>
    </row>
    <row r="12565" spans="1:9" x14ac:dyDescent="0.25">
      <c r="A12565" t="s">
        <v>6</v>
      </c>
      <c r="B12565" s="1">
        <v>46181</v>
      </c>
      <c r="C12565">
        <v>12</v>
      </c>
      <c r="D12565">
        <v>758.52</v>
      </c>
      <c r="E12565">
        <v>141.12</v>
      </c>
      <c r="F12565" t="s">
        <v>7</v>
      </c>
      <c r="G12565" t="s">
        <v>11</v>
      </c>
      <c r="H12565" s="5">
        <f>MONTH(Tabela1[[#This Row],[data]])</f>
        <v>6</v>
      </c>
      <c r="I12565">
        <f>YEAR(Tabela1[[#This Row],[data]])</f>
        <v>2026</v>
      </c>
    </row>
    <row r="12566" spans="1:9" x14ac:dyDescent="0.25">
      <c r="A12566" t="s">
        <v>6</v>
      </c>
      <c r="B12566" s="1">
        <v>46181</v>
      </c>
      <c r="C12566">
        <v>13</v>
      </c>
      <c r="D12566">
        <v>758.94</v>
      </c>
      <c r="E12566">
        <v>154.56</v>
      </c>
      <c r="F12566" t="s">
        <v>7</v>
      </c>
      <c r="G12566" t="s">
        <v>11</v>
      </c>
      <c r="H12566" s="5">
        <f>MONTH(Tabela1[[#This Row],[data]])</f>
        <v>6</v>
      </c>
      <c r="I12566">
        <f>YEAR(Tabela1[[#This Row],[data]])</f>
        <v>2026</v>
      </c>
    </row>
    <row r="12567" spans="1:9" x14ac:dyDescent="0.25">
      <c r="A12567" t="s">
        <v>6</v>
      </c>
      <c r="B12567" s="1">
        <v>46181</v>
      </c>
      <c r="C12567">
        <v>14</v>
      </c>
      <c r="D12567">
        <v>752.64</v>
      </c>
      <c r="E12567">
        <v>137.76</v>
      </c>
      <c r="F12567" t="s">
        <v>7</v>
      </c>
      <c r="G12567" t="s">
        <v>11</v>
      </c>
      <c r="H12567" s="5">
        <f>MONTH(Tabela1[[#This Row],[data]])</f>
        <v>6</v>
      </c>
      <c r="I12567">
        <f>YEAR(Tabela1[[#This Row],[data]])</f>
        <v>2026</v>
      </c>
    </row>
    <row r="12568" spans="1:9" x14ac:dyDescent="0.25">
      <c r="A12568" t="s">
        <v>6</v>
      </c>
      <c r="B12568" s="1">
        <v>46181</v>
      </c>
      <c r="C12568">
        <v>15</v>
      </c>
      <c r="D12568">
        <v>768.18</v>
      </c>
      <c r="E12568">
        <v>161.28</v>
      </c>
      <c r="F12568" t="s">
        <v>7</v>
      </c>
      <c r="G12568" t="s">
        <v>11</v>
      </c>
      <c r="H12568" s="5">
        <f>MONTH(Tabela1[[#This Row],[data]])</f>
        <v>6</v>
      </c>
      <c r="I12568">
        <f>YEAR(Tabela1[[#This Row],[data]])</f>
        <v>2026</v>
      </c>
    </row>
    <row r="12569" spans="1:9" x14ac:dyDescent="0.25">
      <c r="A12569" t="s">
        <v>6</v>
      </c>
      <c r="B12569" s="1">
        <v>46181</v>
      </c>
      <c r="C12569">
        <v>16</v>
      </c>
      <c r="D12569">
        <v>783.72</v>
      </c>
      <c r="E12569">
        <v>164.64</v>
      </c>
      <c r="F12569" t="s">
        <v>7</v>
      </c>
      <c r="G12569" t="s">
        <v>11</v>
      </c>
      <c r="H12569" s="5">
        <f>MONTH(Tabela1[[#This Row],[data]])</f>
        <v>6</v>
      </c>
      <c r="I12569">
        <f>YEAR(Tabela1[[#This Row],[data]])</f>
        <v>2026</v>
      </c>
    </row>
    <row r="12570" spans="1:9" x14ac:dyDescent="0.25">
      <c r="A12570" t="s">
        <v>6</v>
      </c>
      <c r="B12570" s="1">
        <v>46181</v>
      </c>
      <c r="C12570">
        <v>17</v>
      </c>
      <c r="D12570">
        <v>785.4</v>
      </c>
      <c r="E12570">
        <v>179.34</v>
      </c>
      <c r="F12570" t="s">
        <v>7</v>
      </c>
      <c r="G12570" t="s">
        <v>11</v>
      </c>
      <c r="H12570" s="5">
        <f>MONTH(Tabela1[[#This Row],[data]])</f>
        <v>6</v>
      </c>
      <c r="I12570">
        <f>YEAR(Tabela1[[#This Row],[data]])</f>
        <v>2026</v>
      </c>
    </row>
    <row r="12571" spans="1:9" x14ac:dyDescent="0.25">
      <c r="A12571" t="s">
        <v>6</v>
      </c>
      <c r="B12571" s="1">
        <v>46181</v>
      </c>
      <c r="C12571">
        <v>18</v>
      </c>
      <c r="D12571">
        <v>735.42</v>
      </c>
      <c r="E12571">
        <v>126.42</v>
      </c>
      <c r="F12571" t="s">
        <v>7</v>
      </c>
      <c r="G12571" t="s">
        <v>11</v>
      </c>
      <c r="H12571" s="5">
        <f>MONTH(Tabela1[[#This Row],[data]])</f>
        <v>6</v>
      </c>
      <c r="I12571">
        <f>YEAR(Tabela1[[#This Row],[data]])</f>
        <v>2026</v>
      </c>
    </row>
    <row r="12572" spans="1:9" x14ac:dyDescent="0.25">
      <c r="A12572" t="s">
        <v>6</v>
      </c>
      <c r="B12572" s="1">
        <v>46181</v>
      </c>
      <c r="C12572">
        <v>19</v>
      </c>
      <c r="D12572">
        <v>621.17999999999995</v>
      </c>
      <c r="E12572">
        <v>39.06</v>
      </c>
      <c r="F12572" t="s">
        <v>7</v>
      </c>
      <c r="G12572" t="s">
        <v>11</v>
      </c>
      <c r="H12572" s="5">
        <f>MONTH(Tabela1[[#This Row],[data]])</f>
        <v>6</v>
      </c>
      <c r="I12572">
        <f>YEAR(Tabela1[[#This Row],[data]])</f>
        <v>2026</v>
      </c>
    </row>
    <row r="12573" spans="1:9" x14ac:dyDescent="0.25">
      <c r="A12573" t="s">
        <v>6</v>
      </c>
      <c r="B12573" s="1">
        <v>46181</v>
      </c>
      <c r="C12573">
        <v>20</v>
      </c>
      <c r="D12573">
        <v>582.12</v>
      </c>
      <c r="E12573">
        <v>28.98</v>
      </c>
      <c r="F12573" t="s">
        <v>7</v>
      </c>
      <c r="G12573" t="s">
        <v>11</v>
      </c>
      <c r="H12573" s="5">
        <f>MONTH(Tabela1[[#This Row],[data]])</f>
        <v>6</v>
      </c>
      <c r="I12573">
        <f>YEAR(Tabela1[[#This Row],[data]])</f>
        <v>2026</v>
      </c>
    </row>
    <row r="12574" spans="1:9" x14ac:dyDescent="0.25">
      <c r="A12574" t="s">
        <v>6</v>
      </c>
      <c r="B12574" s="1">
        <v>46181</v>
      </c>
      <c r="C12574">
        <v>21</v>
      </c>
      <c r="D12574">
        <v>579.6</v>
      </c>
      <c r="E12574">
        <v>32.340000000000003</v>
      </c>
      <c r="F12574" t="s">
        <v>7</v>
      </c>
      <c r="G12574" t="s">
        <v>11</v>
      </c>
      <c r="H12574" s="5">
        <f>MONTH(Tabela1[[#This Row],[data]])</f>
        <v>6</v>
      </c>
      <c r="I12574">
        <f>YEAR(Tabela1[[#This Row],[data]])</f>
        <v>2026</v>
      </c>
    </row>
    <row r="12575" spans="1:9" x14ac:dyDescent="0.25">
      <c r="A12575" t="s">
        <v>6</v>
      </c>
      <c r="B12575" s="1">
        <v>46181</v>
      </c>
      <c r="C12575">
        <v>22</v>
      </c>
      <c r="D12575">
        <v>555.24</v>
      </c>
      <c r="E12575">
        <v>24.78</v>
      </c>
      <c r="F12575" t="s">
        <v>7</v>
      </c>
      <c r="G12575" t="s">
        <v>11</v>
      </c>
      <c r="H12575" s="5">
        <f>MONTH(Tabela1[[#This Row],[data]])</f>
        <v>6</v>
      </c>
      <c r="I12575">
        <f>YEAR(Tabela1[[#This Row],[data]])</f>
        <v>2026</v>
      </c>
    </row>
    <row r="12576" spans="1:9" x14ac:dyDescent="0.25">
      <c r="A12576" t="s">
        <v>6</v>
      </c>
      <c r="B12576" s="1">
        <v>46181</v>
      </c>
      <c r="C12576">
        <v>23</v>
      </c>
      <c r="D12576">
        <v>364.14</v>
      </c>
      <c r="E12576">
        <v>0</v>
      </c>
      <c r="F12576" t="s">
        <v>7</v>
      </c>
      <c r="G12576" t="s">
        <v>11</v>
      </c>
      <c r="H12576" s="5">
        <f>MONTH(Tabela1[[#This Row],[data]])</f>
        <v>6</v>
      </c>
      <c r="I12576">
        <f>YEAR(Tabela1[[#This Row],[data]])</f>
        <v>2026</v>
      </c>
    </row>
    <row r="12577" spans="1:9" x14ac:dyDescent="0.25">
      <c r="A12577" t="s">
        <v>6</v>
      </c>
      <c r="B12577" s="1">
        <v>46181</v>
      </c>
      <c r="C12577">
        <v>24</v>
      </c>
      <c r="D12577">
        <v>267.95999999999998</v>
      </c>
      <c r="E12577">
        <v>0</v>
      </c>
      <c r="F12577" t="s">
        <v>7</v>
      </c>
      <c r="G12577" t="s">
        <v>11</v>
      </c>
      <c r="H12577" s="5">
        <f>MONTH(Tabela1[[#This Row],[data]])</f>
        <v>6</v>
      </c>
      <c r="I12577">
        <f>YEAR(Tabela1[[#This Row],[data]])</f>
        <v>2026</v>
      </c>
    </row>
    <row r="12578" spans="1:9" x14ac:dyDescent="0.25">
      <c r="A12578" t="s">
        <v>6</v>
      </c>
      <c r="B12578" s="1">
        <v>46182</v>
      </c>
      <c r="C12578">
        <v>1</v>
      </c>
      <c r="D12578">
        <v>251.16</v>
      </c>
      <c r="E12578">
        <v>0</v>
      </c>
      <c r="F12578" t="s">
        <v>7</v>
      </c>
      <c r="G12578" t="s">
        <v>11</v>
      </c>
      <c r="H12578" s="5">
        <f>MONTH(Tabela1[[#This Row],[data]])</f>
        <v>6</v>
      </c>
      <c r="I12578">
        <f>YEAR(Tabela1[[#This Row],[data]])</f>
        <v>2026</v>
      </c>
    </row>
    <row r="12579" spans="1:9" x14ac:dyDescent="0.25">
      <c r="A12579" t="s">
        <v>6</v>
      </c>
      <c r="B12579" s="1">
        <v>46182</v>
      </c>
      <c r="C12579">
        <v>2</v>
      </c>
      <c r="D12579">
        <v>229.32</v>
      </c>
      <c r="E12579">
        <v>0</v>
      </c>
      <c r="F12579" t="s">
        <v>7</v>
      </c>
      <c r="G12579" t="s">
        <v>11</v>
      </c>
      <c r="H12579" s="5">
        <f>MONTH(Tabela1[[#This Row],[data]])</f>
        <v>6</v>
      </c>
      <c r="I12579">
        <f>YEAR(Tabela1[[#This Row],[data]])</f>
        <v>2026</v>
      </c>
    </row>
    <row r="12580" spans="1:9" x14ac:dyDescent="0.25">
      <c r="A12580" t="s">
        <v>6</v>
      </c>
      <c r="B12580" s="1">
        <v>46182</v>
      </c>
      <c r="C12580">
        <v>3</v>
      </c>
      <c r="D12580">
        <v>225.96</v>
      </c>
      <c r="E12580">
        <v>0</v>
      </c>
      <c r="F12580" t="s">
        <v>7</v>
      </c>
      <c r="G12580" t="s">
        <v>11</v>
      </c>
      <c r="H12580" s="5">
        <f>MONTH(Tabela1[[#This Row],[data]])</f>
        <v>6</v>
      </c>
      <c r="I12580">
        <f>YEAR(Tabela1[[#This Row],[data]])</f>
        <v>2026</v>
      </c>
    </row>
    <row r="12581" spans="1:9" x14ac:dyDescent="0.25">
      <c r="A12581" t="s">
        <v>6</v>
      </c>
      <c r="B12581" s="1">
        <v>46182</v>
      </c>
      <c r="C12581">
        <v>4</v>
      </c>
      <c r="D12581">
        <v>228.48</v>
      </c>
      <c r="E12581">
        <v>0</v>
      </c>
      <c r="F12581" t="s">
        <v>7</v>
      </c>
      <c r="G12581" t="s">
        <v>11</v>
      </c>
      <c r="H12581" s="5">
        <f>MONTH(Tabela1[[#This Row],[data]])</f>
        <v>6</v>
      </c>
      <c r="I12581">
        <f>YEAR(Tabela1[[#This Row],[data]])</f>
        <v>2026</v>
      </c>
    </row>
    <row r="12582" spans="1:9" x14ac:dyDescent="0.25">
      <c r="A12582" t="s">
        <v>6</v>
      </c>
      <c r="B12582" s="1">
        <v>46182</v>
      </c>
      <c r="C12582">
        <v>5</v>
      </c>
      <c r="D12582">
        <v>229.32</v>
      </c>
      <c r="E12582">
        <v>0</v>
      </c>
      <c r="F12582" t="s">
        <v>7</v>
      </c>
      <c r="G12582" t="s">
        <v>11</v>
      </c>
      <c r="H12582" s="5">
        <f>MONTH(Tabela1[[#This Row],[data]])</f>
        <v>6</v>
      </c>
      <c r="I12582">
        <f>YEAR(Tabela1[[#This Row],[data]])</f>
        <v>2026</v>
      </c>
    </row>
    <row r="12583" spans="1:9" x14ac:dyDescent="0.25">
      <c r="A12583" t="s">
        <v>6</v>
      </c>
      <c r="B12583" s="1">
        <v>46182</v>
      </c>
      <c r="C12583">
        <v>6</v>
      </c>
      <c r="D12583">
        <v>220.92</v>
      </c>
      <c r="E12583">
        <v>0</v>
      </c>
      <c r="F12583" t="s">
        <v>7</v>
      </c>
      <c r="G12583" t="s">
        <v>11</v>
      </c>
      <c r="H12583" s="5">
        <f>MONTH(Tabela1[[#This Row],[data]])</f>
        <v>6</v>
      </c>
      <c r="I12583">
        <f>YEAR(Tabela1[[#This Row],[data]])</f>
        <v>2026</v>
      </c>
    </row>
    <row r="12584" spans="1:9" x14ac:dyDescent="0.25">
      <c r="A12584" t="s">
        <v>6</v>
      </c>
      <c r="B12584" s="1">
        <v>46182</v>
      </c>
      <c r="C12584">
        <v>7</v>
      </c>
      <c r="D12584">
        <v>228.06</v>
      </c>
      <c r="E12584">
        <v>0</v>
      </c>
      <c r="F12584" t="s">
        <v>7</v>
      </c>
      <c r="G12584" t="s">
        <v>11</v>
      </c>
      <c r="H12584" s="5">
        <f>MONTH(Tabela1[[#This Row],[data]])</f>
        <v>6</v>
      </c>
      <c r="I12584">
        <f>YEAR(Tabela1[[#This Row],[data]])</f>
        <v>2026</v>
      </c>
    </row>
    <row r="12585" spans="1:9" x14ac:dyDescent="0.25">
      <c r="A12585" t="s">
        <v>6</v>
      </c>
      <c r="B12585" s="1">
        <v>46182</v>
      </c>
      <c r="C12585">
        <v>8</v>
      </c>
      <c r="D12585">
        <v>243.6</v>
      </c>
      <c r="E12585">
        <v>0</v>
      </c>
      <c r="F12585" t="s">
        <v>7</v>
      </c>
      <c r="G12585" t="s">
        <v>11</v>
      </c>
      <c r="H12585" s="5">
        <f>MONTH(Tabela1[[#This Row],[data]])</f>
        <v>6</v>
      </c>
      <c r="I12585">
        <f>YEAR(Tabela1[[#This Row],[data]])</f>
        <v>2026</v>
      </c>
    </row>
    <row r="12586" spans="1:9" x14ac:dyDescent="0.25">
      <c r="A12586" t="s">
        <v>6</v>
      </c>
      <c r="B12586" s="1">
        <v>46182</v>
      </c>
      <c r="C12586">
        <v>9</v>
      </c>
      <c r="D12586">
        <v>295.26</v>
      </c>
      <c r="E12586">
        <v>0</v>
      </c>
      <c r="F12586" t="s">
        <v>7</v>
      </c>
      <c r="G12586" t="s">
        <v>11</v>
      </c>
      <c r="H12586" s="5">
        <f>MONTH(Tabela1[[#This Row],[data]])</f>
        <v>6</v>
      </c>
      <c r="I12586">
        <f>YEAR(Tabela1[[#This Row],[data]])</f>
        <v>2026</v>
      </c>
    </row>
    <row r="12587" spans="1:9" x14ac:dyDescent="0.25">
      <c r="A12587" t="s">
        <v>6</v>
      </c>
      <c r="B12587" s="1">
        <v>46182</v>
      </c>
      <c r="C12587">
        <v>10</v>
      </c>
      <c r="D12587">
        <v>400.68</v>
      </c>
      <c r="E12587">
        <v>1.68</v>
      </c>
      <c r="F12587" t="s">
        <v>7</v>
      </c>
      <c r="G12587" t="s">
        <v>11</v>
      </c>
      <c r="H12587" s="5">
        <f>MONTH(Tabela1[[#This Row],[data]])</f>
        <v>6</v>
      </c>
      <c r="I12587">
        <f>YEAR(Tabela1[[#This Row],[data]])</f>
        <v>2026</v>
      </c>
    </row>
    <row r="12588" spans="1:9" x14ac:dyDescent="0.25">
      <c r="A12588" t="s">
        <v>6</v>
      </c>
      <c r="B12588" s="1">
        <v>46182</v>
      </c>
      <c r="C12588">
        <v>11</v>
      </c>
      <c r="D12588">
        <v>531.29999999999995</v>
      </c>
      <c r="E12588">
        <v>15.12</v>
      </c>
      <c r="F12588" t="s">
        <v>7</v>
      </c>
      <c r="G12588" t="s">
        <v>11</v>
      </c>
      <c r="H12588" s="5">
        <f>MONTH(Tabela1[[#This Row],[data]])</f>
        <v>6</v>
      </c>
      <c r="I12588">
        <f>YEAR(Tabela1[[#This Row],[data]])</f>
        <v>2026</v>
      </c>
    </row>
    <row r="12589" spans="1:9" x14ac:dyDescent="0.25">
      <c r="A12589" t="s">
        <v>6</v>
      </c>
      <c r="B12589" s="1">
        <v>46182</v>
      </c>
      <c r="C12589">
        <v>12</v>
      </c>
      <c r="D12589">
        <v>595.14</v>
      </c>
      <c r="E12589">
        <v>38.64</v>
      </c>
      <c r="F12589" t="s">
        <v>7</v>
      </c>
      <c r="G12589" t="s">
        <v>11</v>
      </c>
      <c r="H12589" s="5">
        <f>MONTH(Tabela1[[#This Row],[data]])</f>
        <v>6</v>
      </c>
      <c r="I12589">
        <f>YEAR(Tabela1[[#This Row],[data]])</f>
        <v>2026</v>
      </c>
    </row>
    <row r="12590" spans="1:9" x14ac:dyDescent="0.25">
      <c r="A12590" t="s">
        <v>6</v>
      </c>
      <c r="B12590" s="1">
        <v>46182</v>
      </c>
      <c r="C12590">
        <v>13</v>
      </c>
      <c r="D12590">
        <v>603.54</v>
      </c>
      <c r="E12590">
        <v>57.96</v>
      </c>
      <c r="F12590" t="s">
        <v>7</v>
      </c>
      <c r="G12590" t="s">
        <v>11</v>
      </c>
      <c r="H12590" s="5">
        <f>MONTH(Tabela1[[#This Row],[data]])</f>
        <v>6</v>
      </c>
      <c r="I12590">
        <f>YEAR(Tabela1[[#This Row],[data]])</f>
        <v>2026</v>
      </c>
    </row>
    <row r="12591" spans="1:9" x14ac:dyDescent="0.25">
      <c r="A12591" t="s">
        <v>6</v>
      </c>
      <c r="B12591" s="1">
        <v>46182</v>
      </c>
      <c r="C12591">
        <v>14</v>
      </c>
      <c r="D12591">
        <v>611.52</v>
      </c>
      <c r="E12591">
        <v>50.4</v>
      </c>
      <c r="F12591" t="s">
        <v>7</v>
      </c>
      <c r="G12591" t="s">
        <v>11</v>
      </c>
      <c r="H12591" s="5">
        <f>MONTH(Tabela1[[#This Row],[data]])</f>
        <v>6</v>
      </c>
      <c r="I12591">
        <f>YEAR(Tabela1[[#This Row],[data]])</f>
        <v>2026</v>
      </c>
    </row>
    <row r="12592" spans="1:9" x14ac:dyDescent="0.25">
      <c r="A12592" t="s">
        <v>6</v>
      </c>
      <c r="B12592" s="1">
        <v>46182</v>
      </c>
      <c r="C12592">
        <v>15</v>
      </c>
      <c r="D12592">
        <v>598.08000000000004</v>
      </c>
      <c r="E12592">
        <v>37.380000000000003</v>
      </c>
      <c r="F12592" t="s">
        <v>7</v>
      </c>
      <c r="G12592" t="s">
        <v>11</v>
      </c>
      <c r="H12592" s="5">
        <f>MONTH(Tabela1[[#This Row],[data]])</f>
        <v>6</v>
      </c>
      <c r="I12592">
        <f>YEAR(Tabela1[[#This Row],[data]])</f>
        <v>2026</v>
      </c>
    </row>
    <row r="12593" spans="1:9" x14ac:dyDescent="0.25">
      <c r="A12593" t="s">
        <v>6</v>
      </c>
      <c r="B12593" s="1">
        <v>46182</v>
      </c>
      <c r="C12593">
        <v>16</v>
      </c>
      <c r="D12593">
        <v>600.6</v>
      </c>
      <c r="E12593">
        <v>38.64</v>
      </c>
      <c r="F12593" t="s">
        <v>7</v>
      </c>
      <c r="G12593" t="s">
        <v>11</v>
      </c>
      <c r="H12593" s="5">
        <f>MONTH(Tabela1[[#This Row],[data]])</f>
        <v>6</v>
      </c>
      <c r="I12593">
        <f>YEAR(Tabela1[[#This Row],[data]])</f>
        <v>2026</v>
      </c>
    </row>
    <row r="12594" spans="1:9" x14ac:dyDescent="0.25">
      <c r="A12594" t="s">
        <v>6</v>
      </c>
      <c r="B12594" s="1">
        <v>46182</v>
      </c>
      <c r="C12594">
        <v>17</v>
      </c>
      <c r="D12594">
        <v>608.16</v>
      </c>
      <c r="E12594">
        <v>66.78</v>
      </c>
      <c r="F12594" t="s">
        <v>7</v>
      </c>
      <c r="G12594" t="s">
        <v>11</v>
      </c>
      <c r="H12594" s="5">
        <f>MONTH(Tabela1[[#This Row],[data]])</f>
        <v>6</v>
      </c>
      <c r="I12594">
        <f>YEAR(Tabela1[[#This Row],[data]])</f>
        <v>2026</v>
      </c>
    </row>
    <row r="12595" spans="1:9" x14ac:dyDescent="0.25">
      <c r="A12595" t="s">
        <v>6</v>
      </c>
      <c r="B12595" s="1">
        <v>46182</v>
      </c>
      <c r="C12595">
        <v>18</v>
      </c>
      <c r="D12595">
        <v>613.62</v>
      </c>
      <c r="E12595">
        <v>47.04</v>
      </c>
      <c r="F12595" t="s">
        <v>7</v>
      </c>
      <c r="G12595" t="s">
        <v>11</v>
      </c>
      <c r="H12595" s="5">
        <f>MONTH(Tabela1[[#This Row],[data]])</f>
        <v>6</v>
      </c>
      <c r="I12595">
        <f>YEAR(Tabela1[[#This Row],[data]])</f>
        <v>2026</v>
      </c>
    </row>
    <row r="12596" spans="1:9" x14ac:dyDescent="0.25">
      <c r="A12596" t="s">
        <v>6</v>
      </c>
      <c r="B12596" s="1">
        <v>46182</v>
      </c>
      <c r="C12596">
        <v>19</v>
      </c>
      <c r="D12596">
        <v>592.20000000000005</v>
      </c>
      <c r="E12596">
        <v>14.28</v>
      </c>
      <c r="F12596" t="s">
        <v>7</v>
      </c>
      <c r="G12596" t="s">
        <v>11</v>
      </c>
      <c r="H12596" s="5">
        <f>MONTH(Tabela1[[#This Row],[data]])</f>
        <v>6</v>
      </c>
      <c r="I12596">
        <f>YEAR(Tabela1[[#This Row],[data]])</f>
        <v>2026</v>
      </c>
    </row>
    <row r="12597" spans="1:9" x14ac:dyDescent="0.25">
      <c r="A12597" t="s">
        <v>6</v>
      </c>
      <c r="B12597" s="1">
        <v>46182</v>
      </c>
      <c r="C12597">
        <v>20</v>
      </c>
      <c r="D12597">
        <v>595.55999999999995</v>
      </c>
      <c r="E12597">
        <v>36.54</v>
      </c>
      <c r="F12597" t="s">
        <v>7</v>
      </c>
      <c r="G12597" t="s">
        <v>11</v>
      </c>
      <c r="H12597" s="5">
        <f>MONTH(Tabela1[[#This Row],[data]])</f>
        <v>6</v>
      </c>
      <c r="I12597">
        <f>YEAR(Tabela1[[#This Row],[data]])</f>
        <v>2026</v>
      </c>
    </row>
    <row r="12598" spans="1:9" x14ac:dyDescent="0.25">
      <c r="A12598" t="s">
        <v>6</v>
      </c>
      <c r="B12598" s="1">
        <v>46182</v>
      </c>
      <c r="C12598">
        <v>21</v>
      </c>
      <c r="D12598">
        <v>587.16</v>
      </c>
      <c r="E12598">
        <v>27.72</v>
      </c>
      <c r="F12598" t="s">
        <v>7</v>
      </c>
      <c r="G12598" t="s">
        <v>11</v>
      </c>
      <c r="H12598" s="5">
        <f>MONTH(Tabela1[[#This Row],[data]])</f>
        <v>6</v>
      </c>
      <c r="I12598">
        <f>YEAR(Tabela1[[#This Row],[data]])</f>
        <v>2026</v>
      </c>
    </row>
    <row r="12599" spans="1:9" x14ac:dyDescent="0.25">
      <c r="A12599" t="s">
        <v>6</v>
      </c>
      <c r="B12599" s="1">
        <v>46182</v>
      </c>
      <c r="C12599">
        <v>22</v>
      </c>
      <c r="D12599">
        <v>560.70000000000005</v>
      </c>
      <c r="E12599">
        <v>25.2</v>
      </c>
      <c r="F12599" t="s">
        <v>7</v>
      </c>
      <c r="G12599" t="s">
        <v>11</v>
      </c>
      <c r="H12599" s="5">
        <f>MONTH(Tabela1[[#This Row],[data]])</f>
        <v>6</v>
      </c>
      <c r="I12599">
        <f>YEAR(Tabela1[[#This Row],[data]])</f>
        <v>2026</v>
      </c>
    </row>
    <row r="12600" spans="1:9" x14ac:dyDescent="0.25">
      <c r="A12600" t="s">
        <v>6</v>
      </c>
      <c r="B12600" s="1">
        <v>46182</v>
      </c>
      <c r="C12600">
        <v>23</v>
      </c>
      <c r="D12600">
        <v>370.02</v>
      </c>
      <c r="E12600">
        <v>0</v>
      </c>
      <c r="F12600" t="s">
        <v>7</v>
      </c>
      <c r="G12600" t="s">
        <v>11</v>
      </c>
      <c r="H12600" s="5">
        <f>MONTH(Tabela1[[#This Row],[data]])</f>
        <v>6</v>
      </c>
      <c r="I12600">
        <f>YEAR(Tabela1[[#This Row],[data]])</f>
        <v>2026</v>
      </c>
    </row>
    <row r="12601" spans="1:9" x14ac:dyDescent="0.25">
      <c r="A12601" t="s">
        <v>6</v>
      </c>
      <c r="B12601" s="1">
        <v>46182</v>
      </c>
      <c r="C12601">
        <v>24</v>
      </c>
      <c r="D12601">
        <v>280.14</v>
      </c>
      <c r="E12601">
        <v>0</v>
      </c>
      <c r="F12601" t="s">
        <v>7</v>
      </c>
      <c r="G12601" t="s">
        <v>11</v>
      </c>
      <c r="H12601" s="5">
        <f>MONTH(Tabela1[[#This Row],[data]])</f>
        <v>6</v>
      </c>
      <c r="I12601">
        <f>YEAR(Tabela1[[#This Row],[data]])</f>
        <v>2026</v>
      </c>
    </row>
    <row r="12602" spans="1:9" x14ac:dyDescent="0.25">
      <c r="A12602" t="s">
        <v>6</v>
      </c>
      <c r="B12602" s="1">
        <v>46183</v>
      </c>
      <c r="C12602">
        <v>1</v>
      </c>
      <c r="D12602">
        <v>257.04000000000002</v>
      </c>
      <c r="E12602">
        <v>0</v>
      </c>
      <c r="F12602" t="s">
        <v>7</v>
      </c>
      <c r="G12602" t="s">
        <v>11</v>
      </c>
      <c r="H12602" s="5">
        <f>MONTH(Tabela1[[#This Row],[data]])</f>
        <v>6</v>
      </c>
      <c r="I12602">
        <f>YEAR(Tabela1[[#This Row],[data]])</f>
        <v>2026</v>
      </c>
    </row>
    <row r="12603" spans="1:9" x14ac:dyDescent="0.25">
      <c r="A12603" t="s">
        <v>6</v>
      </c>
      <c r="B12603" s="1">
        <v>46183</v>
      </c>
      <c r="C12603">
        <v>2</v>
      </c>
      <c r="D12603">
        <v>241.5</v>
      </c>
      <c r="E12603">
        <v>0</v>
      </c>
      <c r="F12603" t="s">
        <v>7</v>
      </c>
      <c r="G12603" t="s">
        <v>11</v>
      </c>
      <c r="H12603" s="5">
        <f>MONTH(Tabela1[[#This Row],[data]])</f>
        <v>6</v>
      </c>
      <c r="I12603">
        <f>YEAR(Tabela1[[#This Row],[data]])</f>
        <v>2026</v>
      </c>
    </row>
    <row r="12604" spans="1:9" x14ac:dyDescent="0.25">
      <c r="A12604" t="s">
        <v>6</v>
      </c>
      <c r="B12604" s="1">
        <v>46183</v>
      </c>
      <c r="C12604">
        <v>3</v>
      </c>
      <c r="D12604">
        <v>238.98</v>
      </c>
      <c r="E12604">
        <v>0</v>
      </c>
      <c r="F12604" t="s">
        <v>7</v>
      </c>
      <c r="G12604" t="s">
        <v>11</v>
      </c>
      <c r="H12604" s="5">
        <f>MONTH(Tabela1[[#This Row],[data]])</f>
        <v>6</v>
      </c>
      <c r="I12604">
        <f>YEAR(Tabela1[[#This Row],[data]])</f>
        <v>2026</v>
      </c>
    </row>
    <row r="12605" spans="1:9" x14ac:dyDescent="0.25">
      <c r="A12605" t="s">
        <v>6</v>
      </c>
      <c r="B12605" s="1">
        <v>46183</v>
      </c>
      <c r="C12605">
        <v>4</v>
      </c>
      <c r="D12605">
        <v>241.5</v>
      </c>
      <c r="E12605">
        <v>0</v>
      </c>
      <c r="F12605" t="s">
        <v>7</v>
      </c>
      <c r="G12605" t="s">
        <v>11</v>
      </c>
      <c r="H12605" s="5">
        <f>MONTH(Tabela1[[#This Row],[data]])</f>
        <v>6</v>
      </c>
      <c r="I12605">
        <f>YEAR(Tabela1[[#This Row],[data]])</f>
        <v>2026</v>
      </c>
    </row>
    <row r="12606" spans="1:9" x14ac:dyDescent="0.25">
      <c r="A12606" t="s">
        <v>6</v>
      </c>
      <c r="B12606" s="1">
        <v>46183</v>
      </c>
      <c r="C12606">
        <v>5</v>
      </c>
      <c r="D12606">
        <v>242.34</v>
      </c>
      <c r="E12606">
        <v>0</v>
      </c>
      <c r="F12606" t="s">
        <v>7</v>
      </c>
      <c r="G12606" t="s">
        <v>11</v>
      </c>
      <c r="H12606" s="5">
        <f>MONTH(Tabela1[[#This Row],[data]])</f>
        <v>6</v>
      </c>
      <c r="I12606">
        <f>YEAR(Tabela1[[#This Row],[data]])</f>
        <v>2026</v>
      </c>
    </row>
    <row r="12607" spans="1:9" x14ac:dyDescent="0.25">
      <c r="A12607" t="s">
        <v>6</v>
      </c>
      <c r="B12607" s="1">
        <v>46183</v>
      </c>
      <c r="C12607">
        <v>6</v>
      </c>
      <c r="D12607">
        <v>237.3</v>
      </c>
      <c r="E12607">
        <v>0</v>
      </c>
      <c r="F12607" t="s">
        <v>7</v>
      </c>
      <c r="G12607" t="s">
        <v>11</v>
      </c>
      <c r="H12607" s="5">
        <f>MONTH(Tabela1[[#This Row],[data]])</f>
        <v>6</v>
      </c>
      <c r="I12607">
        <f>YEAR(Tabela1[[#This Row],[data]])</f>
        <v>2026</v>
      </c>
    </row>
    <row r="12608" spans="1:9" x14ac:dyDescent="0.25">
      <c r="A12608" t="s">
        <v>6</v>
      </c>
      <c r="B12608" s="1">
        <v>46183</v>
      </c>
      <c r="C12608">
        <v>7</v>
      </c>
      <c r="D12608">
        <v>242.76</v>
      </c>
      <c r="E12608">
        <v>0</v>
      </c>
      <c r="F12608" t="s">
        <v>7</v>
      </c>
      <c r="G12608" t="s">
        <v>11</v>
      </c>
      <c r="H12608" s="5">
        <f>MONTH(Tabela1[[#This Row],[data]])</f>
        <v>6</v>
      </c>
      <c r="I12608">
        <f>YEAR(Tabela1[[#This Row],[data]])</f>
        <v>2026</v>
      </c>
    </row>
    <row r="12609" spans="1:9" x14ac:dyDescent="0.25">
      <c r="A12609" t="s">
        <v>6</v>
      </c>
      <c r="B12609" s="1">
        <v>46183</v>
      </c>
      <c r="C12609">
        <v>8</v>
      </c>
      <c r="D12609">
        <v>234.36</v>
      </c>
      <c r="E12609">
        <v>0</v>
      </c>
      <c r="F12609" t="s">
        <v>7</v>
      </c>
      <c r="G12609" t="s">
        <v>11</v>
      </c>
      <c r="H12609" s="5">
        <f>MONTH(Tabela1[[#This Row],[data]])</f>
        <v>6</v>
      </c>
      <c r="I12609">
        <f>YEAR(Tabela1[[#This Row],[data]])</f>
        <v>2026</v>
      </c>
    </row>
    <row r="12610" spans="1:9" x14ac:dyDescent="0.25">
      <c r="A12610" t="s">
        <v>6</v>
      </c>
      <c r="B12610" s="1">
        <v>46183</v>
      </c>
      <c r="C12610">
        <v>9</v>
      </c>
      <c r="D12610">
        <v>304.92</v>
      </c>
      <c r="E12610">
        <v>0</v>
      </c>
      <c r="F12610" t="s">
        <v>7</v>
      </c>
      <c r="G12610" t="s">
        <v>11</v>
      </c>
      <c r="H12610" s="5">
        <f>MONTH(Tabela1[[#This Row],[data]])</f>
        <v>6</v>
      </c>
      <c r="I12610">
        <f>YEAR(Tabela1[[#This Row],[data]])</f>
        <v>2026</v>
      </c>
    </row>
    <row r="12611" spans="1:9" x14ac:dyDescent="0.25">
      <c r="A12611" t="s">
        <v>6</v>
      </c>
      <c r="B12611" s="1">
        <v>46183</v>
      </c>
      <c r="C12611">
        <v>10</v>
      </c>
      <c r="D12611">
        <v>388.5</v>
      </c>
      <c r="E12611">
        <v>7.14</v>
      </c>
      <c r="F12611" t="s">
        <v>7</v>
      </c>
      <c r="G12611" t="s">
        <v>11</v>
      </c>
      <c r="H12611" s="5">
        <f>MONTH(Tabela1[[#This Row],[data]])</f>
        <v>6</v>
      </c>
      <c r="I12611">
        <f>YEAR(Tabela1[[#This Row],[data]])</f>
        <v>2026</v>
      </c>
    </row>
    <row r="12612" spans="1:9" x14ac:dyDescent="0.25">
      <c r="A12612" t="s">
        <v>6</v>
      </c>
      <c r="B12612" s="1">
        <v>46183</v>
      </c>
      <c r="C12612">
        <v>11</v>
      </c>
      <c r="D12612">
        <v>541.79999999999995</v>
      </c>
      <c r="E12612">
        <v>34.020000000000003</v>
      </c>
      <c r="F12612" t="s">
        <v>7</v>
      </c>
      <c r="G12612" t="s">
        <v>11</v>
      </c>
      <c r="H12612" s="5">
        <f>MONTH(Tabela1[[#This Row],[data]])</f>
        <v>6</v>
      </c>
      <c r="I12612">
        <f>YEAR(Tabela1[[#This Row],[data]])</f>
        <v>2026</v>
      </c>
    </row>
    <row r="12613" spans="1:9" x14ac:dyDescent="0.25">
      <c r="A12613" t="s">
        <v>6</v>
      </c>
      <c r="B12613" s="1">
        <v>46183</v>
      </c>
      <c r="C12613">
        <v>12</v>
      </c>
      <c r="D12613">
        <v>803.88</v>
      </c>
      <c r="E12613">
        <v>143.22</v>
      </c>
      <c r="F12613" t="s">
        <v>7</v>
      </c>
      <c r="G12613" t="s">
        <v>11</v>
      </c>
      <c r="H12613" s="5">
        <f>MONTH(Tabela1[[#This Row],[data]])</f>
        <v>6</v>
      </c>
      <c r="I12613">
        <f>YEAR(Tabela1[[#This Row],[data]])</f>
        <v>2026</v>
      </c>
    </row>
    <row r="12614" spans="1:9" x14ac:dyDescent="0.25">
      <c r="A12614" t="s">
        <v>6</v>
      </c>
      <c r="B12614" s="1">
        <v>46183</v>
      </c>
      <c r="C12614">
        <v>13</v>
      </c>
      <c r="D12614">
        <v>794.22</v>
      </c>
      <c r="E12614">
        <v>184.8</v>
      </c>
      <c r="F12614" t="s">
        <v>7</v>
      </c>
      <c r="G12614" t="s">
        <v>11</v>
      </c>
      <c r="H12614" s="5">
        <f>MONTH(Tabela1[[#This Row],[data]])</f>
        <v>6</v>
      </c>
      <c r="I12614">
        <f>YEAR(Tabela1[[#This Row],[data]])</f>
        <v>2026</v>
      </c>
    </row>
    <row r="12615" spans="1:9" x14ac:dyDescent="0.25">
      <c r="A12615" t="s">
        <v>6</v>
      </c>
      <c r="B12615" s="1">
        <v>46183</v>
      </c>
      <c r="C12615">
        <v>14</v>
      </c>
      <c r="D12615">
        <v>789.18</v>
      </c>
      <c r="E12615">
        <v>166.32</v>
      </c>
      <c r="F12615" t="s">
        <v>7</v>
      </c>
      <c r="G12615" t="s">
        <v>11</v>
      </c>
      <c r="H12615" s="5">
        <f>MONTH(Tabela1[[#This Row],[data]])</f>
        <v>6</v>
      </c>
      <c r="I12615">
        <f>YEAR(Tabela1[[#This Row],[data]])</f>
        <v>2026</v>
      </c>
    </row>
    <row r="12616" spans="1:9" x14ac:dyDescent="0.25">
      <c r="A12616" t="s">
        <v>6</v>
      </c>
      <c r="B12616" s="1">
        <v>46183</v>
      </c>
      <c r="C12616">
        <v>15</v>
      </c>
      <c r="D12616">
        <v>788.34</v>
      </c>
      <c r="E12616">
        <v>163.80000000000001</v>
      </c>
      <c r="F12616" t="s">
        <v>7</v>
      </c>
      <c r="G12616" t="s">
        <v>11</v>
      </c>
      <c r="H12616" s="5">
        <f>MONTH(Tabela1[[#This Row],[data]])</f>
        <v>6</v>
      </c>
      <c r="I12616">
        <f>YEAR(Tabela1[[#This Row],[data]])</f>
        <v>2026</v>
      </c>
    </row>
    <row r="12617" spans="1:9" x14ac:dyDescent="0.25">
      <c r="A12617" t="s">
        <v>6</v>
      </c>
      <c r="B12617" s="1">
        <v>46183</v>
      </c>
      <c r="C12617">
        <v>16</v>
      </c>
      <c r="D12617">
        <v>792.12</v>
      </c>
      <c r="E12617">
        <v>188.58</v>
      </c>
      <c r="F12617" t="s">
        <v>7</v>
      </c>
      <c r="G12617" t="s">
        <v>11</v>
      </c>
      <c r="H12617" s="5">
        <f>MONTH(Tabela1[[#This Row],[data]])</f>
        <v>6</v>
      </c>
      <c r="I12617">
        <f>YEAR(Tabela1[[#This Row],[data]])</f>
        <v>2026</v>
      </c>
    </row>
    <row r="12618" spans="1:9" x14ac:dyDescent="0.25">
      <c r="A12618" t="s">
        <v>6</v>
      </c>
      <c r="B12618" s="1">
        <v>46183</v>
      </c>
      <c r="C12618">
        <v>17</v>
      </c>
      <c r="D12618">
        <v>777.42</v>
      </c>
      <c r="E12618">
        <v>191.94</v>
      </c>
      <c r="F12618" t="s">
        <v>7</v>
      </c>
      <c r="G12618" t="s">
        <v>11</v>
      </c>
      <c r="H12618" s="5">
        <f>MONTH(Tabela1[[#This Row],[data]])</f>
        <v>6</v>
      </c>
      <c r="I12618">
        <f>YEAR(Tabela1[[#This Row],[data]])</f>
        <v>2026</v>
      </c>
    </row>
    <row r="12619" spans="1:9" x14ac:dyDescent="0.25">
      <c r="A12619" t="s">
        <v>6</v>
      </c>
      <c r="B12619" s="1">
        <v>46183</v>
      </c>
      <c r="C12619">
        <v>18</v>
      </c>
      <c r="D12619">
        <v>784.14</v>
      </c>
      <c r="E12619">
        <v>149.94</v>
      </c>
      <c r="F12619" t="s">
        <v>7</v>
      </c>
      <c r="G12619" t="s">
        <v>11</v>
      </c>
      <c r="H12619" s="5">
        <f>MONTH(Tabela1[[#This Row],[data]])</f>
        <v>6</v>
      </c>
      <c r="I12619">
        <f>YEAR(Tabela1[[#This Row],[data]])</f>
        <v>2026</v>
      </c>
    </row>
    <row r="12620" spans="1:9" x14ac:dyDescent="0.25">
      <c r="A12620" t="s">
        <v>6</v>
      </c>
      <c r="B12620" s="1">
        <v>46183</v>
      </c>
      <c r="C12620">
        <v>19</v>
      </c>
      <c r="D12620">
        <v>652.26</v>
      </c>
      <c r="E12620">
        <v>59.22</v>
      </c>
      <c r="F12620" t="s">
        <v>7</v>
      </c>
      <c r="G12620" t="s">
        <v>11</v>
      </c>
      <c r="H12620" s="5">
        <f>MONTH(Tabela1[[#This Row],[data]])</f>
        <v>6</v>
      </c>
      <c r="I12620">
        <f>YEAR(Tabela1[[#This Row],[data]])</f>
        <v>2026</v>
      </c>
    </row>
    <row r="12621" spans="1:9" x14ac:dyDescent="0.25">
      <c r="A12621" t="s">
        <v>6</v>
      </c>
      <c r="B12621" s="1">
        <v>46183</v>
      </c>
      <c r="C12621">
        <v>20</v>
      </c>
      <c r="D12621">
        <v>598.5</v>
      </c>
      <c r="E12621">
        <v>39.06</v>
      </c>
      <c r="F12621" t="s">
        <v>7</v>
      </c>
      <c r="G12621" t="s">
        <v>11</v>
      </c>
      <c r="H12621" s="5">
        <f>MONTH(Tabela1[[#This Row],[data]])</f>
        <v>6</v>
      </c>
      <c r="I12621">
        <f>YEAR(Tabela1[[#This Row],[data]])</f>
        <v>2026</v>
      </c>
    </row>
    <row r="12622" spans="1:9" x14ac:dyDescent="0.25">
      <c r="A12622" t="s">
        <v>6</v>
      </c>
      <c r="B12622" s="1">
        <v>46183</v>
      </c>
      <c r="C12622">
        <v>21</v>
      </c>
      <c r="D12622">
        <v>592.62</v>
      </c>
      <c r="E12622">
        <v>45.78</v>
      </c>
      <c r="F12622" t="s">
        <v>7</v>
      </c>
      <c r="G12622" t="s">
        <v>11</v>
      </c>
      <c r="H12622" s="5">
        <f>MONTH(Tabela1[[#This Row],[data]])</f>
        <v>6</v>
      </c>
      <c r="I12622">
        <f>YEAR(Tabela1[[#This Row],[data]])</f>
        <v>2026</v>
      </c>
    </row>
    <row r="12623" spans="1:9" x14ac:dyDescent="0.25">
      <c r="A12623" t="s">
        <v>6</v>
      </c>
      <c r="B12623" s="1">
        <v>46183</v>
      </c>
      <c r="C12623">
        <v>22</v>
      </c>
      <c r="D12623">
        <v>561.96</v>
      </c>
      <c r="E12623">
        <v>31.5</v>
      </c>
      <c r="F12623" t="s">
        <v>7</v>
      </c>
      <c r="G12623" t="s">
        <v>11</v>
      </c>
      <c r="H12623" s="5">
        <f>MONTH(Tabela1[[#This Row],[data]])</f>
        <v>6</v>
      </c>
      <c r="I12623">
        <f>YEAR(Tabela1[[#This Row],[data]])</f>
        <v>2026</v>
      </c>
    </row>
    <row r="12624" spans="1:9" x14ac:dyDescent="0.25">
      <c r="A12624" t="s">
        <v>6</v>
      </c>
      <c r="B12624" s="1">
        <v>46183</v>
      </c>
      <c r="C12624">
        <v>23</v>
      </c>
      <c r="D12624">
        <v>364.14</v>
      </c>
      <c r="E12624">
        <v>0</v>
      </c>
      <c r="F12624" t="s">
        <v>7</v>
      </c>
      <c r="G12624" t="s">
        <v>11</v>
      </c>
      <c r="H12624" s="5">
        <f>MONTH(Tabela1[[#This Row],[data]])</f>
        <v>6</v>
      </c>
      <c r="I12624">
        <f>YEAR(Tabela1[[#This Row],[data]])</f>
        <v>2026</v>
      </c>
    </row>
    <row r="12625" spans="1:9" x14ac:dyDescent="0.25">
      <c r="A12625" t="s">
        <v>6</v>
      </c>
      <c r="B12625" s="1">
        <v>46183</v>
      </c>
      <c r="C12625">
        <v>24</v>
      </c>
      <c r="D12625">
        <v>280.56</v>
      </c>
      <c r="E12625">
        <v>0</v>
      </c>
      <c r="F12625" t="s">
        <v>7</v>
      </c>
      <c r="G12625" t="s">
        <v>11</v>
      </c>
      <c r="H12625" s="5">
        <f>MONTH(Tabela1[[#This Row],[data]])</f>
        <v>6</v>
      </c>
      <c r="I12625">
        <f>YEAR(Tabela1[[#This Row],[data]])</f>
        <v>2026</v>
      </c>
    </row>
    <row r="12626" spans="1:9" x14ac:dyDescent="0.25">
      <c r="A12626" t="s">
        <v>6</v>
      </c>
      <c r="B12626" s="1">
        <v>46184</v>
      </c>
      <c r="C12626">
        <v>1</v>
      </c>
      <c r="D12626">
        <v>265.02</v>
      </c>
      <c r="E12626">
        <v>0</v>
      </c>
      <c r="F12626" t="s">
        <v>7</v>
      </c>
      <c r="G12626" t="s">
        <v>11</v>
      </c>
      <c r="H12626" s="5">
        <f>MONTH(Tabela1[[#This Row],[data]])</f>
        <v>6</v>
      </c>
      <c r="I12626">
        <f>YEAR(Tabela1[[#This Row],[data]])</f>
        <v>2026</v>
      </c>
    </row>
    <row r="12627" spans="1:9" x14ac:dyDescent="0.25">
      <c r="A12627" t="s">
        <v>6</v>
      </c>
      <c r="B12627" s="1">
        <v>46184</v>
      </c>
      <c r="C12627">
        <v>2</v>
      </c>
      <c r="D12627">
        <v>238.14</v>
      </c>
      <c r="E12627">
        <v>0</v>
      </c>
      <c r="F12627" t="s">
        <v>7</v>
      </c>
      <c r="G12627" t="s">
        <v>11</v>
      </c>
      <c r="H12627" s="5">
        <f>MONTH(Tabela1[[#This Row],[data]])</f>
        <v>6</v>
      </c>
      <c r="I12627">
        <f>YEAR(Tabela1[[#This Row],[data]])</f>
        <v>2026</v>
      </c>
    </row>
    <row r="12628" spans="1:9" x14ac:dyDescent="0.25">
      <c r="A12628" t="s">
        <v>6</v>
      </c>
      <c r="B12628" s="1">
        <v>46184</v>
      </c>
      <c r="C12628">
        <v>3</v>
      </c>
      <c r="D12628">
        <v>233.52</v>
      </c>
      <c r="E12628">
        <v>0</v>
      </c>
      <c r="F12628" t="s">
        <v>7</v>
      </c>
      <c r="G12628" t="s">
        <v>11</v>
      </c>
      <c r="H12628" s="5">
        <f>MONTH(Tabela1[[#This Row],[data]])</f>
        <v>6</v>
      </c>
      <c r="I12628">
        <f>YEAR(Tabela1[[#This Row],[data]])</f>
        <v>2026</v>
      </c>
    </row>
    <row r="12629" spans="1:9" x14ac:dyDescent="0.25">
      <c r="A12629" t="s">
        <v>6</v>
      </c>
      <c r="B12629" s="1">
        <v>46184</v>
      </c>
      <c r="C12629">
        <v>4</v>
      </c>
      <c r="D12629">
        <v>238.14</v>
      </c>
      <c r="E12629">
        <v>0</v>
      </c>
      <c r="F12629" t="s">
        <v>7</v>
      </c>
      <c r="G12629" t="s">
        <v>11</v>
      </c>
      <c r="H12629" s="5">
        <f>MONTH(Tabela1[[#This Row],[data]])</f>
        <v>6</v>
      </c>
      <c r="I12629">
        <f>YEAR(Tabela1[[#This Row],[data]])</f>
        <v>2026</v>
      </c>
    </row>
    <row r="12630" spans="1:9" x14ac:dyDescent="0.25">
      <c r="A12630" t="s">
        <v>6</v>
      </c>
      <c r="B12630" s="1">
        <v>46184</v>
      </c>
      <c r="C12630">
        <v>5</v>
      </c>
      <c r="D12630">
        <v>236.46</v>
      </c>
      <c r="E12630">
        <v>0</v>
      </c>
      <c r="F12630" t="s">
        <v>7</v>
      </c>
      <c r="G12630" t="s">
        <v>11</v>
      </c>
      <c r="H12630" s="5">
        <f>MONTH(Tabela1[[#This Row],[data]])</f>
        <v>6</v>
      </c>
      <c r="I12630">
        <f>YEAR(Tabela1[[#This Row],[data]])</f>
        <v>2026</v>
      </c>
    </row>
    <row r="12631" spans="1:9" x14ac:dyDescent="0.25">
      <c r="A12631" t="s">
        <v>6</v>
      </c>
      <c r="B12631" s="1">
        <v>46184</v>
      </c>
      <c r="C12631">
        <v>6</v>
      </c>
      <c r="D12631">
        <v>231.84</v>
      </c>
      <c r="E12631">
        <v>0</v>
      </c>
      <c r="F12631" t="s">
        <v>7</v>
      </c>
      <c r="G12631" t="s">
        <v>11</v>
      </c>
      <c r="H12631" s="5">
        <f>MONTH(Tabela1[[#This Row],[data]])</f>
        <v>6</v>
      </c>
      <c r="I12631">
        <f>YEAR(Tabela1[[#This Row],[data]])</f>
        <v>2026</v>
      </c>
    </row>
    <row r="12632" spans="1:9" x14ac:dyDescent="0.25">
      <c r="A12632" t="s">
        <v>6</v>
      </c>
      <c r="B12632" s="1">
        <v>46184</v>
      </c>
      <c r="C12632">
        <v>7</v>
      </c>
      <c r="D12632">
        <v>241.92</v>
      </c>
      <c r="E12632">
        <v>0</v>
      </c>
      <c r="F12632" t="s">
        <v>7</v>
      </c>
      <c r="G12632" t="s">
        <v>11</v>
      </c>
      <c r="H12632" s="5">
        <f>MONTH(Tabela1[[#This Row],[data]])</f>
        <v>6</v>
      </c>
      <c r="I12632">
        <f>YEAR(Tabela1[[#This Row],[data]])</f>
        <v>2026</v>
      </c>
    </row>
    <row r="12633" spans="1:9" x14ac:dyDescent="0.25">
      <c r="A12633" t="s">
        <v>6</v>
      </c>
      <c r="B12633" s="1">
        <v>46184</v>
      </c>
      <c r="C12633">
        <v>8</v>
      </c>
      <c r="D12633">
        <v>251.58</v>
      </c>
      <c r="E12633">
        <v>0</v>
      </c>
      <c r="F12633" t="s">
        <v>7</v>
      </c>
      <c r="G12633" t="s">
        <v>11</v>
      </c>
      <c r="H12633" s="5">
        <f>MONTH(Tabela1[[#This Row],[data]])</f>
        <v>6</v>
      </c>
      <c r="I12633">
        <f>YEAR(Tabela1[[#This Row],[data]])</f>
        <v>2026</v>
      </c>
    </row>
    <row r="12634" spans="1:9" x14ac:dyDescent="0.25">
      <c r="A12634" t="s">
        <v>6</v>
      </c>
      <c r="B12634" s="1">
        <v>46184</v>
      </c>
      <c r="C12634">
        <v>9</v>
      </c>
      <c r="D12634">
        <v>306.60000000000002</v>
      </c>
      <c r="E12634">
        <v>0</v>
      </c>
      <c r="F12634" t="s">
        <v>7</v>
      </c>
      <c r="G12634" t="s">
        <v>11</v>
      </c>
      <c r="H12634" s="5">
        <f>MONTH(Tabela1[[#This Row],[data]])</f>
        <v>6</v>
      </c>
      <c r="I12634">
        <f>YEAR(Tabela1[[#This Row],[data]])</f>
        <v>2026</v>
      </c>
    </row>
    <row r="12635" spans="1:9" x14ac:dyDescent="0.25">
      <c r="A12635" t="s">
        <v>6</v>
      </c>
      <c r="B12635" s="1">
        <v>46184</v>
      </c>
      <c r="C12635">
        <v>10</v>
      </c>
      <c r="D12635">
        <v>404.04</v>
      </c>
      <c r="E12635">
        <v>0.84</v>
      </c>
      <c r="F12635" t="s">
        <v>7</v>
      </c>
      <c r="G12635" t="s">
        <v>11</v>
      </c>
      <c r="H12635" s="5">
        <f>MONTH(Tabela1[[#This Row],[data]])</f>
        <v>6</v>
      </c>
      <c r="I12635">
        <f>YEAR(Tabela1[[#This Row],[data]])</f>
        <v>2026</v>
      </c>
    </row>
    <row r="12636" spans="1:9" x14ac:dyDescent="0.25">
      <c r="A12636" t="s">
        <v>6</v>
      </c>
      <c r="B12636" s="1">
        <v>46184</v>
      </c>
      <c r="C12636">
        <v>11</v>
      </c>
      <c r="D12636">
        <v>572.88</v>
      </c>
      <c r="E12636">
        <v>33.18</v>
      </c>
      <c r="F12636" t="s">
        <v>7</v>
      </c>
      <c r="G12636" t="s">
        <v>11</v>
      </c>
      <c r="H12636" s="5">
        <f>MONTH(Tabela1[[#This Row],[data]])</f>
        <v>6</v>
      </c>
      <c r="I12636">
        <f>YEAR(Tabela1[[#This Row],[data]])</f>
        <v>2026</v>
      </c>
    </row>
    <row r="12637" spans="1:9" x14ac:dyDescent="0.25">
      <c r="A12637" t="s">
        <v>6</v>
      </c>
      <c r="B12637" s="1">
        <v>46184</v>
      </c>
      <c r="C12637">
        <v>12</v>
      </c>
      <c r="D12637">
        <v>789.6</v>
      </c>
      <c r="E12637">
        <v>145.32</v>
      </c>
      <c r="F12637" t="s">
        <v>7</v>
      </c>
      <c r="G12637" t="s">
        <v>11</v>
      </c>
      <c r="H12637" s="5">
        <f>MONTH(Tabela1[[#This Row],[data]])</f>
        <v>6</v>
      </c>
      <c r="I12637">
        <f>YEAR(Tabela1[[#This Row],[data]])</f>
        <v>2026</v>
      </c>
    </row>
    <row r="12638" spans="1:9" x14ac:dyDescent="0.25">
      <c r="A12638" t="s">
        <v>6</v>
      </c>
      <c r="B12638" s="1">
        <v>46184</v>
      </c>
      <c r="C12638">
        <v>13</v>
      </c>
      <c r="D12638">
        <v>786.24</v>
      </c>
      <c r="E12638">
        <v>162.54</v>
      </c>
      <c r="F12638" t="s">
        <v>7</v>
      </c>
      <c r="G12638" t="s">
        <v>11</v>
      </c>
      <c r="H12638" s="5">
        <f>MONTH(Tabela1[[#This Row],[data]])</f>
        <v>6</v>
      </c>
      <c r="I12638">
        <f>YEAR(Tabela1[[#This Row],[data]])</f>
        <v>2026</v>
      </c>
    </row>
    <row r="12639" spans="1:9" x14ac:dyDescent="0.25">
      <c r="A12639" t="s">
        <v>6</v>
      </c>
      <c r="B12639" s="1">
        <v>46184</v>
      </c>
      <c r="C12639">
        <v>14</v>
      </c>
      <c r="D12639">
        <v>764.4</v>
      </c>
      <c r="E12639">
        <v>132.72</v>
      </c>
      <c r="F12639" t="s">
        <v>7</v>
      </c>
      <c r="G12639" t="s">
        <v>11</v>
      </c>
      <c r="H12639" s="5">
        <f>MONTH(Tabela1[[#This Row],[data]])</f>
        <v>6</v>
      </c>
      <c r="I12639">
        <f>YEAR(Tabela1[[#This Row],[data]])</f>
        <v>2026</v>
      </c>
    </row>
    <row r="12640" spans="1:9" x14ac:dyDescent="0.25">
      <c r="A12640" t="s">
        <v>6</v>
      </c>
      <c r="B12640" s="1">
        <v>46184</v>
      </c>
      <c r="C12640">
        <v>15</v>
      </c>
      <c r="D12640">
        <v>777.42</v>
      </c>
      <c r="E12640">
        <v>131.04</v>
      </c>
      <c r="F12640" t="s">
        <v>7</v>
      </c>
      <c r="G12640" t="s">
        <v>11</v>
      </c>
      <c r="H12640" s="5">
        <f>MONTH(Tabela1[[#This Row],[data]])</f>
        <v>6</v>
      </c>
      <c r="I12640">
        <f>YEAR(Tabela1[[#This Row],[data]])</f>
        <v>2026</v>
      </c>
    </row>
    <row r="12641" spans="1:9" x14ac:dyDescent="0.25">
      <c r="A12641" t="s">
        <v>6</v>
      </c>
      <c r="B12641" s="1">
        <v>46184</v>
      </c>
      <c r="C12641">
        <v>16</v>
      </c>
      <c r="D12641">
        <v>701.4</v>
      </c>
      <c r="E12641">
        <v>94.08</v>
      </c>
      <c r="F12641" t="s">
        <v>7</v>
      </c>
      <c r="G12641" t="s">
        <v>11</v>
      </c>
      <c r="H12641" s="5">
        <f>MONTH(Tabela1[[#This Row],[data]])</f>
        <v>6</v>
      </c>
      <c r="I12641">
        <f>YEAR(Tabela1[[#This Row],[data]])</f>
        <v>2026</v>
      </c>
    </row>
    <row r="12642" spans="1:9" x14ac:dyDescent="0.25">
      <c r="A12642" t="s">
        <v>6</v>
      </c>
      <c r="B12642" s="1">
        <v>46184</v>
      </c>
      <c r="C12642">
        <v>17</v>
      </c>
      <c r="D12642">
        <v>607.32000000000005</v>
      </c>
      <c r="E12642">
        <v>51.24</v>
      </c>
      <c r="F12642" t="s">
        <v>7</v>
      </c>
      <c r="G12642" t="s">
        <v>11</v>
      </c>
      <c r="H12642" s="5">
        <f>MONTH(Tabela1[[#This Row],[data]])</f>
        <v>6</v>
      </c>
      <c r="I12642">
        <f>YEAR(Tabela1[[#This Row],[data]])</f>
        <v>2026</v>
      </c>
    </row>
    <row r="12643" spans="1:9" x14ac:dyDescent="0.25">
      <c r="A12643" t="s">
        <v>6</v>
      </c>
      <c r="B12643" s="1">
        <v>46184</v>
      </c>
      <c r="C12643">
        <v>18</v>
      </c>
      <c r="D12643">
        <v>612.78</v>
      </c>
      <c r="E12643">
        <v>54.18</v>
      </c>
      <c r="F12643" t="s">
        <v>7</v>
      </c>
      <c r="G12643" t="s">
        <v>11</v>
      </c>
      <c r="H12643" s="5">
        <f>MONTH(Tabela1[[#This Row],[data]])</f>
        <v>6</v>
      </c>
      <c r="I12643">
        <f>YEAR(Tabela1[[#This Row],[data]])</f>
        <v>2026</v>
      </c>
    </row>
    <row r="12644" spans="1:9" x14ac:dyDescent="0.25">
      <c r="A12644" t="s">
        <v>6</v>
      </c>
      <c r="B12644" s="1">
        <v>46184</v>
      </c>
      <c r="C12644">
        <v>19</v>
      </c>
      <c r="D12644">
        <v>604.79999999999995</v>
      </c>
      <c r="E12644">
        <v>37.380000000000003</v>
      </c>
      <c r="F12644" t="s">
        <v>7</v>
      </c>
      <c r="G12644" t="s">
        <v>11</v>
      </c>
      <c r="H12644" s="5">
        <f>MONTH(Tabela1[[#This Row],[data]])</f>
        <v>6</v>
      </c>
      <c r="I12644">
        <f>YEAR(Tabela1[[#This Row],[data]])</f>
        <v>2026</v>
      </c>
    </row>
    <row r="12645" spans="1:9" x14ac:dyDescent="0.25">
      <c r="A12645" t="s">
        <v>6</v>
      </c>
      <c r="B12645" s="1">
        <v>46184</v>
      </c>
      <c r="C12645">
        <v>20</v>
      </c>
      <c r="D12645">
        <v>612.78</v>
      </c>
      <c r="E12645">
        <v>56.28</v>
      </c>
      <c r="F12645" t="s">
        <v>7</v>
      </c>
      <c r="G12645" t="s">
        <v>11</v>
      </c>
      <c r="H12645" s="5">
        <f>MONTH(Tabela1[[#This Row],[data]])</f>
        <v>6</v>
      </c>
      <c r="I12645">
        <f>YEAR(Tabela1[[#This Row],[data]])</f>
        <v>2026</v>
      </c>
    </row>
    <row r="12646" spans="1:9" x14ac:dyDescent="0.25">
      <c r="A12646" t="s">
        <v>6</v>
      </c>
      <c r="B12646" s="1">
        <v>46184</v>
      </c>
      <c r="C12646">
        <v>21</v>
      </c>
      <c r="D12646">
        <v>610.67999999999995</v>
      </c>
      <c r="E12646">
        <v>47.04</v>
      </c>
      <c r="F12646" t="s">
        <v>7</v>
      </c>
      <c r="G12646" t="s">
        <v>11</v>
      </c>
      <c r="H12646" s="5">
        <f>MONTH(Tabela1[[#This Row],[data]])</f>
        <v>6</v>
      </c>
      <c r="I12646">
        <f>YEAR(Tabela1[[#This Row],[data]])</f>
        <v>2026</v>
      </c>
    </row>
    <row r="12647" spans="1:9" x14ac:dyDescent="0.25">
      <c r="A12647" t="s">
        <v>6</v>
      </c>
      <c r="B12647" s="1">
        <v>46184</v>
      </c>
      <c r="C12647">
        <v>22</v>
      </c>
      <c r="D12647">
        <v>581.28</v>
      </c>
      <c r="E12647">
        <v>41.16</v>
      </c>
      <c r="F12647" t="s">
        <v>7</v>
      </c>
      <c r="G12647" t="s">
        <v>11</v>
      </c>
      <c r="H12647" s="5">
        <f>MONTH(Tabela1[[#This Row],[data]])</f>
        <v>6</v>
      </c>
      <c r="I12647">
        <f>YEAR(Tabela1[[#This Row],[data]])</f>
        <v>2026</v>
      </c>
    </row>
    <row r="12648" spans="1:9" x14ac:dyDescent="0.25">
      <c r="A12648" t="s">
        <v>6</v>
      </c>
      <c r="B12648" s="1">
        <v>46184</v>
      </c>
      <c r="C12648">
        <v>23</v>
      </c>
      <c r="D12648">
        <v>395.22</v>
      </c>
      <c r="E12648">
        <v>1.26</v>
      </c>
      <c r="F12648" t="s">
        <v>7</v>
      </c>
      <c r="G12648" t="s">
        <v>11</v>
      </c>
      <c r="H12648" s="5">
        <f>MONTH(Tabela1[[#This Row],[data]])</f>
        <v>6</v>
      </c>
      <c r="I12648">
        <f>YEAR(Tabela1[[#This Row],[data]])</f>
        <v>2026</v>
      </c>
    </row>
    <row r="12649" spans="1:9" x14ac:dyDescent="0.25">
      <c r="A12649" t="s">
        <v>6</v>
      </c>
      <c r="B12649" s="1">
        <v>46184</v>
      </c>
      <c r="C12649">
        <v>24</v>
      </c>
      <c r="D12649">
        <v>271.74</v>
      </c>
      <c r="E12649">
        <v>0</v>
      </c>
      <c r="F12649" t="s">
        <v>7</v>
      </c>
      <c r="G12649" t="s">
        <v>11</v>
      </c>
      <c r="H12649" s="5">
        <f>MONTH(Tabela1[[#This Row],[data]])</f>
        <v>6</v>
      </c>
      <c r="I12649">
        <f>YEAR(Tabela1[[#This Row],[data]])</f>
        <v>2026</v>
      </c>
    </row>
    <row r="12650" spans="1:9" x14ac:dyDescent="0.25">
      <c r="A12650" t="s">
        <v>6</v>
      </c>
      <c r="B12650" s="1">
        <v>46185</v>
      </c>
      <c r="C12650">
        <v>1</v>
      </c>
      <c r="D12650">
        <v>243.18</v>
      </c>
      <c r="E12650">
        <v>0</v>
      </c>
      <c r="F12650" t="s">
        <v>7</v>
      </c>
      <c r="G12650" t="s">
        <v>11</v>
      </c>
      <c r="H12650" s="5">
        <f>MONTH(Tabela1[[#This Row],[data]])</f>
        <v>6</v>
      </c>
      <c r="I12650">
        <f>YEAR(Tabela1[[#This Row],[data]])</f>
        <v>2026</v>
      </c>
    </row>
    <row r="12651" spans="1:9" x14ac:dyDescent="0.25">
      <c r="A12651" t="s">
        <v>6</v>
      </c>
      <c r="B12651" s="1">
        <v>46185</v>
      </c>
      <c r="C12651">
        <v>2</v>
      </c>
      <c r="D12651">
        <v>243.6</v>
      </c>
      <c r="E12651">
        <v>0</v>
      </c>
      <c r="F12651" t="s">
        <v>7</v>
      </c>
      <c r="G12651" t="s">
        <v>11</v>
      </c>
      <c r="H12651" s="5">
        <f>MONTH(Tabela1[[#This Row],[data]])</f>
        <v>6</v>
      </c>
      <c r="I12651">
        <f>YEAR(Tabela1[[#This Row],[data]])</f>
        <v>2026</v>
      </c>
    </row>
    <row r="12652" spans="1:9" x14ac:dyDescent="0.25">
      <c r="A12652" t="s">
        <v>6</v>
      </c>
      <c r="B12652" s="1">
        <v>46185</v>
      </c>
      <c r="C12652">
        <v>3</v>
      </c>
      <c r="D12652">
        <v>239.4</v>
      </c>
      <c r="E12652">
        <v>0</v>
      </c>
      <c r="F12652" t="s">
        <v>7</v>
      </c>
      <c r="G12652" t="s">
        <v>11</v>
      </c>
      <c r="H12652" s="5">
        <f>MONTH(Tabela1[[#This Row],[data]])</f>
        <v>6</v>
      </c>
      <c r="I12652">
        <f>YEAR(Tabela1[[#This Row],[data]])</f>
        <v>2026</v>
      </c>
    </row>
    <row r="12653" spans="1:9" x14ac:dyDescent="0.25">
      <c r="A12653" t="s">
        <v>6</v>
      </c>
      <c r="B12653" s="1">
        <v>46185</v>
      </c>
      <c r="C12653">
        <v>4</v>
      </c>
      <c r="D12653">
        <v>245.28</v>
      </c>
      <c r="E12653">
        <v>0</v>
      </c>
      <c r="F12653" t="s">
        <v>7</v>
      </c>
      <c r="G12653" t="s">
        <v>11</v>
      </c>
      <c r="H12653" s="5">
        <f>MONTH(Tabela1[[#This Row],[data]])</f>
        <v>6</v>
      </c>
      <c r="I12653">
        <f>YEAR(Tabela1[[#This Row],[data]])</f>
        <v>2026</v>
      </c>
    </row>
    <row r="12654" spans="1:9" x14ac:dyDescent="0.25">
      <c r="A12654" t="s">
        <v>6</v>
      </c>
      <c r="B12654" s="1">
        <v>46185</v>
      </c>
      <c r="C12654">
        <v>5</v>
      </c>
      <c r="D12654">
        <v>243.18</v>
      </c>
      <c r="E12654">
        <v>0</v>
      </c>
      <c r="F12654" t="s">
        <v>7</v>
      </c>
      <c r="G12654" t="s">
        <v>11</v>
      </c>
      <c r="H12654" s="5">
        <f>MONTH(Tabela1[[#This Row],[data]])</f>
        <v>6</v>
      </c>
      <c r="I12654">
        <f>YEAR(Tabela1[[#This Row],[data]])</f>
        <v>2026</v>
      </c>
    </row>
    <row r="12655" spans="1:9" x14ac:dyDescent="0.25">
      <c r="A12655" t="s">
        <v>6</v>
      </c>
      <c r="B12655" s="1">
        <v>46185</v>
      </c>
      <c r="C12655">
        <v>6</v>
      </c>
      <c r="D12655">
        <v>238.98</v>
      </c>
      <c r="E12655">
        <v>0</v>
      </c>
      <c r="F12655" t="s">
        <v>7</v>
      </c>
      <c r="G12655" t="s">
        <v>11</v>
      </c>
      <c r="H12655" s="5">
        <f>MONTH(Tabela1[[#This Row],[data]])</f>
        <v>6</v>
      </c>
      <c r="I12655">
        <f>YEAR(Tabela1[[#This Row],[data]])</f>
        <v>2026</v>
      </c>
    </row>
    <row r="12656" spans="1:9" x14ac:dyDescent="0.25">
      <c r="A12656" t="s">
        <v>6</v>
      </c>
      <c r="B12656" s="1">
        <v>46185</v>
      </c>
      <c r="C12656">
        <v>7</v>
      </c>
      <c r="D12656">
        <v>244.44</v>
      </c>
      <c r="E12656">
        <v>0</v>
      </c>
      <c r="F12656" t="s">
        <v>7</v>
      </c>
      <c r="G12656" t="s">
        <v>11</v>
      </c>
      <c r="H12656" s="5">
        <f>MONTH(Tabela1[[#This Row],[data]])</f>
        <v>6</v>
      </c>
      <c r="I12656">
        <f>YEAR(Tabela1[[#This Row],[data]])</f>
        <v>2026</v>
      </c>
    </row>
    <row r="12657" spans="1:9" x14ac:dyDescent="0.25">
      <c r="A12657" t="s">
        <v>6</v>
      </c>
      <c r="B12657" s="1">
        <v>46185</v>
      </c>
      <c r="C12657">
        <v>8</v>
      </c>
      <c r="D12657">
        <v>235.2</v>
      </c>
      <c r="E12657">
        <v>0</v>
      </c>
      <c r="F12657" t="s">
        <v>7</v>
      </c>
      <c r="G12657" t="s">
        <v>11</v>
      </c>
      <c r="H12657" s="5">
        <f>MONTH(Tabela1[[#This Row],[data]])</f>
        <v>6</v>
      </c>
      <c r="I12657">
        <f>YEAR(Tabela1[[#This Row],[data]])</f>
        <v>2026</v>
      </c>
    </row>
    <row r="12658" spans="1:9" x14ac:dyDescent="0.25">
      <c r="A12658" t="s">
        <v>6</v>
      </c>
      <c r="B12658" s="1">
        <v>46185</v>
      </c>
      <c r="C12658">
        <v>9</v>
      </c>
      <c r="D12658">
        <v>299.04000000000002</v>
      </c>
      <c r="E12658">
        <v>0</v>
      </c>
      <c r="F12658" t="s">
        <v>7</v>
      </c>
      <c r="G12658" t="s">
        <v>11</v>
      </c>
      <c r="H12658" s="5">
        <f>MONTH(Tabela1[[#This Row],[data]])</f>
        <v>6</v>
      </c>
      <c r="I12658">
        <f>YEAR(Tabela1[[#This Row],[data]])</f>
        <v>2026</v>
      </c>
    </row>
    <row r="12659" spans="1:9" x14ac:dyDescent="0.25">
      <c r="A12659" t="s">
        <v>6</v>
      </c>
      <c r="B12659" s="1">
        <v>46185</v>
      </c>
      <c r="C12659">
        <v>10</v>
      </c>
      <c r="D12659">
        <v>397.74</v>
      </c>
      <c r="E12659">
        <v>4.62</v>
      </c>
      <c r="F12659" t="s">
        <v>7</v>
      </c>
      <c r="G12659" t="s">
        <v>11</v>
      </c>
      <c r="H12659" s="5">
        <f>MONTH(Tabela1[[#This Row],[data]])</f>
        <v>6</v>
      </c>
      <c r="I12659">
        <f>YEAR(Tabela1[[#This Row],[data]])</f>
        <v>2026</v>
      </c>
    </row>
    <row r="12660" spans="1:9" x14ac:dyDescent="0.25">
      <c r="A12660" t="s">
        <v>6</v>
      </c>
      <c r="B12660" s="1">
        <v>46185</v>
      </c>
      <c r="C12660">
        <v>11</v>
      </c>
      <c r="D12660">
        <v>538.02</v>
      </c>
      <c r="E12660">
        <v>25.62</v>
      </c>
      <c r="F12660" t="s">
        <v>7</v>
      </c>
      <c r="G12660" t="s">
        <v>11</v>
      </c>
      <c r="H12660" s="5">
        <f>MONTH(Tabela1[[#This Row],[data]])</f>
        <v>6</v>
      </c>
      <c r="I12660">
        <f>YEAR(Tabela1[[#This Row],[data]])</f>
        <v>2026</v>
      </c>
    </row>
    <row r="12661" spans="1:9" x14ac:dyDescent="0.25">
      <c r="A12661" t="s">
        <v>6</v>
      </c>
      <c r="B12661" s="1">
        <v>46185</v>
      </c>
      <c r="C12661">
        <v>12</v>
      </c>
      <c r="D12661">
        <v>601.86</v>
      </c>
      <c r="E12661">
        <v>47.04</v>
      </c>
      <c r="F12661" t="s">
        <v>7</v>
      </c>
      <c r="G12661" t="s">
        <v>11</v>
      </c>
      <c r="H12661" s="5">
        <f>MONTH(Tabela1[[#This Row],[data]])</f>
        <v>6</v>
      </c>
      <c r="I12661">
        <f>YEAR(Tabela1[[#This Row],[data]])</f>
        <v>2026</v>
      </c>
    </row>
    <row r="12662" spans="1:9" x14ac:dyDescent="0.25">
      <c r="A12662" t="s">
        <v>6</v>
      </c>
      <c r="B12662" s="1">
        <v>46185</v>
      </c>
      <c r="C12662">
        <v>13</v>
      </c>
      <c r="D12662">
        <v>619.91999999999996</v>
      </c>
      <c r="E12662">
        <v>59.22</v>
      </c>
      <c r="F12662" t="s">
        <v>7</v>
      </c>
      <c r="G12662" t="s">
        <v>11</v>
      </c>
      <c r="H12662" s="5">
        <f>MONTH(Tabela1[[#This Row],[data]])</f>
        <v>6</v>
      </c>
      <c r="I12662">
        <f>YEAR(Tabela1[[#This Row],[data]])</f>
        <v>2026</v>
      </c>
    </row>
    <row r="12663" spans="1:9" x14ac:dyDescent="0.25">
      <c r="A12663" t="s">
        <v>6</v>
      </c>
      <c r="B12663" s="1">
        <v>46185</v>
      </c>
      <c r="C12663">
        <v>14</v>
      </c>
      <c r="D12663">
        <v>627.05999999999995</v>
      </c>
      <c r="E12663">
        <v>60.48</v>
      </c>
      <c r="F12663" t="s">
        <v>7</v>
      </c>
      <c r="G12663" t="s">
        <v>11</v>
      </c>
      <c r="H12663" s="5">
        <f>MONTH(Tabela1[[#This Row],[data]])</f>
        <v>6</v>
      </c>
      <c r="I12663">
        <f>YEAR(Tabela1[[#This Row],[data]])</f>
        <v>2026</v>
      </c>
    </row>
    <row r="12664" spans="1:9" x14ac:dyDescent="0.25">
      <c r="A12664" t="s">
        <v>6</v>
      </c>
      <c r="B12664" s="1">
        <v>46185</v>
      </c>
      <c r="C12664">
        <v>15</v>
      </c>
      <c r="D12664">
        <v>637.98</v>
      </c>
      <c r="E12664">
        <v>67.62</v>
      </c>
      <c r="F12664" t="s">
        <v>7</v>
      </c>
      <c r="G12664" t="s">
        <v>11</v>
      </c>
      <c r="H12664" s="5">
        <f>MONTH(Tabela1[[#This Row],[data]])</f>
        <v>6</v>
      </c>
      <c r="I12664">
        <f>YEAR(Tabela1[[#This Row],[data]])</f>
        <v>2026</v>
      </c>
    </row>
    <row r="12665" spans="1:9" x14ac:dyDescent="0.25">
      <c r="A12665" t="s">
        <v>6</v>
      </c>
      <c r="B12665" s="1">
        <v>46185</v>
      </c>
      <c r="C12665">
        <v>16</v>
      </c>
      <c r="D12665">
        <v>631.26</v>
      </c>
      <c r="E12665">
        <v>78.540000000000006</v>
      </c>
      <c r="F12665" t="s">
        <v>7</v>
      </c>
      <c r="G12665" t="s">
        <v>11</v>
      </c>
      <c r="H12665" s="5">
        <f>MONTH(Tabela1[[#This Row],[data]])</f>
        <v>6</v>
      </c>
      <c r="I12665">
        <f>YEAR(Tabela1[[#This Row],[data]])</f>
        <v>2026</v>
      </c>
    </row>
    <row r="12666" spans="1:9" x14ac:dyDescent="0.25">
      <c r="A12666" t="s">
        <v>6</v>
      </c>
      <c r="B12666" s="1">
        <v>46185</v>
      </c>
      <c r="C12666">
        <v>17</v>
      </c>
      <c r="D12666">
        <v>633.36</v>
      </c>
      <c r="E12666">
        <v>58.38</v>
      </c>
      <c r="F12666" t="s">
        <v>7</v>
      </c>
      <c r="G12666" t="s">
        <v>11</v>
      </c>
      <c r="H12666" s="5">
        <f>MONTH(Tabela1[[#This Row],[data]])</f>
        <v>6</v>
      </c>
      <c r="I12666">
        <f>YEAR(Tabela1[[#This Row],[data]])</f>
        <v>2026</v>
      </c>
    </row>
    <row r="12667" spans="1:9" x14ac:dyDescent="0.25">
      <c r="A12667" t="s">
        <v>6</v>
      </c>
      <c r="B12667" s="1">
        <v>46185</v>
      </c>
      <c r="C12667">
        <v>18</v>
      </c>
      <c r="D12667">
        <v>618.24</v>
      </c>
      <c r="E12667">
        <v>49.56</v>
      </c>
      <c r="F12667" t="s">
        <v>7</v>
      </c>
      <c r="G12667" t="s">
        <v>11</v>
      </c>
      <c r="H12667" s="5">
        <f>MONTH(Tabela1[[#This Row],[data]])</f>
        <v>6</v>
      </c>
      <c r="I12667">
        <f>YEAR(Tabela1[[#This Row],[data]])</f>
        <v>2026</v>
      </c>
    </row>
    <row r="12668" spans="1:9" x14ac:dyDescent="0.25">
      <c r="A12668" t="s">
        <v>6</v>
      </c>
      <c r="B12668" s="1">
        <v>46185</v>
      </c>
      <c r="C12668">
        <v>19</v>
      </c>
      <c r="D12668">
        <v>630.41999999999996</v>
      </c>
      <c r="E12668">
        <v>42</v>
      </c>
      <c r="F12668" t="s">
        <v>7</v>
      </c>
      <c r="G12668" t="s">
        <v>11</v>
      </c>
      <c r="H12668" s="5">
        <f>MONTH(Tabela1[[#This Row],[data]])</f>
        <v>6</v>
      </c>
      <c r="I12668">
        <f>YEAR(Tabela1[[#This Row],[data]])</f>
        <v>2026</v>
      </c>
    </row>
    <row r="12669" spans="1:9" x14ac:dyDescent="0.25">
      <c r="A12669" t="s">
        <v>6</v>
      </c>
      <c r="B12669" s="1">
        <v>46185</v>
      </c>
      <c r="C12669">
        <v>20</v>
      </c>
      <c r="D12669">
        <v>630.84</v>
      </c>
      <c r="E12669">
        <v>59.22</v>
      </c>
      <c r="F12669" t="s">
        <v>7</v>
      </c>
      <c r="G12669" t="s">
        <v>11</v>
      </c>
      <c r="H12669" s="5">
        <f>MONTH(Tabela1[[#This Row],[data]])</f>
        <v>6</v>
      </c>
      <c r="I12669">
        <f>YEAR(Tabela1[[#This Row],[data]])</f>
        <v>2026</v>
      </c>
    </row>
    <row r="12670" spans="1:9" x14ac:dyDescent="0.25">
      <c r="A12670" t="s">
        <v>6</v>
      </c>
      <c r="B12670" s="1">
        <v>46185</v>
      </c>
      <c r="C12670">
        <v>21</v>
      </c>
      <c r="D12670">
        <v>642.17999999999995</v>
      </c>
      <c r="E12670">
        <v>57.96</v>
      </c>
      <c r="F12670" t="s">
        <v>7</v>
      </c>
      <c r="G12670" t="s">
        <v>11</v>
      </c>
      <c r="H12670" s="5">
        <f>MONTH(Tabela1[[#This Row],[data]])</f>
        <v>6</v>
      </c>
      <c r="I12670">
        <f>YEAR(Tabela1[[#This Row],[data]])</f>
        <v>2026</v>
      </c>
    </row>
    <row r="12671" spans="1:9" x14ac:dyDescent="0.25">
      <c r="A12671" t="s">
        <v>6</v>
      </c>
      <c r="B12671" s="1">
        <v>46185</v>
      </c>
      <c r="C12671">
        <v>22</v>
      </c>
      <c r="D12671">
        <v>618.24</v>
      </c>
      <c r="E12671">
        <v>46.62</v>
      </c>
      <c r="F12671" t="s">
        <v>7</v>
      </c>
      <c r="G12671" t="s">
        <v>11</v>
      </c>
      <c r="H12671" s="5">
        <f>MONTH(Tabela1[[#This Row],[data]])</f>
        <v>6</v>
      </c>
      <c r="I12671">
        <f>YEAR(Tabela1[[#This Row],[data]])</f>
        <v>2026</v>
      </c>
    </row>
    <row r="12672" spans="1:9" x14ac:dyDescent="0.25">
      <c r="A12672" t="s">
        <v>6</v>
      </c>
      <c r="B12672" s="1">
        <v>46185</v>
      </c>
      <c r="C12672">
        <v>23</v>
      </c>
      <c r="D12672">
        <v>451.5</v>
      </c>
      <c r="E12672">
        <v>0</v>
      </c>
      <c r="F12672" t="s">
        <v>7</v>
      </c>
      <c r="G12672" t="s">
        <v>11</v>
      </c>
      <c r="H12672" s="5">
        <f>MONTH(Tabela1[[#This Row],[data]])</f>
        <v>6</v>
      </c>
      <c r="I12672">
        <f>YEAR(Tabela1[[#This Row],[data]])</f>
        <v>2026</v>
      </c>
    </row>
    <row r="12673" spans="1:9" x14ac:dyDescent="0.25">
      <c r="A12673" t="s">
        <v>6</v>
      </c>
      <c r="B12673" s="1">
        <v>46185</v>
      </c>
      <c r="C12673">
        <v>24</v>
      </c>
      <c r="D12673">
        <v>301.14</v>
      </c>
      <c r="E12673">
        <v>0</v>
      </c>
      <c r="F12673" t="s">
        <v>7</v>
      </c>
      <c r="G12673" t="s">
        <v>11</v>
      </c>
      <c r="H12673" s="5">
        <f>MONTH(Tabela1[[#This Row],[data]])</f>
        <v>6</v>
      </c>
      <c r="I12673">
        <f>YEAR(Tabela1[[#This Row],[data]])</f>
        <v>2026</v>
      </c>
    </row>
    <row r="12674" spans="1:9" x14ac:dyDescent="0.25">
      <c r="A12674" t="s">
        <v>6</v>
      </c>
      <c r="B12674" s="1">
        <v>46186</v>
      </c>
      <c r="C12674">
        <v>1</v>
      </c>
      <c r="D12674">
        <v>270.89999999999998</v>
      </c>
      <c r="E12674">
        <v>0</v>
      </c>
      <c r="F12674" t="s">
        <v>7</v>
      </c>
      <c r="G12674" t="s">
        <v>11</v>
      </c>
      <c r="H12674" s="5">
        <f>MONTH(Tabela1[[#This Row],[data]])</f>
        <v>6</v>
      </c>
      <c r="I12674">
        <f>YEAR(Tabela1[[#This Row],[data]])</f>
        <v>2026</v>
      </c>
    </row>
    <row r="12675" spans="1:9" x14ac:dyDescent="0.25">
      <c r="A12675" t="s">
        <v>6</v>
      </c>
      <c r="B12675" s="1">
        <v>46186</v>
      </c>
      <c r="C12675">
        <v>2</v>
      </c>
      <c r="D12675">
        <v>241.92</v>
      </c>
      <c r="E12675">
        <v>0</v>
      </c>
      <c r="F12675" t="s">
        <v>7</v>
      </c>
      <c r="G12675" t="s">
        <v>11</v>
      </c>
      <c r="H12675" s="5">
        <f>MONTH(Tabela1[[#This Row],[data]])</f>
        <v>6</v>
      </c>
      <c r="I12675">
        <f>YEAR(Tabela1[[#This Row],[data]])</f>
        <v>2026</v>
      </c>
    </row>
    <row r="12676" spans="1:9" x14ac:dyDescent="0.25">
      <c r="A12676" t="s">
        <v>6</v>
      </c>
      <c r="B12676" s="1">
        <v>46186</v>
      </c>
      <c r="C12676">
        <v>3</v>
      </c>
      <c r="D12676">
        <v>233.1</v>
      </c>
      <c r="E12676">
        <v>0</v>
      </c>
      <c r="F12676" t="s">
        <v>7</v>
      </c>
      <c r="G12676" t="s">
        <v>11</v>
      </c>
      <c r="H12676" s="5">
        <f>MONTH(Tabela1[[#This Row],[data]])</f>
        <v>6</v>
      </c>
      <c r="I12676">
        <f>YEAR(Tabela1[[#This Row],[data]])</f>
        <v>2026</v>
      </c>
    </row>
    <row r="12677" spans="1:9" x14ac:dyDescent="0.25">
      <c r="A12677" t="s">
        <v>6</v>
      </c>
      <c r="B12677" s="1">
        <v>46186</v>
      </c>
      <c r="C12677">
        <v>4</v>
      </c>
      <c r="D12677">
        <v>240.66</v>
      </c>
      <c r="E12677">
        <v>0</v>
      </c>
      <c r="F12677" t="s">
        <v>7</v>
      </c>
      <c r="G12677" t="s">
        <v>11</v>
      </c>
      <c r="H12677" s="5">
        <f>MONTH(Tabela1[[#This Row],[data]])</f>
        <v>6</v>
      </c>
      <c r="I12677">
        <f>YEAR(Tabela1[[#This Row],[data]])</f>
        <v>2026</v>
      </c>
    </row>
    <row r="12678" spans="1:9" x14ac:dyDescent="0.25">
      <c r="A12678" t="s">
        <v>6</v>
      </c>
      <c r="B12678" s="1">
        <v>46186</v>
      </c>
      <c r="C12678">
        <v>5</v>
      </c>
      <c r="D12678">
        <v>240.24</v>
      </c>
      <c r="E12678">
        <v>0</v>
      </c>
      <c r="F12678" t="s">
        <v>7</v>
      </c>
      <c r="G12678" t="s">
        <v>11</v>
      </c>
      <c r="H12678" s="5">
        <f>MONTH(Tabela1[[#This Row],[data]])</f>
        <v>6</v>
      </c>
      <c r="I12678">
        <f>YEAR(Tabela1[[#This Row],[data]])</f>
        <v>2026</v>
      </c>
    </row>
    <row r="12679" spans="1:9" x14ac:dyDescent="0.25">
      <c r="A12679" t="s">
        <v>6</v>
      </c>
      <c r="B12679" s="1">
        <v>46186</v>
      </c>
      <c r="C12679">
        <v>6</v>
      </c>
      <c r="D12679">
        <v>236.04</v>
      </c>
      <c r="E12679">
        <v>0</v>
      </c>
      <c r="F12679" t="s">
        <v>7</v>
      </c>
      <c r="G12679" t="s">
        <v>11</v>
      </c>
      <c r="H12679" s="5">
        <f>MONTH(Tabela1[[#This Row],[data]])</f>
        <v>6</v>
      </c>
      <c r="I12679">
        <f>YEAR(Tabela1[[#This Row],[data]])</f>
        <v>2026</v>
      </c>
    </row>
    <row r="12680" spans="1:9" x14ac:dyDescent="0.25">
      <c r="A12680" t="s">
        <v>6</v>
      </c>
      <c r="B12680" s="1">
        <v>46186</v>
      </c>
      <c r="C12680">
        <v>7</v>
      </c>
      <c r="D12680">
        <v>237.72</v>
      </c>
      <c r="E12680">
        <v>0</v>
      </c>
      <c r="F12680" t="s">
        <v>7</v>
      </c>
      <c r="G12680" t="s">
        <v>11</v>
      </c>
      <c r="H12680" s="5">
        <f>MONTH(Tabela1[[#This Row],[data]])</f>
        <v>6</v>
      </c>
      <c r="I12680">
        <f>YEAR(Tabela1[[#This Row],[data]])</f>
        <v>2026</v>
      </c>
    </row>
    <row r="12681" spans="1:9" x14ac:dyDescent="0.25">
      <c r="A12681" t="s">
        <v>6</v>
      </c>
      <c r="B12681" s="1">
        <v>46186</v>
      </c>
      <c r="C12681">
        <v>8</v>
      </c>
      <c r="D12681">
        <v>238.14</v>
      </c>
      <c r="E12681">
        <v>0</v>
      </c>
      <c r="F12681" t="s">
        <v>7</v>
      </c>
      <c r="G12681" t="s">
        <v>11</v>
      </c>
      <c r="H12681" s="5">
        <f>MONTH(Tabela1[[#This Row],[data]])</f>
        <v>6</v>
      </c>
      <c r="I12681">
        <f>YEAR(Tabela1[[#This Row],[data]])</f>
        <v>2026</v>
      </c>
    </row>
    <row r="12682" spans="1:9" x14ac:dyDescent="0.25">
      <c r="A12682" t="s">
        <v>6</v>
      </c>
      <c r="B12682" s="1">
        <v>46186</v>
      </c>
      <c r="C12682">
        <v>9</v>
      </c>
      <c r="D12682">
        <v>306.60000000000002</v>
      </c>
      <c r="E12682">
        <v>0</v>
      </c>
      <c r="F12682" t="s">
        <v>7</v>
      </c>
      <c r="G12682" t="s">
        <v>11</v>
      </c>
      <c r="H12682" s="5">
        <f>MONTH(Tabela1[[#This Row],[data]])</f>
        <v>6</v>
      </c>
      <c r="I12682">
        <f>YEAR(Tabela1[[#This Row],[data]])</f>
        <v>2026</v>
      </c>
    </row>
    <row r="12683" spans="1:9" x14ac:dyDescent="0.25">
      <c r="A12683" t="s">
        <v>6</v>
      </c>
      <c r="B12683" s="1">
        <v>46186</v>
      </c>
      <c r="C12683">
        <v>10</v>
      </c>
      <c r="D12683">
        <v>376.74</v>
      </c>
      <c r="E12683">
        <v>0.42</v>
      </c>
      <c r="F12683" t="s">
        <v>7</v>
      </c>
      <c r="G12683" t="s">
        <v>11</v>
      </c>
      <c r="H12683" s="5">
        <f>MONTH(Tabela1[[#This Row],[data]])</f>
        <v>6</v>
      </c>
      <c r="I12683">
        <f>YEAR(Tabela1[[#This Row],[data]])</f>
        <v>2026</v>
      </c>
    </row>
    <row r="12684" spans="1:9" x14ac:dyDescent="0.25">
      <c r="A12684" t="s">
        <v>6</v>
      </c>
      <c r="B12684" s="1">
        <v>46186</v>
      </c>
      <c r="C12684">
        <v>11</v>
      </c>
      <c r="D12684">
        <v>550.62</v>
      </c>
      <c r="E12684">
        <v>26.88</v>
      </c>
      <c r="F12684" t="s">
        <v>7</v>
      </c>
      <c r="G12684" t="s">
        <v>11</v>
      </c>
      <c r="H12684" s="5">
        <f>MONTH(Tabela1[[#This Row],[data]])</f>
        <v>6</v>
      </c>
      <c r="I12684">
        <f>YEAR(Tabela1[[#This Row],[data]])</f>
        <v>2026</v>
      </c>
    </row>
    <row r="12685" spans="1:9" x14ac:dyDescent="0.25">
      <c r="A12685" t="s">
        <v>6</v>
      </c>
      <c r="B12685" s="1">
        <v>46186</v>
      </c>
      <c r="C12685">
        <v>12</v>
      </c>
      <c r="D12685">
        <v>609.84</v>
      </c>
      <c r="E12685">
        <v>46.62</v>
      </c>
      <c r="F12685" t="s">
        <v>7</v>
      </c>
      <c r="G12685" t="s">
        <v>11</v>
      </c>
      <c r="H12685" s="5">
        <f>MONTH(Tabela1[[#This Row],[data]])</f>
        <v>6</v>
      </c>
      <c r="I12685">
        <f>YEAR(Tabela1[[#This Row],[data]])</f>
        <v>2026</v>
      </c>
    </row>
    <row r="12686" spans="1:9" x14ac:dyDescent="0.25">
      <c r="A12686" t="s">
        <v>6</v>
      </c>
      <c r="B12686" s="1">
        <v>46186</v>
      </c>
      <c r="C12686">
        <v>13</v>
      </c>
      <c r="D12686">
        <v>603.12</v>
      </c>
      <c r="E12686">
        <v>47.88</v>
      </c>
      <c r="F12686" t="s">
        <v>7</v>
      </c>
      <c r="G12686" t="s">
        <v>11</v>
      </c>
      <c r="H12686" s="5">
        <f>MONTH(Tabela1[[#This Row],[data]])</f>
        <v>6</v>
      </c>
      <c r="I12686">
        <f>YEAR(Tabela1[[#This Row],[data]])</f>
        <v>2026</v>
      </c>
    </row>
    <row r="12687" spans="1:9" x14ac:dyDescent="0.25">
      <c r="A12687" t="s">
        <v>6</v>
      </c>
      <c r="B12687" s="1">
        <v>46186</v>
      </c>
      <c r="C12687">
        <v>14</v>
      </c>
      <c r="D12687">
        <v>609</v>
      </c>
      <c r="E12687">
        <v>46.62</v>
      </c>
      <c r="F12687" t="s">
        <v>7</v>
      </c>
      <c r="G12687" t="s">
        <v>11</v>
      </c>
      <c r="H12687" s="5">
        <f>MONTH(Tabela1[[#This Row],[data]])</f>
        <v>6</v>
      </c>
      <c r="I12687">
        <f>YEAR(Tabela1[[#This Row],[data]])</f>
        <v>2026</v>
      </c>
    </row>
    <row r="12688" spans="1:9" x14ac:dyDescent="0.25">
      <c r="A12688" t="s">
        <v>6</v>
      </c>
      <c r="B12688" s="1">
        <v>46186</v>
      </c>
      <c r="C12688">
        <v>15</v>
      </c>
      <c r="D12688">
        <v>622.02</v>
      </c>
      <c r="E12688">
        <v>49.98</v>
      </c>
      <c r="F12688" t="s">
        <v>7</v>
      </c>
      <c r="G12688" t="s">
        <v>11</v>
      </c>
      <c r="H12688" s="5">
        <f>MONTH(Tabela1[[#This Row],[data]])</f>
        <v>6</v>
      </c>
      <c r="I12688">
        <f>YEAR(Tabela1[[#This Row],[data]])</f>
        <v>2026</v>
      </c>
    </row>
    <row r="12689" spans="1:9" x14ac:dyDescent="0.25">
      <c r="A12689" t="s">
        <v>6</v>
      </c>
      <c r="B12689" s="1">
        <v>46186</v>
      </c>
      <c r="C12689">
        <v>16</v>
      </c>
      <c r="D12689">
        <v>643.86</v>
      </c>
      <c r="E12689">
        <v>70.56</v>
      </c>
      <c r="F12689" t="s">
        <v>7</v>
      </c>
      <c r="G12689" t="s">
        <v>11</v>
      </c>
      <c r="H12689" s="5">
        <f>MONTH(Tabela1[[#This Row],[data]])</f>
        <v>6</v>
      </c>
      <c r="I12689">
        <f>YEAR(Tabela1[[#This Row],[data]])</f>
        <v>2026</v>
      </c>
    </row>
    <row r="12690" spans="1:9" x14ac:dyDescent="0.25">
      <c r="A12690" t="s">
        <v>6</v>
      </c>
      <c r="B12690" s="1">
        <v>46186</v>
      </c>
      <c r="C12690">
        <v>17</v>
      </c>
      <c r="D12690">
        <v>858.48</v>
      </c>
      <c r="E12690">
        <v>187.32</v>
      </c>
      <c r="F12690" t="s">
        <v>7</v>
      </c>
      <c r="G12690" t="s">
        <v>11</v>
      </c>
      <c r="H12690" s="5">
        <f>MONTH(Tabela1[[#This Row],[data]])</f>
        <v>6</v>
      </c>
      <c r="I12690">
        <f>YEAR(Tabela1[[#This Row],[data]])</f>
        <v>2026</v>
      </c>
    </row>
    <row r="12691" spans="1:9" x14ac:dyDescent="0.25">
      <c r="A12691" t="s">
        <v>6</v>
      </c>
      <c r="B12691" s="1">
        <v>46186</v>
      </c>
      <c r="C12691">
        <v>18</v>
      </c>
      <c r="D12691">
        <v>639.24</v>
      </c>
      <c r="E12691">
        <v>75.180000000000007</v>
      </c>
      <c r="F12691" t="s">
        <v>7</v>
      </c>
      <c r="G12691" t="s">
        <v>11</v>
      </c>
      <c r="H12691" s="5">
        <f>MONTH(Tabela1[[#This Row],[data]])</f>
        <v>6</v>
      </c>
      <c r="I12691">
        <f>YEAR(Tabela1[[#This Row],[data]])</f>
        <v>2026</v>
      </c>
    </row>
    <row r="12692" spans="1:9" x14ac:dyDescent="0.25">
      <c r="A12692" t="s">
        <v>6</v>
      </c>
      <c r="B12692" s="1">
        <v>46186</v>
      </c>
      <c r="C12692">
        <v>19</v>
      </c>
      <c r="D12692">
        <v>598.91999999999996</v>
      </c>
      <c r="E12692">
        <v>45.36</v>
      </c>
      <c r="F12692" t="s">
        <v>7</v>
      </c>
      <c r="G12692" t="s">
        <v>11</v>
      </c>
      <c r="H12692" s="5">
        <f>MONTH(Tabela1[[#This Row],[data]])</f>
        <v>6</v>
      </c>
      <c r="I12692">
        <f>YEAR(Tabela1[[#This Row],[data]])</f>
        <v>2026</v>
      </c>
    </row>
    <row r="12693" spans="1:9" x14ac:dyDescent="0.25">
      <c r="A12693" t="s">
        <v>6</v>
      </c>
      <c r="B12693" s="1">
        <v>46186</v>
      </c>
      <c r="C12693">
        <v>20</v>
      </c>
      <c r="D12693">
        <v>514.91999999999996</v>
      </c>
      <c r="E12693">
        <v>43.26</v>
      </c>
      <c r="F12693" t="s">
        <v>7</v>
      </c>
      <c r="G12693" t="s">
        <v>11</v>
      </c>
      <c r="H12693" s="5">
        <f>MONTH(Tabela1[[#This Row],[data]])</f>
        <v>6</v>
      </c>
      <c r="I12693">
        <f>YEAR(Tabela1[[#This Row],[data]])</f>
        <v>2026</v>
      </c>
    </row>
    <row r="12694" spans="1:9" x14ac:dyDescent="0.25">
      <c r="A12694" t="s">
        <v>6</v>
      </c>
      <c r="B12694" s="1">
        <v>46186</v>
      </c>
      <c r="C12694">
        <v>21</v>
      </c>
      <c r="D12694">
        <v>494.34</v>
      </c>
      <c r="E12694">
        <v>41.58</v>
      </c>
      <c r="F12694" t="s">
        <v>7</v>
      </c>
      <c r="G12694" t="s">
        <v>11</v>
      </c>
      <c r="H12694" s="5">
        <f>MONTH(Tabela1[[#This Row],[data]])</f>
        <v>6</v>
      </c>
      <c r="I12694">
        <f>YEAR(Tabela1[[#This Row],[data]])</f>
        <v>2026</v>
      </c>
    </row>
    <row r="12695" spans="1:9" x14ac:dyDescent="0.25">
      <c r="A12695" t="s">
        <v>6</v>
      </c>
      <c r="B12695" s="1">
        <v>46186</v>
      </c>
      <c r="C12695">
        <v>22</v>
      </c>
      <c r="D12695">
        <v>496.44</v>
      </c>
      <c r="E12695">
        <v>24.36</v>
      </c>
      <c r="F12695" t="s">
        <v>7</v>
      </c>
      <c r="G12695" t="s">
        <v>11</v>
      </c>
      <c r="H12695" s="5">
        <f>MONTH(Tabela1[[#This Row],[data]])</f>
        <v>6</v>
      </c>
      <c r="I12695">
        <f>YEAR(Tabela1[[#This Row],[data]])</f>
        <v>2026</v>
      </c>
    </row>
    <row r="12696" spans="1:9" x14ac:dyDescent="0.25">
      <c r="A12696" t="s">
        <v>6</v>
      </c>
      <c r="B12696" s="1">
        <v>46186</v>
      </c>
      <c r="C12696">
        <v>23</v>
      </c>
      <c r="D12696">
        <v>349.02</v>
      </c>
      <c r="E12696">
        <v>0</v>
      </c>
      <c r="F12696" t="s">
        <v>7</v>
      </c>
      <c r="G12696" t="s">
        <v>11</v>
      </c>
      <c r="H12696" s="5">
        <f>MONTH(Tabela1[[#This Row],[data]])</f>
        <v>6</v>
      </c>
      <c r="I12696">
        <f>YEAR(Tabela1[[#This Row],[data]])</f>
        <v>2026</v>
      </c>
    </row>
    <row r="12697" spans="1:9" x14ac:dyDescent="0.25">
      <c r="A12697" t="s">
        <v>6</v>
      </c>
      <c r="B12697" s="1">
        <v>46186</v>
      </c>
      <c r="C12697">
        <v>24</v>
      </c>
      <c r="D12697">
        <v>267.54000000000002</v>
      </c>
      <c r="E12697">
        <v>0</v>
      </c>
      <c r="F12697" t="s">
        <v>7</v>
      </c>
      <c r="G12697" t="s">
        <v>11</v>
      </c>
      <c r="H12697" s="5">
        <f>MONTH(Tabela1[[#This Row],[data]])</f>
        <v>6</v>
      </c>
      <c r="I12697">
        <f>YEAR(Tabela1[[#This Row],[data]])</f>
        <v>2026</v>
      </c>
    </row>
    <row r="12698" spans="1:9" x14ac:dyDescent="0.25">
      <c r="A12698" t="s">
        <v>6</v>
      </c>
      <c r="B12698" s="1">
        <v>46187</v>
      </c>
      <c r="C12698">
        <v>1</v>
      </c>
      <c r="D12698">
        <v>241.5</v>
      </c>
      <c r="E12698">
        <v>0</v>
      </c>
      <c r="F12698" t="s">
        <v>7</v>
      </c>
      <c r="G12698" t="s">
        <v>12</v>
      </c>
      <c r="H12698" s="5">
        <f>MONTH(Tabela1[[#This Row],[data]])</f>
        <v>6</v>
      </c>
      <c r="I12698">
        <f>YEAR(Tabela1[[#This Row],[data]])</f>
        <v>2026</v>
      </c>
    </row>
    <row r="12699" spans="1:9" x14ac:dyDescent="0.25">
      <c r="A12699" t="s">
        <v>6</v>
      </c>
      <c r="B12699" s="1">
        <v>46187</v>
      </c>
      <c r="C12699">
        <v>2</v>
      </c>
      <c r="D12699">
        <v>237.3</v>
      </c>
      <c r="E12699">
        <v>0</v>
      </c>
      <c r="F12699" t="s">
        <v>7</v>
      </c>
      <c r="G12699" t="s">
        <v>12</v>
      </c>
      <c r="H12699" s="5">
        <f>MONTH(Tabela1[[#This Row],[data]])</f>
        <v>6</v>
      </c>
      <c r="I12699">
        <f>YEAR(Tabela1[[#This Row],[data]])</f>
        <v>2026</v>
      </c>
    </row>
    <row r="12700" spans="1:9" x14ac:dyDescent="0.25">
      <c r="A12700" t="s">
        <v>6</v>
      </c>
      <c r="B12700" s="1">
        <v>46187</v>
      </c>
      <c r="C12700">
        <v>3</v>
      </c>
      <c r="D12700">
        <v>228.06</v>
      </c>
      <c r="E12700">
        <v>0</v>
      </c>
      <c r="F12700" t="s">
        <v>7</v>
      </c>
      <c r="G12700" t="s">
        <v>12</v>
      </c>
      <c r="H12700" s="5">
        <f>MONTH(Tabela1[[#This Row],[data]])</f>
        <v>6</v>
      </c>
      <c r="I12700">
        <f>YEAR(Tabela1[[#This Row],[data]])</f>
        <v>2026</v>
      </c>
    </row>
    <row r="12701" spans="1:9" x14ac:dyDescent="0.25">
      <c r="A12701" t="s">
        <v>6</v>
      </c>
      <c r="B12701" s="1">
        <v>46187</v>
      </c>
      <c r="C12701">
        <v>4</v>
      </c>
      <c r="D12701">
        <v>237.72</v>
      </c>
      <c r="E12701">
        <v>0</v>
      </c>
      <c r="F12701" t="s">
        <v>7</v>
      </c>
      <c r="G12701" t="s">
        <v>12</v>
      </c>
      <c r="H12701" s="5">
        <f>MONTH(Tabela1[[#This Row],[data]])</f>
        <v>6</v>
      </c>
      <c r="I12701">
        <f>YEAR(Tabela1[[#This Row],[data]])</f>
        <v>2026</v>
      </c>
    </row>
    <row r="12702" spans="1:9" x14ac:dyDescent="0.25">
      <c r="A12702" t="s">
        <v>6</v>
      </c>
      <c r="B12702" s="1">
        <v>46187</v>
      </c>
      <c r="C12702">
        <v>5</v>
      </c>
      <c r="D12702">
        <v>232.26</v>
      </c>
      <c r="E12702">
        <v>0</v>
      </c>
      <c r="F12702" t="s">
        <v>7</v>
      </c>
      <c r="G12702" t="s">
        <v>12</v>
      </c>
      <c r="H12702" s="5">
        <f>MONTH(Tabela1[[#This Row],[data]])</f>
        <v>6</v>
      </c>
      <c r="I12702">
        <f>YEAR(Tabela1[[#This Row],[data]])</f>
        <v>2026</v>
      </c>
    </row>
    <row r="12703" spans="1:9" x14ac:dyDescent="0.25">
      <c r="A12703" t="s">
        <v>6</v>
      </c>
      <c r="B12703" s="1">
        <v>46187</v>
      </c>
      <c r="C12703">
        <v>6</v>
      </c>
      <c r="D12703">
        <v>233.1</v>
      </c>
      <c r="E12703">
        <v>0</v>
      </c>
      <c r="F12703" t="s">
        <v>7</v>
      </c>
      <c r="G12703" t="s">
        <v>12</v>
      </c>
      <c r="H12703" s="5">
        <f>MONTH(Tabela1[[#This Row],[data]])</f>
        <v>6</v>
      </c>
      <c r="I12703">
        <f>YEAR(Tabela1[[#This Row],[data]])</f>
        <v>2026</v>
      </c>
    </row>
    <row r="12704" spans="1:9" x14ac:dyDescent="0.25">
      <c r="A12704" t="s">
        <v>6</v>
      </c>
      <c r="B12704" s="1">
        <v>46187</v>
      </c>
      <c r="C12704">
        <v>7</v>
      </c>
      <c r="D12704">
        <v>225.96</v>
      </c>
      <c r="E12704">
        <v>0</v>
      </c>
      <c r="F12704" t="s">
        <v>7</v>
      </c>
      <c r="G12704" t="s">
        <v>12</v>
      </c>
      <c r="H12704" s="5">
        <f>MONTH(Tabela1[[#This Row],[data]])</f>
        <v>6</v>
      </c>
      <c r="I12704">
        <f>YEAR(Tabela1[[#This Row],[data]])</f>
        <v>2026</v>
      </c>
    </row>
    <row r="12705" spans="1:9" x14ac:dyDescent="0.25">
      <c r="A12705" t="s">
        <v>6</v>
      </c>
      <c r="B12705" s="1">
        <v>46187</v>
      </c>
      <c r="C12705">
        <v>8</v>
      </c>
      <c r="D12705">
        <v>215.88</v>
      </c>
      <c r="E12705">
        <v>0</v>
      </c>
      <c r="F12705" t="s">
        <v>7</v>
      </c>
      <c r="G12705" t="s">
        <v>12</v>
      </c>
      <c r="H12705" s="5">
        <f>MONTH(Tabela1[[#This Row],[data]])</f>
        <v>6</v>
      </c>
      <c r="I12705">
        <f>YEAR(Tabela1[[#This Row],[data]])</f>
        <v>2026</v>
      </c>
    </row>
    <row r="12706" spans="1:9" x14ac:dyDescent="0.25">
      <c r="A12706" t="s">
        <v>6</v>
      </c>
      <c r="B12706" s="1">
        <v>46187</v>
      </c>
      <c r="C12706">
        <v>9</v>
      </c>
      <c r="D12706">
        <v>254.1</v>
      </c>
      <c r="E12706">
        <v>0</v>
      </c>
      <c r="F12706" t="s">
        <v>7</v>
      </c>
      <c r="G12706" t="s">
        <v>12</v>
      </c>
      <c r="H12706" s="5">
        <f>MONTH(Tabela1[[#This Row],[data]])</f>
        <v>6</v>
      </c>
      <c r="I12706">
        <f>YEAR(Tabela1[[#This Row],[data]])</f>
        <v>2026</v>
      </c>
    </row>
    <row r="12707" spans="1:9" x14ac:dyDescent="0.25">
      <c r="A12707" t="s">
        <v>6</v>
      </c>
      <c r="B12707" s="1">
        <v>46187</v>
      </c>
      <c r="C12707">
        <v>10</v>
      </c>
      <c r="D12707">
        <v>323.82</v>
      </c>
      <c r="E12707">
        <v>0.42</v>
      </c>
      <c r="F12707" t="s">
        <v>7</v>
      </c>
      <c r="G12707" t="s">
        <v>12</v>
      </c>
      <c r="H12707" s="5">
        <f>MONTH(Tabela1[[#This Row],[data]])</f>
        <v>6</v>
      </c>
      <c r="I12707">
        <f>YEAR(Tabela1[[#This Row],[data]])</f>
        <v>2026</v>
      </c>
    </row>
    <row r="12708" spans="1:9" x14ac:dyDescent="0.25">
      <c r="A12708" t="s">
        <v>6</v>
      </c>
      <c r="B12708" s="1">
        <v>46187</v>
      </c>
      <c r="C12708">
        <v>11</v>
      </c>
      <c r="D12708">
        <v>411.6</v>
      </c>
      <c r="E12708">
        <v>15.96</v>
      </c>
      <c r="F12708" t="s">
        <v>7</v>
      </c>
      <c r="G12708" t="s">
        <v>12</v>
      </c>
      <c r="H12708" s="5">
        <f>MONTH(Tabela1[[#This Row],[data]])</f>
        <v>6</v>
      </c>
      <c r="I12708">
        <f>YEAR(Tabela1[[#This Row],[data]])</f>
        <v>2026</v>
      </c>
    </row>
    <row r="12709" spans="1:9" x14ac:dyDescent="0.25">
      <c r="A12709" t="s">
        <v>6</v>
      </c>
      <c r="B12709" s="1">
        <v>46187</v>
      </c>
      <c r="C12709">
        <v>12</v>
      </c>
      <c r="D12709">
        <v>469.14</v>
      </c>
      <c r="E12709">
        <v>32.340000000000003</v>
      </c>
      <c r="F12709" t="s">
        <v>7</v>
      </c>
      <c r="G12709" t="s">
        <v>12</v>
      </c>
      <c r="H12709" s="5">
        <f>MONTH(Tabela1[[#This Row],[data]])</f>
        <v>6</v>
      </c>
      <c r="I12709">
        <f>YEAR(Tabela1[[#This Row],[data]])</f>
        <v>2026</v>
      </c>
    </row>
    <row r="12710" spans="1:9" x14ac:dyDescent="0.25">
      <c r="A12710" t="s">
        <v>6</v>
      </c>
      <c r="B12710" s="1">
        <v>46187</v>
      </c>
      <c r="C12710">
        <v>13</v>
      </c>
      <c r="D12710">
        <v>551.04</v>
      </c>
      <c r="E12710">
        <v>42</v>
      </c>
      <c r="F12710" t="s">
        <v>7</v>
      </c>
      <c r="G12710" t="s">
        <v>12</v>
      </c>
      <c r="H12710" s="5">
        <f>MONTH(Tabela1[[#This Row],[data]])</f>
        <v>6</v>
      </c>
      <c r="I12710">
        <f>YEAR(Tabela1[[#This Row],[data]])</f>
        <v>2026</v>
      </c>
    </row>
    <row r="12711" spans="1:9" x14ac:dyDescent="0.25">
      <c r="A12711" t="s">
        <v>6</v>
      </c>
      <c r="B12711" s="1">
        <v>46187</v>
      </c>
      <c r="C12711">
        <v>14</v>
      </c>
      <c r="D12711">
        <v>595.55999999999995</v>
      </c>
      <c r="E12711">
        <v>43.68</v>
      </c>
      <c r="F12711" t="s">
        <v>7</v>
      </c>
      <c r="G12711" t="s">
        <v>12</v>
      </c>
      <c r="H12711" s="5">
        <f>MONTH(Tabela1[[#This Row],[data]])</f>
        <v>6</v>
      </c>
      <c r="I12711">
        <f>YEAR(Tabela1[[#This Row],[data]])</f>
        <v>2026</v>
      </c>
    </row>
    <row r="12712" spans="1:9" x14ac:dyDescent="0.25">
      <c r="A12712" t="s">
        <v>6</v>
      </c>
      <c r="B12712" s="1">
        <v>46187</v>
      </c>
      <c r="C12712">
        <v>15</v>
      </c>
      <c r="D12712">
        <v>626.22</v>
      </c>
      <c r="E12712">
        <v>59.22</v>
      </c>
      <c r="F12712" t="s">
        <v>7</v>
      </c>
      <c r="G12712" t="s">
        <v>12</v>
      </c>
      <c r="H12712" s="5">
        <f>MONTH(Tabela1[[#This Row],[data]])</f>
        <v>6</v>
      </c>
      <c r="I12712">
        <f>YEAR(Tabela1[[#This Row],[data]])</f>
        <v>2026</v>
      </c>
    </row>
    <row r="12713" spans="1:9" x14ac:dyDescent="0.25">
      <c r="A12713" t="s">
        <v>6</v>
      </c>
      <c r="B12713" s="1">
        <v>46187</v>
      </c>
      <c r="C12713">
        <v>16</v>
      </c>
      <c r="D12713">
        <v>621.17999999999995</v>
      </c>
      <c r="E12713">
        <v>58.8</v>
      </c>
      <c r="F12713" t="s">
        <v>7</v>
      </c>
      <c r="G12713" t="s">
        <v>12</v>
      </c>
      <c r="H12713" s="5">
        <f>MONTH(Tabela1[[#This Row],[data]])</f>
        <v>6</v>
      </c>
      <c r="I12713">
        <f>YEAR(Tabela1[[#This Row],[data]])</f>
        <v>2026</v>
      </c>
    </row>
    <row r="12714" spans="1:9" x14ac:dyDescent="0.25">
      <c r="A12714" t="s">
        <v>6</v>
      </c>
      <c r="B12714" s="1">
        <v>46187</v>
      </c>
      <c r="C12714">
        <v>17</v>
      </c>
      <c r="D12714">
        <v>614.04</v>
      </c>
      <c r="E12714">
        <v>50.82</v>
      </c>
      <c r="F12714" t="s">
        <v>7</v>
      </c>
      <c r="G12714" t="s">
        <v>12</v>
      </c>
      <c r="H12714" s="5">
        <f>MONTH(Tabela1[[#This Row],[data]])</f>
        <v>6</v>
      </c>
      <c r="I12714">
        <f>YEAR(Tabela1[[#This Row],[data]])</f>
        <v>2026</v>
      </c>
    </row>
    <row r="12715" spans="1:9" x14ac:dyDescent="0.25">
      <c r="A12715" t="s">
        <v>6</v>
      </c>
      <c r="B12715" s="1">
        <v>46187</v>
      </c>
      <c r="C12715">
        <v>18</v>
      </c>
      <c r="D12715">
        <v>625.38</v>
      </c>
      <c r="E12715">
        <v>41.16</v>
      </c>
      <c r="F12715" t="s">
        <v>7</v>
      </c>
      <c r="G12715" t="s">
        <v>12</v>
      </c>
      <c r="H12715" s="5">
        <f>MONTH(Tabela1[[#This Row],[data]])</f>
        <v>6</v>
      </c>
      <c r="I12715">
        <f>YEAR(Tabela1[[#This Row],[data]])</f>
        <v>2026</v>
      </c>
    </row>
    <row r="12716" spans="1:9" x14ac:dyDescent="0.25">
      <c r="A12716" t="s">
        <v>6</v>
      </c>
      <c r="B12716" s="1">
        <v>46187</v>
      </c>
      <c r="C12716">
        <v>19</v>
      </c>
      <c r="D12716">
        <v>638.4</v>
      </c>
      <c r="E12716">
        <v>47.46</v>
      </c>
      <c r="F12716" t="s">
        <v>7</v>
      </c>
      <c r="G12716" t="s">
        <v>12</v>
      </c>
      <c r="H12716" s="5">
        <f>MONTH(Tabela1[[#This Row],[data]])</f>
        <v>6</v>
      </c>
      <c r="I12716">
        <f>YEAR(Tabela1[[#This Row],[data]])</f>
        <v>2026</v>
      </c>
    </row>
    <row r="12717" spans="1:9" x14ac:dyDescent="0.25">
      <c r="A12717" t="s">
        <v>6</v>
      </c>
      <c r="B12717" s="1">
        <v>46187</v>
      </c>
      <c r="C12717">
        <v>20</v>
      </c>
      <c r="D12717">
        <v>642.6</v>
      </c>
      <c r="E12717">
        <v>47.46</v>
      </c>
      <c r="F12717" t="s">
        <v>7</v>
      </c>
      <c r="G12717" t="s">
        <v>12</v>
      </c>
      <c r="H12717" s="5">
        <f>MONTH(Tabela1[[#This Row],[data]])</f>
        <v>6</v>
      </c>
      <c r="I12717">
        <f>YEAR(Tabela1[[#This Row],[data]])</f>
        <v>2026</v>
      </c>
    </row>
    <row r="12718" spans="1:9" x14ac:dyDescent="0.25">
      <c r="A12718" t="s">
        <v>6</v>
      </c>
      <c r="B12718" s="1">
        <v>46187</v>
      </c>
      <c r="C12718">
        <v>21</v>
      </c>
      <c r="D12718">
        <v>585.48</v>
      </c>
      <c r="E12718">
        <v>47.46</v>
      </c>
      <c r="F12718" t="s">
        <v>7</v>
      </c>
      <c r="G12718" t="s">
        <v>12</v>
      </c>
      <c r="H12718" s="5">
        <f>MONTH(Tabela1[[#This Row],[data]])</f>
        <v>6</v>
      </c>
      <c r="I12718">
        <f>YEAR(Tabela1[[#This Row],[data]])</f>
        <v>2026</v>
      </c>
    </row>
    <row r="12719" spans="1:9" x14ac:dyDescent="0.25">
      <c r="A12719" t="s">
        <v>6</v>
      </c>
      <c r="B12719" s="1">
        <v>46187</v>
      </c>
      <c r="C12719">
        <v>22</v>
      </c>
      <c r="D12719">
        <v>485.52</v>
      </c>
      <c r="E12719">
        <v>33.6</v>
      </c>
      <c r="F12719" t="s">
        <v>7</v>
      </c>
      <c r="G12719" t="s">
        <v>12</v>
      </c>
      <c r="H12719" s="5">
        <f>MONTH(Tabela1[[#This Row],[data]])</f>
        <v>6</v>
      </c>
      <c r="I12719">
        <f>YEAR(Tabela1[[#This Row],[data]])</f>
        <v>2026</v>
      </c>
    </row>
    <row r="12720" spans="1:9" x14ac:dyDescent="0.25">
      <c r="A12720" t="s">
        <v>6</v>
      </c>
      <c r="B12720" s="1">
        <v>46187</v>
      </c>
      <c r="C12720">
        <v>23</v>
      </c>
      <c r="D12720">
        <v>326.76</v>
      </c>
      <c r="E12720">
        <v>0</v>
      </c>
      <c r="F12720" t="s">
        <v>7</v>
      </c>
      <c r="G12720" t="s">
        <v>12</v>
      </c>
      <c r="H12720" s="5">
        <f>MONTH(Tabela1[[#This Row],[data]])</f>
        <v>6</v>
      </c>
      <c r="I12720">
        <f>YEAR(Tabela1[[#This Row],[data]])</f>
        <v>2026</v>
      </c>
    </row>
    <row r="12721" spans="1:9" x14ac:dyDescent="0.25">
      <c r="A12721" t="s">
        <v>6</v>
      </c>
      <c r="B12721" s="1">
        <v>46187</v>
      </c>
      <c r="C12721">
        <v>24</v>
      </c>
      <c r="D12721">
        <v>276.77999999999997</v>
      </c>
      <c r="E12721">
        <v>0</v>
      </c>
      <c r="F12721" t="s">
        <v>7</v>
      </c>
      <c r="G12721" t="s">
        <v>12</v>
      </c>
      <c r="H12721" s="5">
        <f>MONTH(Tabela1[[#This Row],[data]])</f>
        <v>6</v>
      </c>
      <c r="I12721">
        <f>YEAR(Tabela1[[#This Row],[data]])</f>
        <v>2026</v>
      </c>
    </row>
    <row r="12722" spans="1:9" x14ac:dyDescent="0.25">
      <c r="A12722" t="s">
        <v>6</v>
      </c>
      <c r="B12722" s="1">
        <v>46188</v>
      </c>
      <c r="C12722">
        <v>1</v>
      </c>
      <c r="D12722">
        <v>249.06</v>
      </c>
      <c r="E12722">
        <v>0</v>
      </c>
      <c r="F12722" t="s">
        <v>7</v>
      </c>
      <c r="G12722" t="s">
        <v>12</v>
      </c>
      <c r="H12722" s="5">
        <f>MONTH(Tabela1[[#This Row],[data]])</f>
        <v>6</v>
      </c>
      <c r="I12722">
        <f>YEAR(Tabela1[[#This Row],[data]])</f>
        <v>2026</v>
      </c>
    </row>
    <row r="12723" spans="1:9" x14ac:dyDescent="0.25">
      <c r="A12723" t="s">
        <v>6</v>
      </c>
      <c r="B12723" s="1">
        <v>46188</v>
      </c>
      <c r="C12723">
        <v>2</v>
      </c>
      <c r="D12723">
        <v>244.44</v>
      </c>
      <c r="E12723">
        <v>0</v>
      </c>
      <c r="F12723" t="s">
        <v>7</v>
      </c>
      <c r="G12723" t="s">
        <v>12</v>
      </c>
      <c r="H12723" s="5">
        <f>MONTH(Tabela1[[#This Row],[data]])</f>
        <v>6</v>
      </c>
      <c r="I12723">
        <f>YEAR(Tabela1[[#This Row],[data]])</f>
        <v>2026</v>
      </c>
    </row>
    <row r="12724" spans="1:9" x14ac:dyDescent="0.25">
      <c r="A12724" t="s">
        <v>6</v>
      </c>
      <c r="B12724" s="1">
        <v>46188</v>
      </c>
      <c r="C12724">
        <v>3</v>
      </c>
      <c r="D12724">
        <v>233.94</v>
      </c>
      <c r="E12724">
        <v>0</v>
      </c>
      <c r="F12724" t="s">
        <v>7</v>
      </c>
      <c r="G12724" t="s">
        <v>12</v>
      </c>
      <c r="H12724" s="5">
        <f>MONTH(Tabela1[[#This Row],[data]])</f>
        <v>6</v>
      </c>
      <c r="I12724">
        <f>YEAR(Tabela1[[#This Row],[data]])</f>
        <v>2026</v>
      </c>
    </row>
    <row r="12725" spans="1:9" x14ac:dyDescent="0.25">
      <c r="A12725" t="s">
        <v>6</v>
      </c>
      <c r="B12725" s="1">
        <v>46188</v>
      </c>
      <c r="C12725">
        <v>4</v>
      </c>
      <c r="D12725">
        <v>238.98</v>
      </c>
      <c r="E12725">
        <v>0</v>
      </c>
      <c r="F12725" t="s">
        <v>7</v>
      </c>
      <c r="G12725" t="s">
        <v>12</v>
      </c>
      <c r="H12725" s="5">
        <f>MONTH(Tabela1[[#This Row],[data]])</f>
        <v>6</v>
      </c>
      <c r="I12725">
        <f>YEAR(Tabela1[[#This Row],[data]])</f>
        <v>2026</v>
      </c>
    </row>
    <row r="12726" spans="1:9" x14ac:dyDescent="0.25">
      <c r="A12726" t="s">
        <v>6</v>
      </c>
      <c r="B12726" s="1">
        <v>46188</v>
      </c>
      <c r="C12726">
        <v>5</v>
      </c>
      <c r="D12726">
        <v>236.88</v>
      </c>
      <c r="E12726">
        <v>0</v>
      </c>
      <c r="F12726" t="s">
        <v>7</v>
      </c>
      <c r="G12726" t="s">
        <v>12</v>
      </c>
      <c r="H12726" s="5">
        <f>MONTH(Tabela1[[#This Row],[data]])</f>
        <v>6</v>
      </c>
      <c r="I12726">
        <f>YEAR(Tabela1[[#This Row],[data]])</f>
        <v>2026</v>
      </c>
    </row>
    <row r="12727" spans="1:9" x14ac:dyDescent="0.25">
      <c r="A12727" t="s">
        <v>6</v>
      </c>
      <c r="B12727" s="1">
        <v>46188</v>
      </c>
      <c r="C12727">
        <v>6</v>
      </c>
      <c r="D12727">
        <v>234.78</v>
      </c>
      <c r="E12727">
        <v>0</v>
      </c>
      <c r="F12727" t="s">
        <v>7</v>
      </c>
      <c r="G12727" t="s">
        <v>12</v>
      </c>
      <c r="H12727" s="5">
        <f>MONTH(Tabela1[[#This Row],[data]])</f>
        <v>6</v>
      </c>
      <c r="I12727">
        <f>YEAR(Tabela1[[#This Row],[data]])</f>
        <v>2026</v>
      </c>
    </row>
    <row r="12728" spans="1:9" x14ac:dyDescent="0.25">
      <c r="A12728" t="s">
        <v>6</v>
      </c>
      <c r="B12728" s="1">
        <v>46188</v>
      </c>
      <c r="C12728">
        <v>7</v>
      </c>
      <c r="D12728">
        <v>239.82</v>
      </c>
      <c r="E12728">
        <v>0</v>
      </c>
      <c r="F12728" t="s">
        <v>7</v>
      </c>
      <c r="G12728" t="s">
        <v>12</v>
      </c>
      <c r="H12728" s="5">
        <f>MONTH(Tabela1[[#This Row],[data]])</f>
        <v>6</v>
      </c>
      <c r="I12728">
        <f>YEAR(Tabela1[[#This Row],[data]])</f>
        <v>2026</v>
      </c>
    </row>
    <row r="12729" spans="1:9" x14ac:dyDescent="0.25">
      <c r="A12729" t="s">
        <v>6</v>
      </c>
      <c r="B12729" s="1">
        <v>46188</v>
      </c>
      <c r="C12729">
        <v>8</v>
      </c>
      <c r="D12729">
        <v>250.32</v>
      </c>
      <c r="E12729">
        <v>0</v>
      </c>
      <c r="F12729" t="s">
        <v>7</v>
      </c>
      <c r="G12729" t="s">
        <v>12</v>
      </c>
      <c r="H12729" s="5">
        <f>MONTH(Tabela1[[#This Row],[data]])</f>
        <v>6</v>
      </c>
      <c r="I12729">
        <f>YEAR(Tabela1[[#This Row],[data]])</f>
        <v>2026</v>
      </c>
    </row>
    <row r="12730" spans="1:9" x14ac:dyDescent="0.25">
      <c r="A12730" t="s">
        <v>6</v>
      </c>
      <c r="B12730" s="1">
        <v>46188</v>
      </c>
      <c r="C12730">
        <v>9</v>
      </c>
      <c r="D12730">
        <v>321.3</v>
      </c>
      <c r="E12730">
        <v>0</v>
      </c>
      <c r="F12730" t="s">
        <v>7</v>
      </c>
      <c r="G12730" t="s">
        <v>12</v>
      </c>
      <c r="H12730" s="5">
        <f>MONTH(Tabela1[[#This Row],[data]])</f>
        <v>6</v>
      </c>
      <c r="I12730">
        <f>YEAR(Tabela1[[#This Row],[data]])</f>
        <v>2026</v>
      </c>
    </row>
    <row r="12731" spans="1:9" x14ac:dyDescent="0.25">
      <c r="A12731" t="s">
        <v>6</v>
      </c>
      <c r="B12731" s="1">
        <v>46188</v>
      </c>
      <c r="C12731">
        <v>10</v>
      </c>
      <c r="D12731">
        <v>422.1</v>
      </c>
      <c r="E12731">
        <v>8.82</v>
      </c>
      <c r="F12731" t="s">
        <v>7</v>
      </c>
      <c r="G12731" t="s">
        <v>12</v>
      </c>
      <c r="H12731" s="5">
        <f>MONTH(Tabela1[[#This Row],[data]])</f>
        <v>6</v>
      </c>
      <c r="I12731">
        <f>YEAR(Tabela1[[#This Row],[data]])</f>
        <v>2026</v>
      </c>
    </row>
    <row r="12732" spans="1:9" x14ac:dyDescent="0.25">
      <c r="A12732" t="s">
        <v>6</v>
      </c>
      <c r="B12732" s="1">
        <v>46188</v>
      </c>
      <c r="C12732">
        <v>11</v>
      </c>
      <c r="D12732">
        <v>543.05999999999995</v>
      </c>
      <c r="E12732">
        <v>43.26</v>
      </c>
      <c r="F12732" t="s">
        <v>7</v>
      </c>
      <c r="G12732" t="s">
        <v>12</v>
      </c>
      <c r="H12732" s="5">
        <f>MONTH(Tabela1[[#This Row],[data]])</f>
        <v>6</v>
      </c>
      <c r="I12732">
        <f>YEAR(Tabela1[[#This Row],[data]])</f>
        <v>2026</v>
      </c>
    </row>
    <row r="12733" spans="1:9" x14ac:dyDescent="0.25">
      <c r="A12733" t="s">
        <v>6</v>
      </c>
      <c r="B12733" s="1">
        <v>46188</v>
      </c>
      <c r="C12733">
        <v>12</v>
      </c>
      <c r="D12733">
        <v>594.29999999999995</v>
      </c>
      <c r="E12733">
        <v>44.94</v>
      </c>
      <c r="F12733" t="s">
        <v>7</v>
      </c>
      <c r="G12733" t="s">
        <v>12</v>
      </c>
      <c r="H12733" s="5">
        <f>MONTH(Tabela1[[#This Row],[data]])</f>
        <v>6</v>
      </c>
      <c r="I12733">
        <f>YEAR(Tabela1[[#This Row],[data]])</f>
        <v>2026</v>
      </c>
    </row>
    <row r="12734" spans="1:9" x14ac:dyDescent="0.25">
      <c r="A12734" t="s">
        <v>6</v>
      </c>
      <c r="B12734" s="1">
        <v>46188</v>
      </c>
      <c r="C12734">
        <v>13</v>
      </c>
      <c r="D12734">
        <v>599.76</v>
      </c>
      <c r="E12734">
        <v>59.22</v>
      </c>
      <c r="F12734" t="s">
        <v>7</v>
      </c>
      <c r="G12734" t="s">
        <v>12</v>
      </c>
      <c r="H12734" s="5">
        <f>MONTH(Tabela1[[#This Row],[data]])</f>
        <v>6</v>
      </c>
      <c r="I12734">
        <f>YEAR(Tabela1[[#This Row],[data]])</f>
        <v>2026</v>
      </c>
    </row>
    <row r="12735" spans="1:9" x14ac:dyDescent="0.25">
      <c r="A12735" t="s">
        <v>6</v>
      </c>
      <c r="B12735" s="1">
        <v>46188</v>
      </c>
      <c r="C12735">
        <v>14</v>
      </c>
      <c r="D12735">
        <v>594.29999999999995</v>
      </c>
      <c r="E12735">
        <v>50.82</v>
      </c>
      <c r="F12735" t="s">
        <v>7</v>
      </c>
      <c r="G12735" t="s">
        <v>12</v>
      </c>
      <c r="H12735" s="5">
        <f>MONTH(Tabela1[[#This Row],[data]])</f>
        <v>6</v>
      </c>
      <c r="I12735">
        <f>YEAR(Tabela1[[#This Row],[data]])</f>
        <v>2026</v>
      </c>
    </row>
    <row r="12736" spans="1:9" x14ac:dyDescent="0.25">
      <c r="A12736" t="s">
        <v>6</v>
      </c>
      <c r="B12736" s="1">
        <v>46188</v>
      </c>
      <c r="C12736">
        <v>15</v>
      </c>
      <c r="D12736">
        <v>595.14</v>
      </c>
      <c r="E12736">
        <v>48.72</v>
      </c>
      <c r="F12736" t="s">
        <v>7</v>
      </c>
      <c r="G12736" t="s">
        <v>12</v>
      </c>
      <c r="H12736" s="5">
        <f>MONTH(Tabela1[[#This Row],[data]])</f>
        <v>6</v>
      </c>
      <c r="I12736">
        <f>YEAR(Tabela1[[#This Row],[data]])</f>
        <v>2026</v>
      </c>
    </row>
    <row r="12737" spans="1:9" x14ac:dyDescent="0.25">
      <c r="A12737" t="s">
        <v>6</v>
      </c>
      <c r="B12737" s="1">
        <v>46188</v>
      </c>
      <c r="C12737">
        <v>16</v>
      </c>
      <c r="D12737">
        <v>600.6</v>
      </c>
      <c r="E12737">
        <v>47.46</v>
      </c>
      <c r="F12737" t="s">
        <v>7</v>
      </c>
      <c r="G12737" t="s">
        <v>12</v>
      </c>
      <c r="H12737" s="5">
        <f>MONTH(Tabela1[[#This Row],[data]])</f>
        <v>6</v>
      </c>
      <c r="I12737">
        <f>YEAR(Tabela1[[#This Row],[data]])</f>
        <v>2026</v>
      </c>
    </row>
    <row r="12738" spans="1:9" x14ac:dyDescent="0.25">
      <c r="A12738" t="s">
        <v>6</v>
      </c>
      <c r="B12738" s="1">
        <v>46188</v>
      </c>
      <c r="C12738">
        <v>17</v>
      </c>
      <c r="D12738">
        <v>601.86</v>
      </c>
      <c r="E12738">
        <v>59.64</v>
      </c>
      <c r="F12738" t="s">
        <v>7</v>
      </c>
      <c r="G12738" t="s">
        <v>12</v>
      </c>
      <c r="H12738" s="5">
        <f>MONTH(Tabela1[[#This Row],[data]])</f>
        <v>6</v>
      </c>
      <c r="I12738">
        <f>YEAR(Tabela1[[#This Row],[data]])</f>
        <v>2026</v>
      </c>
    </row>
    <row r="12739" spans="1:9" x14ac:dyDescent="0.25">
      <c r="A12739" t="s">
        <v>6</v>
      </c>
      <c r="B12739" s="1">
        <v>46188</v>
      </c>
      <c r="C12739">
        <v>18</v>
      </c>
      <c r="D12739">
        <v>605.22</v>
      </c>
      <c r="E12739">
        <v>51.24</v>
      </c>
      <c r="F12739" t="s">
        <v>7</v>
      </c>
      <c r="G12739" t="s">
        <v>12</v>
      </c>
      <c r="H12739" s="5">
        <f>MONTH(Tabela1[[#This Row],[data]])</f>
        <v>6</v>
      </c>
      <c r="I12739">
        <f>YEAR(Tabela1[[#This Row],[data]])</f>
        <v>2026</v>
      </c>
    </row>
    <row r="12740" spans="1:9" x14ac:dyDescent="0.25">
      <c r="A12740" t="s">
        <v>6</v>
      </c>
      <c r="B12740" s="1">
        <v>46188</v>
      </c>
      <c r="C12740">
        <v>19</v>
      </c>
      <c r="D12740">
        <v>600.6</v>
      </c>
      <c r="E12740">
        <v>36.54</v>
      </c>
      <c r="F12740" t="s">
        <v>7</v>
      </c>
      <c r="G12740" t="s">
        <v>12</v>
      </c>
      <c r="H12740" s="5">
        <f>MONTH(Tabela1[[#This Row],[data]])</f>
        <v>6</v>
      </c>
      <c r="I12740">
        <f>YEAR(Tabela1[[#This Row],[data]])</f>
        <v>2026</v>
      </c>
    </row>
    <row r="12741" spans="1:9" x14ac:dyDescent="0.25">
      <c r="A12741" t="s">
        <v>6</v>
      </c>
      <c r="B12741" s="1">
        <v>46188</v>
      </c>
      <c r="C12741">
        <v>20</v>
      </c>
      <c r="D12741">
        <v>591.78</v>
      </c>
      <c r="E12741">
        <v>42.84</v>
      </c>
      <c r="F12741" t="s">
        <v>7</v>
      </c>
      <c r="G12741" t="s">
        <v>12</v>
      </c>
      <c r="H12741" s="5">
        <f>MONTH(Tabela1[[#This Row],[data]])</f>
        <v>6</v>
      </c>
      <c r="I12741">
        <f>YEAR(Tabela1[[#This Row],[data]])</f>
        <v>2026</v>
      </c>
    </row>
    <row r="12742" spans="1:9" x14ac:dyDescent="0.25">
      <c r="A12742" t="s">
        <v>6</v>
      </c>
      <c r="B12742" s="1">
        <v>46188</v>
      </c>
      <c r="C12742">
        <v>21</v>
      </c>
      <c r="D12742">
        <v>577.5</v>
      </c>
      <c r="E12742">
        <v>39.479999999999997</v>
      </c>
      <c r="F12742" t="s">
        <v>7</v>
      </c>
      <c r="G12742" t="s">
        <v>12</v>
      </c>
      <c r="H12742" s="5">
        <f>MONTH(Tabela1[[#This Row],[data]])</f>
        <v>6</v>
      </c>
      <c r="I12742">
        <f>YEAR(Tabela1[[#This Row],[data]])</f>
        <v>2026</v>
      </c>
    </row>
    <row r="12743" spans="1:9" x14ac:dyDescent="0.25">
      <c r="A12743" t="s">
        <v>6</v>
      </c>
      <c r="B12743" s="1">
        <v>46188</v>
      </c>
      <c r="C12743">
        <v>22</v>
      </c>
      <c r="D12743">
        <v>560.28</v>
      </c>
      <c r="E12743">
        <v>26.46</v>
      </c>
      <c r="F12743" t="s">
        <v>7</v>
      </c>
      <c r="G12743" t="s">
        <v>12</v>
      </c>
      <c r="H12743" s="5">
        <f>MONTH(Tabela1[[#This Row],[data]])</f>
        <v>6</v>
      </c>
      <c r="I12743">
        <f>YEAR(Tabela1[[#This Row],[data]])</f>
        <v>2026</v>
      </c>
    </row>
    <row r="12744" spans="1:9" x14ac:dyDescent="0.25">
      <c r="A12744" t="s">
        <v>6</v>
      </c>
      <c r="B12744" s="1">
        <v>46188</v>
      </c>
      <c r="C12744">
        <v>23</v>
      </c>
      <c r="D12744">
        <v>376.74</v>
      </c>
      <c r="E12744">
        <v>0</v>
      </c>
      <c r="F12744" t="s">
        <v>7</v>
      </c>
      <c r="G12744" t="s">
        <v>12</v>
      </c>
      <c r="H12744" s="5">
        <f>MONTH(Tabela1[[#This Row],[data]])</f>
        <v>6</v>
      </c>
      <c r="I12744">
        <f>YEAR(Tabela1[[#This Row],[data]])</f>
        <v>2026</v>
      </c>
    </row>
    <row r="12745" spans="1:9" x14ac:dyDescent="0.25">
      <c r="A12745" t="s">
        <v>6</v>
      </c>
      <c r="B12745" s="1">
        <v>46188</v>
      </c>
      <c r="C12745">
        <v>24</v>
      </c>
      <c r="D12745">
        <v>280.98</v>
      </c>
      <c r="E12745">
        <v>0</v>
      </c>
      <c r="F12745" t="s">
        <v>7</v>
      </c>
      <c r="G12745" t="s">
        <v>12</v>
      </c>
      <c r="H12745" s="5">
        <f>MONTH(Tabela1[[#This Row],[data]])</f>
        <v>6</v>
      </c>
      <c r="I12745">
        <f>YEAR(Tabela1[[#This Row],[data]])</f>
        <v>2026</v>
      </c>
    </row>
    <row r="12746" spans="1:9" x14ac:dyDescent="0.25">
      <c r="A12746" t="s">
        <v>6</v>
      </c>
      <c r="B12746" s="1">
        <v>46189</v>
      </c>
      <c r="C12746">
        <v>1</v>
      </c>
      <c r="D12746">
        <v>266.7</v>
      </c>
      <c r="E12746">
        <v>0</v>
      </c>
      <c r="F12746" t="s">
        <v>7</v>
      </c>
      <c r="G12746" t="s">
        <v>12</v>
      </c>
      <c r="H12746" s="5">
        <f>MONTH(Tabela1[[#This Row],[data]])</f>
        <v>6</v>
      </c>
      <c r="I12746">
        <f>YEAR(Tabela1[[#This Row],[data]])</f>
        <v>2026</v>
      </c>
    </row>
    <row r="12747" spans="1:9" x14ac:dyDescent="0.25">
      <c r="A12747" t="s">
        <v>6</v>
      </c>
      <c r="B12747" s="1">
        <v>46189</v>
      </c>
      <c r="C12747">
        <v>2</v>
      </c>
      <c r="D12747">
        <v>240.24</v>
      </c>
      <c r="E12747">
        <v>0</v>
      </c>
      <c r="F12747" t="s">
        <v>7</v>
      </c>
      <c r="G12747" t="s">
        <v>12</v>
      </c>
      <c r="H12747" s="5">
        <f>MONTH(Tabela1[[#This Row],[data]])</f>
        <v>6</v>
      </c>
      <c r="I12747">
        <f>YEAR(Tabela1[[#This Row],[data]])</f>
        <v>2026</v>
      </c>
    </row>
    <row r="12748" spans="1:9" x14ac:dyDescent="0.25">
      <c r="A12748" t="s">
        <v>6</v>
      </c>
      <c r="B12748" s="1">
        <v>46189</v>
      </c>
      <c r="C12748">
        <v>3</v>
      </c>
      <c r="D12748">
        <v>226.38</v>
      </c>
      <c r="E12748">
        <v>0</v>
      </c>
      <c r="F12748" t="s">
        <v>7</v>
      </c>
      <c r="G12748" t="s">
        <v>12</v>
      </c>
      <c r="H12748" s="5">
        <f>MONTH(Tabela1[[#This Row],[data]])</f>
        <v>6</v>
      </c>
      <c r="I12748">
        <f>YEAR(Tabela1[[#This Row],[data]])</f>
        <v>2026</v>
      </c>
    </row>
    <row r="12749" spans="1:9" x14ac:dyDescent="0.25">
      <c r="A12749" t="s">
        <v>6</v>
      </c>
      <c r="B12749" s="1">
        <v>46189</v>
      </c>
      <c r="C12749">
        <v>4</v>
      </c>
      <c r="D12749">
        <v>226.38</v>
      </c>
      <c r="E12749">
        <v>0</v>
      </c>
      <c r="F12749" t="s">
        <v>7</v>
      </c>
      <c r="G12749" t="s">
        <v>12</v>
      </c>
      <c r="H12749" s="5">
        <f>MONTH(Tabela1[[#This Row],[data]])</f>
        <v>6</v>
      </c>
      <c r="I12749">
        <f>YEAR(Tabela1[[#This Row],[data]])</f>
        <v>2026</v>
      </c>
    </row>
    <row r="12750" spans="1:9" x14ac:dyDescent="0.25">
      <c r="A12750" t="s">
        <v>6</v>
      </c>
      <c r="B12750" s="1">
        <v>46189</v>
      </c>
      <c r="C12750">
        <v>5</v>
      </c>
      <c r="D12750">
        <v>226.38</v>
      </c>
      <c r="E12750">
        <v>0</v>
      </c>
      <c r="F12750" t="s">
        <v>7</v>
      </c>
      <c r="G12750" t="s">
        <v>12</v>
      </c>
      <c r="H12750" s="5">
        <f>MONTH(Tabela1[[#This Row],[data]])</f>
        <v>6</v>
      </c>
      <c r="I12750">
        <f>YEAR(Tabela1[[#This Row],[data]])</f>
        <v>2026</v>
      </c>
    </row>
    <row r="12751" spans="1:9" x14ac:dyDescent="0.25">
      <c r="A12751" t="s">
        <v>6</v>
      </c>
      <c r="B12751" s="1">
        <v>46189</v>
      </c>
      <c r="C12751">
        <v>6</v>
      </c>
      <c r="D12751">
        <v>223.44</v>
      </c>
      <c r="E12751">
        <v>0</v>
      </c>
      <c r="F12751" t="s">
        <v>7</v>
      </c>
      <c r="G12751" t="s">
        <v>12</v>
      </c>
      <c r="H12751" s="5">
        <f>MONTH(Tabela1[[#This Row],[data]])</f>
        <v>6</v>
      </c>
      <c r="I12751">
        <f>YEAR(Tabela1[[#This Row],[data]])</f>
        <v>2026</v>
      </c>
    </row>
    <row r="12752" spans="1:9" x14ac:dyDescent="0.25">
      <c r="A12752" t="s">
        <v>6</v>
      </c>
      <c r="B12752" s="1">
        <v>46189</v>
      </c>
      <c r="C12752">
        <v>7</v>
      </c>
      <c r="D12752">
        <v>230.16</v>
      </c>
      <c r="E12752">
        <v>0</v>
      </c>
      <c r="F12752" t="s">
        <v>7</v>
      </c>
      <c r="G12752" t="s">
        <v>12</v>
      </c>
      <c r="H12752" s="5">
        <f>MONTH(Tabela1[[#This Row],[data]])</f>
        <v>6</v>
      </c>
      <c r="I12752">
        <f>YEAR(Tabela1[[#This Row],[data]])</f>
        <v>2026</v>
      </c>
    </row>
    <row r="12753" spans="1:9" x14ac:dyDescent="0.25">
      <c r="A12753" t="s">
        <v>6</v>
      </c>
      <c r="B12753" s="1">
        <v>46189</v>
      </c>
      <c r="C12753">
        <v>8</v>
      </c>
      <c r="D12753">
        <v>224.28</v>
      </c>
      <c r="E12753">
        <v>0</v>
      </c>
      <c r="F12753" t="s">
        <v>7</v>
      </c>
      <c r="G12753" t="s">
        <v>12</v>
      </c>
      <c r="H12753" s="5">
        <f>MONTH(Tabela1[[#This Row],[data]])</f>
        <v>6</v>
      </c>
      <c r="I12753">
        <f>YEAR(Tabela1[[#This Row],[data]])</f>
        <v>2026</v>
      </c>
    </row>
    <row r="12754" spans="1:9" x14ac:dyDescent="0.25">
      <c r="A12754" t="s">
        <v>6</v>
      </c>
      <c r="B12754" s="1">
        <v>46189</v>
      </c>
      <c r="C12754">
        <v>9</v>
      </c>
      <c r="D12754">
        <v>298.2</v>
      </c>
      <c r="E12754">
        <v>0</v>
      </c>
      <c r="F12754" t="s">
        <v>7</v>
      </c>
      <c r="G12754" t="s">
        <v>12</v>
      </c>
      <c r="H12754" s="5">
        <f>MONTH(Tabela1[[#This Row],[data]])</f>
        <v>6</v>
      </c>
      <c r="I12754">
        <f>YEAR(Tabela1[[#This Row],[data]])</f>
        <v>2026</v>
      </c>
    </row>
    <row r="12755" spans="1:9" x14ac:dyDescent="0.25">
      <c r="A12755" t="s">
        <v>6</v>
      </c>
      <c r="B12755" s="1">
        <v>46189</v>
      </c>
      <c r="C12755">
        <v>10</v>
      </c>
      <c r="D12755">
        <v>399</v>
      </c>
      <c r="E12755">
        <v>7.14</v>
      </c>
      <c r="F12755" t="s">
        <v>7</v>
      </c>
      <c r="G12755" t="s">
        <v>12</v>
      </c>
      <c r="H12755" s="5">
        <f>MONTH(Tabela1[[#This Row],[data]])</f>
        <v>6</v>
      </c>
      <c r="I12755">
        <f>YEAR(Tabela1[[#This Row],[data]])</f>
        <v>2026</v>
      </c>
    </row>
    <row r="12756" spans="1:9" x14ac:dyDescent="0.25">
      <c r="A12756" t="s">
        <v>6</v>
      </c>
      <c r="B12756" s="1">
        <v>46189</v>
      </c>
      <c r="C12756">
        <v>11</v>
      </c>
      <c r="D12756">
        <v>553.55999999999995</v>
      </c>
      <c r="E12756">
        <v>27.72</v>
      </c>
      <c r="F12756" t="s">
        <v>7</v>
      </c>
      <c r="G12756" t="s">
        <v>12</v>
      </c>
      <c r="H12756" s="5">
        <f>MONTH(Tabela1[[#This Row],[data]])</f>
        <v>6</v>
      </c>
      <c r="I12756">
        <f>YEAR(Tabela1[[#This Row],[data]])</f>
        <v>2026</v>
      </c>
    </row>
    <row r="12757" spans="1:9" x14ac:dyDescent="0.25">
      <c r="A12757" t="s">
        <v>6</v>
      </c>
      <c r="B12757" s="1">
        <v>46189</v>
      </c>
      <c r="C12757">
        <v>12</v>
      </c>
      <c r="D12757">
        <v>607.74</v>
      </c>
      <c r="E12757">
        <v>35.700000000000003</v>
      </c>
      <c r="F12757" t="s">
        <v>7</v>
      </c>
      <c r="G12757" t="s">
        <v>12</v>
      </c>
      <c r="H12757" s="5">
        <f>MONTH(Tabela1[[#This Row],[data]])</f>
        <v>6</v>
      </c>
      <c r="I12757">
        <f>YEAR(Tabela1[[#This Row],[data]])</f>
        <v>2026</v>
      </c>
    </row>
    <row r="12758" spans="1:9" x14ac:dyDescent="0.25">
      <c r="A12758" t="s">
        <v>6</v>
      </c>
      <c r="B12758" s="1">
        <v>46189</v>
      </c>
      <c r="C12758">
        <v>13</v>
      </c>
      <c r="D12758">
        <v>604.79999999999995</v>
      </c>
      <c r="E12758">
        <v>49.56</v>
      </c>
      <c r="F12758" t="s">
        <v>7</v>
      </c>
      <c r="G12758" t="s">
        <v>12</v>
      </c>
      <c r="H12758" s="5">
        <f>MONTH(Tabela1[[#This Row],[data]])</f>
        <v>6</v>
      </c>
      <c r="I12758">
        <f>YEAR(Tabela1[[#This Row],[data]])</f>
        <v>2026</v>
      </c>
    </row>
    <row r="12759" spans="1:9" x14ac:dyDescent="0.25">
      <c r="A12759" t="s">
        <v>6</v>
      </c>
      <c r="B12759" s="1">
        <v>46189</v>
      </c>
      <c r="C12759">
        <v>14</v>
      </c>
      <c r="D12759">
        <v>598.5</v>
      </c>
      <c r="E12759">
        <v>36.96</v>
      </c>
      <c r="F12759" t="s">
        <v>7</v>
      </c>
      <c r="G12759" t="s">
        <v>12</v>
      </c>
      <c r="H12759" s="5">
        <f>MONTH(Tabela1[[#This Row],[data]])</f>
        <v>6</v>
      </c>
      <c r="I12759">
        <f>YEAR(Tabela1[[#This Row],[data]])</f>
        <v>2026</v>
      </c>
    </row>
    <row r="12760" spans="1:9" x14ac:dyDescent="0.25">
      <c r="A12760" t="s">
        <v>6</v>
      </c>
      <c r="B12760" s="1">
        <v>46189</v>
      </c>
      <c r="C12760">
        <v>15</v>
      </c>
      <c r="D12760">
        <v>606.05999999999995</v>
      </c>
      <c r="E12760">
        <v>42</v>
      </c>
      <c r="F12760" t="s">
        <v>7</v>
      </c>
      <c r="G12760" t="s">
        <v>12</v>
      </c>
      <c r="H12760" s="5">
        <f>MONTH(Tabela1[[#This Row],[data]])</f>
        <v>6</v>
      </c>
      <c r="I12760">
        <f>YEAR(Tabela1[[#This Row],[data]])</f>
        <v>2026</v>
      </c>
    </row>
    <row r="12761" spans="1:9" x14ac:dyDescent="0.25">
      <c r="A12761" t="s">
        <v>6</v>
      </c>
      <c r="B12761" s="1">
        <v>46189</v>
      </c>
      <c r="C12761">
        <v>16</v>
      </c>
      <c r="D12761">
        <v>619.91999999999996</v>
      </c>
      <c r="E12761">
        <v>58.38</v>
      </c>
      <c r="F12761" t="s">
        <v>7</v>
      </c>
      <c r="G12761" t="s">
        <v>12</v>
      </c>
      <c r="H12761" s="5">
        <f>MONTH(Tabela1[[#This Row],[data]])</f>
        <v>6</v>
      </c>
      <c r="I12761">
        <f>YEAR(Tabela1[[#This Row],[data]])</f>
        <v>2026</v>
      </c>
    </row>
    <row r="12762" spans="1:9" x14ac:dyDescent="0.25">
      <c r="A12762" t="s">
        <v>6</v>
      </c>
      <c r="B12762" s="1">
        <v>46189</v>
      </c>
      <c r="C12762">
        <v>17</v>
      </c>
      <c r="D12762">
        <v>610.26</v>
      </c>
      <c r="E12762">
        <v>64.260000000000005</v>
      </c>
      <c r="F12762" t="s">
        <v>7</v>
      </c>
      <c r="G12762" t="s">
        <v>12</v>
      </c>
      <c r="H12762" s="5">
        <f>MONTH(Tabela1[[#This Row],[data]])</f>
        <v>6</v>
      </c>
      <c r="I12762">
        <f>YEAR(Tabela1[[#This Row],[data]])</f>
        <v>2026</v>
      </c>
    </row>
    <row r="12763" spans="1:9" x14ac:dyDescent="0.25">
      <c r="A12763" t="s">
        <v>6</v>
      </c>
      <c r="B12763" s="1">
        <v>46189</v>
      </c>
      <c r="C12763">
        <v>18</v>
      </c>
      <c r="D12763">
        <v>609.84</v>
      </c>
      <c r="E12763">
        <v>49.14</v>
      </c>
      <c r="F12763" t="s">
        <v>7</v>
      </c>
      <c r="G12763" t="s">
        <v>12</v>
      </c>
      <c r="H12763" s="5">
        <f>MONTH(Tabela1[[#This Row],[data]])</f>
        <v>6</v>
      </c>
      <c r="I12763">
        <f>YEAR(Tabela1[[#This Row],[data]])</f>
        <v>2026</v>
      </c>
    </row>
    <row r="12764" spans="1:9" x14ac:dyDescent="0.25">
      <c r="A12764" t="s">
        <v>6</v>
      </c>
      <c r="B12764" s="1">
        <v>46189</v>
      </c>
      <c r="C12764">
        <v>19</v>
      </c>
      <c r="D12764">
        <v>595.55999999999995</v>
      </c>
      <c r="E12764">
        <v>20.58</v>
      </c>
      <c r="F12764" t="s">
        <v>7</v>
      </c>
      <c r="G12764" t="s">
        <v>12</v>
      </c>
      <c r="H12764" s="5">
        <f>MONTH(Tabela1[[#This Row],[data]])</f>
        <v>6</v>
      </c>
      <c r="I12764">
        <f>YEAR(Tabela1[[#This Row],[data]])</f>
        <v>2026</v>
      </c>
    </row>
    <row r="12765" spans="1:9" x14ac:dyDescent="0.25">
      <c r="A12765" t="s">
        <v>6</v>
      </c>
      <c r="B12765" s="1">
        <v>46189</v>
      </c>
      <c r="C12765">
        <v>20</v>
      </c>
      <c r="D12765">
        <v>600.6</v>
      </c>
      <c r="E12765">
        <v>34.86</v>
      </c>
      <c r="F12765" t="s">
        <v>7</v>
      </c>
      <c r="G12765" t="s">
        <v>12</v>
      </c>
      <c r="H12765" s="5">
        <f>MONTH(Tabela1[[#This Row],[data]])</f>
        <v>6</v>
      </c>
      <c r="I12765">
        <f>YEAR(Tabela1[[#This Row],[data]])</f>
        <v>2026</v>
      </c>
    </row>
    <row r="12766" spans="1:9" x14ac:dyDescent="0.25">
      <c r="A12766" t="s">
        <v>6</v>
      </c>
      <c r="B12766" s="1">
        <v>46189</v>
      </c>
      <c r="C12766">
        <v>21</v>
      </c>
      <c r="D12766">
        <v>591.36</v>
      </c>
      <c r="E12766">
        <v>42.42</v>
      </c>
      <c r="F12766" t="s">
        <v>7</v>
      </c>
      <c r="G12766" t="s">
        <v>12</v>
      </c>
      <c r="H12766" s="5">
        <f>MONTH(Tabela1[[#This Row],[data]])</f>
        <v>6</v>
      </c>
      <c r="I12766">
        <f>YEAR(Tabela1[[#This Row],[data]])</f>
        <v>2026</v>
      </c>
    </row>
    <row r="12767" spans="1:9" x14ac:dyDescent="0.25">
      <c r="A12767" t="s">
        <v>6</v>
      </c>
      <c r="B12767" s="1">
        <v>46189</v>
      </c>
      <c r="C12767">
        <v>22</v>
      </c>
      <c r="D12767">
        <v>562.79999999999995</v>
      </c>
      <c r="E12767">
        <v>30.24</v>
      </c>
      <c r="F12767" t="s">
        <v>7</v>
      </c>
      <c r="G12767" t="s">
        <v>12</v>
      </c>
      <c r="H12767" s="5">
        <f>MONTH(Tabela1[[#This Row],[data]])</f>
        <v>6</v>
      </c>
      <c r="I12767">
        <f>YEAR(Tabela1[[#This Row],[data]])</f>
        <v>2026</v>
      </c>
    </row>
    <row r="12768" spans="1:9" x14ac:dyDescent="0.25">
      <c r="A12768" t="s">
        <v>6</v>
      </c>
      <c r="B12768" s="1">
        <v>46189</v>
      </c>
      <c r="C12768">
        <v>23</v>
      </c>
      <c r="D12768">
        <v>359.52</v>
      </c>
      <c r="E12768">
        <v>0</v>
      </c>
      <c r="F12768" t="s">
        <v>7</v>
      </c>
      <c r="G12768" t="s">
        <v>12</v>
      </c>
      <c r="H12768" s="5">
        <f>MONTH(Tabela1[[#This Row],[data]])</f>
        <v>6</v>
      </c>
      <c r="I12768">
        <f>YEAR(Tabela1[[#This Row],[data]])</f>
        <v>2026</v>
      </c>
    </row>
    <row r="12769" spans="1:9" x14ac:dyDescent="0.25">
      <c r="A12769" t="s">
        <v>6</v>
      </c>
      <c r="B12769" s="1">
        <v>46189</v>
      </c>
      <c r="C12769">
        <v>24</v>
      </c>
      <c r="D12769">
        <v>262.92</v>
      </c>
      <c r="E12769">
        <v>0</v>
      </c>
      <c r="F12769" t="s">
        <v>7</v>
      </c>
      <c r="G12769" t="s">
        <v>12</v>
      </c>
      <c r="H12769" s="5">
        <f>MONTH(Tabela1[[#This Row],[data]])</f>
        <v>6</v>
      </c>
      <c r="I12769">
        <f>YEAR(Tabela1[[#This Row],[data]])</f>
        <v>2026</v>
      </c>
    </row>
    <row r="12770" spans="1:9" x14ac:dyDescent="0.25">
      <c r="A12770" t="s">
        <v>6</v>
      </c>
      <c r="B12770" s="1">
        <v>46190</v>
      </c>
      <c r="C12770">
        <v>1</v>
      </c>
      <c r="D12770">
        <v>244.02</v>
      </c>
      <c r="E12770">
        <v>0</v>
      </c>
      <c r="F12770" t="s">
        <v>7</v>
      </c>
      <c r="G12770" t="s">
        <v>12</v>
      </c>
      <c r="H12770" s="5">
        <f>MONTH(Tabela1[[#This Row],[data]])</f>
        <v>6</v>
      </c>
      <c r="I12770">
        <f>YEAR(Tabela1[[#This Row],[data]])</f>
        <v>2026</v>
      </c>
    </row>
    <row r="12771" spans="1:9" x14ac:dyDescent="0.25">
      <c r="A12771" t="s">
        <v>6</v>
      </c>
      <c r="B12771" s="1">
        <v>46190</v>
      </c>
      <c r="C12771">
        <v>2</v>
      </c>
      <c r="D12771">
        <v>236.88</v>
      </c>
      <c r="E12771">
        <v>0</v>
      </c>
      <c r="F12771" t="s">
        <v>7</v>
      </c>
      <c r="G12771" t="s">
        <v>12</v>
      </c>
      <c r="H12771" s="5">
        <f>MONTH(Tabela1[[#This Row],[data]])</f>
        <v>6</v>
      </c>
      <c r="I12771">
        <f>YEAR(Tabela1[[#This Row],[data]])</f>
        <v>2026</v>
      </c>
    </row>
    <row r="12772" spans="1:9" x14ac:dyDescent="0.25">
      <c r="A12772" t="s">
        <v>6</v>
      </c>
      <c r="B12772" s="1">
        <v>46190</v>
      </c>
      <c r="C12772">
        <v>3</v>
      </c>
      <c r="D12772">
        <v>233.52</v>
      </c>
      <c r="E12772">
        <v>0</v>
      </c>
      <c r="F12772" t="s">
        <v>7</v>
      </c>
      <c r="G12772" t="s">
        <v>12</v>
      </c>
      <c r="H12772" s="5">
        <f>MONTH(Tabela1[[#This Row],[data]])</f>
        <v>6</v>
      </c>
      <c r="I12772">
        <f>YEAR(Tabela1[[#This Row],[data]])</f>
        <v>2026</v>
      </c>
    </row>
    <row r="12773" spans="1:9" x14ac:dyDescent="0.25">
      <c r="A12773" t="s">
        <v>6</v>
      </c>
      <c r="B12773" s="1">
        <v>46190</v>
      </c>
      <c r="C12773">
        <v>4</v>
      </c>
      <c r="D12773">
        <v>234.36</v>
      </c>
      <c r="E12773">
        <v>0</v>
      </c>
      <c r="F12773" t="s">
        <v>7</v>
      </c>
      <c r="G12773" t="s">
        <v>12</v>
      </c>
      <c r="H12773" s="5">
        <f>MONTH(Tabela1[[#This Row],[data]])</f>
        <v>6</v>
      </c>
      <c r="I12773">
        <f>YEAR(Tabela1[[#This Row],[data]])</f>
        <v>2026</v>
      </c>
    </row>
    <row r="12774" spans="1:9" x14ac:dyDescent="0.25">
      <c r="A12774" t="s">
        <v>6</v>
      </c>
      <c r="B12774" s="1">
        <v>46190</v>
      </c>
      <c r="C12774">
        <v>5</v>
      </c>
      <c r="D12774">
        <v>234.78</v>
      </c>
      <c r="E12774">
        <v>0</v>
      </c>
      <c r="F12774" t="s">
        <v>7</v>
      </c>
      <c r="G12774" t="s">
        <v>12</v>
      </c>
      <c r="H12774" s="5">
        <f>MONTH(Tabela1[[#This Row],[data]])</f>
        <v>6</v>
      </c>
      <c r="I12774">
        <f>YEAR(Tabela1[[#This Row],[data]])</f>
        <v>2026</v>
      </c>
    </row>
    <row r="12775" spans="1:9" x14ac:dyDescent="0.25">
      <c r="A12775" t="s">
        <v>6</v>
      </c>
      <c r="B12775" s="1">
        <v>46190</v>
      </c>
      <c r="C12775">
        <v>6</v>
      </c>
      <c r="D12775">
        <v>233.1</v>
      </c>
      <c r="E12775">
        <v>0</v>
      </c>
      <c r="F12775" t="s">
        <v>7</v>
      </c>
      <c r="G12775" t="s">
        <v>12</v>
      </c>
      <c r="H12775" s="5">
        <f>MONTH(Tabela1[[#This Row],[data]])</f>
        <v>6</v>
      </c>
      <c r="I12775">
        <f>YEAR(Tabela1[[#This Row],[data]])</f>
        <v>2026</v>
      </c>
    </row>
    <row r="12776" spans="1:9" x14ac:dyDescent="0.25">
      <c r="A12776" t="s">
        <v>6</v>
      </c>
      <c r="B12776" s="1">
        <v>46190</v>
      </c>
      <c r="C12776">
        <v>7</v>
      </c>
      <c r="D12776">
        <v>236.88</v>
      </c>
      <c r="E12776">
        <v>0</v>
      </c>
      <c r="F12776" t="s">
        <v>7</v>
      </c>
      <c r="G12776" t="s">
        <v>12</v>
      </c>
      <c r="H12776" s="5">
        <f>MONTH(Tabela1[[#This Row],[data]])</f>
        <v>6</v>
      </c>
      <c r="I12776">
        <f>YEAR(Tabela1[[#This Row],[data]])</f>
        <v>2026</v>
      </c>
    </row>
    <row r="12777" spans="1:9" x14ac:dyDescent="0.25">
      <c r="A12777" t="s">
        <v>6</v>
      </c>
      <c r="B12777" s="1">
        <v>46190</v>
      </c>
      <c r="C12777">
        <v>8</v>
      </c>
      <c r="D12777">
        <v>235.2</v>
      </c>
      <c r="E12777">
        <v>0</v>
      </c>
      <c r="F12777" t="s">
        <v>7</v>
      </c>
      <c r="G12777" t="s">
        <v>12</v>
      </c>
      <c r="H12777" s="5">
        <f>MONTH(Tabela1[[#This Row],[data]])</f>
        <v>6</v>
      </c>
      <c r="I12777">
        <f>YEAR(Tabela1[[#This Row],[data]])</f>
        <v>2026</v>
      </c>
    </row>
    <row r="12778" spans="1:9" x14ac:dyDescent="0.25">
      <c r="A12778" t="s">
        <v>6</v>
      </c>
      <c r="B12778" s="1">
        <v>46190</v>
      </c>
      <c r="C12778">
        <v>9</v>
      </c>
      <c r="D12778">
        <v>295.26</v>
      </c>
      <c r="E12778">
        <v>0</v>
      </c>
      <c r="F12778" t="s">
        <v>7</v>
      </c>
      <c r="G12778" t="s">
        <v>12</v>
      </c>
      <c r="H12778" s="5">
        <f>MONTH(Tabela1[[#This Row],[data]])</f>
        <v>6</v>
      </c>
      <c r="I12778">
        <f>YEAR(Tabela1[[#This Row],[data]])</f>
        <v>2026</v>
      </c>
    </row>
    <row r="12779" spans="1:9" x14ac:dyDescent="0.25">
      <c r="A12779" t="s">
        <v>6</v>
      </c>
      <c r="B12779" s="1">
        <v>46190</v>
      </c>
      <c r="C12779">
        <v>10</v>
      </c>
      <c r="D12779">
        <v>384.3</v>
      </c>
      <c r="E12779">
        <v>0.84</v>
      </c>
      <c r="F12779" t="s">
        <v>7</v>
      </c>
      <c r="G12779" t="s">
        <v>12</v>
      </c>
      <c r="H12779" s="5">
        <f>MONTH(Tabela1[[#This Row],[data]])</f>
        <v>6</v>
      </c>
      <c r="I12779">
        <f>YEAR(Tabela1[[#This Row],[data]])</f>
        <v>2026</v>
      </c>
    </row>
    <row r="12780" spans="1:9" x14ac:dyDescent="0.25">
      <c r="A12780" t="s">
        <v>6</v>
      </c>
      <c r="B12780" s="1">
        <v>46190</v>
      </c>
      <c r="C12780">
        <v>11</v>
      </c>
      <c r="D12780">
        <v>536.34</v>
      </c>
      <c r="E12780">
        <v>26.04</v>
      </c>
      <c r="F12780" t="s">
        <v>7</v>
      </c>
      <c r="G12780" t="s">
        <v>12</v>
      </c>
      <c r="H12780" s="5">
        <f>MONTH(Tabela1[[#This Row],[data]])</f>
        <v>6</v>
      </c>
      <c r="I12780">
        <f>YEAR(Tabela1[[#This Row],[data]])</f>
        <v>2026</v>
      </c>
    </row>
    <row r="12781" spans="1:9" x14ac:dyDescent="0.25">
      <c r="A12781" t="s">
        <v>6</v>
      </c>
      <c r="B12781" s="1">
        <v>46190</v>
      </c>
      <c r="C12781">
        <v>12</v>
      </c>
      <c r="D12781">
        <v>584.22</v>
      </c>
      <c r="E12781">
        <v>47.04</v>
      </c>
      <c r="F12781" t="s">
        <v>7</v>
      </c>
      <c r="G12781" t="s">
        <v>12</v>
      </c>
      <c r="H12781" s="5">
        <f>MONTH(Tabela1[[#This Row],[data]])</f>
        <v>6</v>
      </c>
      <c r="I12781">
        <f>YEAR(Tabela1[[#This Row],[data]])</f>
        <v>2026</v>
      </c>
    </row>
    <row r="12782" spans="1:9" x14ac:dyDescent="0.25">
      <c r="A12782" t="s">
        <v>6</v>
      </c>
      <c r="B12782" s="1">
        <v>46190</v>
      </c>
      <c r="C12782">
        <v>13</v>
      </c>
      <c r="D12782">
        <v>588</v>
      </c>
      <c r="E12782">
        <v>48.72</v>
      </c>
      <c r="F12782" t="s">
        <v>7</v>
      </c>
      <c r="G12782" t="s">
        <v>12</v>
      </c>
      <c r="H12782" s="5">
        <f>MONTH(Tabela1[[#This Row],[data]])</f>
        <v>6</v>
      </c>
      <c r="I12782">
        <f>YEAR(Tabela1[[#This Row],[data]])</f>
        <v>2026</v>
      </c>
    </row>
    <row r="12783" spans="1:9" x14ac:dyDescent="0.25">
      <c r="A12783" t="s">
        <v>6</v>
      </c>
      <c r="B12783" s="1">
        <v>46190</v>
      </c>
      <c r="C12783">
        <v>14</v>
      </c>
      <c r="D12783">
        <v>587.16</v>
      </c>
      <c r="E12783">
        <v>33.6</v>
      </c>
      <c r="F12783" t="s">
        <v>7</v>
      </c>
      <c r="G12783" t="s">
        <v>12</v>
      </c>
      <c r="H12783" s="5">
        <f>MONTH(Tabela1[[#This Row],[data]])</f>
        <v>6</v>
      </c>
      <c r="I12783">
        <f>YEAR(Tabela1[[#This Row],[data]])</f>
        <v>2026</v>
      </c>
    </row>
    <row r="12784" spans="1:9" x14ac:dyDescent="0.25">
      <c r="A12784" t="s">
        <v>6</v>
      </c>
      <c r="B12784" s="1">
        <v>46190</v>
      </c>
      <c r="C12784">
        <v>15</v>
      </c>
      <c r="D12784">
        <v>586.32000000000005</v>
      </c>
      <c r="E12784">
        <v>19.739999999999998</v>
      </c>
      <c r="F12784" t="s">
        <v>7</v>
      </c>
      <c r="G12784" t="s">
        <v>12</v>
      </c>
      <c r="H12784" s="5">
        <f>MONTH(Tabela1[[#This Row],[data]])</f>
        <v>6</v>
      </c>
      <c r="I12784">
        <f>YEAR(Tabela1[[#This Row],[data]])</f>
        <v>2026</v>
      </c>
    </row>
    <row r="12785" spans="1:9" x14ac:dyDescent="0.25">
      <c r="A12785" t="s">
        <v>6</v>
      </c>
      <c r="B12785" s="1">
        <v>46190</v>
      </c>
      <c r="C12785">
        <v>16</v>
      </c>
      <c r="D12785">
        <v>595.98</v>
      </c>
      <c r="E12785">
        <v>47.46</v>
      </c>
      <c r="F12785" t="s">
        <v>7</v>
      </c>
      <c r="G12785" t="s">
        <v>12</v>
      </c>
      <c r="H12785" s="5">
        <f>MONTH(Tabela1[[#This Row],[data]])</f>
        <v>6</v>
      </c>
      <c r="I12785">
        <f>YEAR(Tabela1[[#This Row],[data]])</f>
        <v>2026</v>
      </c>
    </row>
    <row r="12786" spans="1:9" x14ac:dyDescent="0.25">
      <c r="A12786" t="s">
        <v>6</v>
      </c>
      <c r="B12786" s="1">
        <v>46190</v>
      </c>
      <c r="C12786">
        <v>17</v>
      </c>
      <c r="D12786">
        <v>600.17999999999995</v>
      </c>
      <c r="E12786">
        <v>55.86</v>
      </c>
      <c r="F12786" t="s">
        <v>7</v>
      </c>
      <c r="G12786" t="s">
        <v>12</v>
      </c>
      <c r="H12786" s="5">
        <f>MONTH(Tabela1[[#This Row],[data]])</f>
        <v>6</v>
      </c>
      <c r="I12786">
        <f>YEAR(Tabela1[[#This Row],[data]])</f>
        <v>2026</v>
      </c>
    </row>
    <row r="12787" spans="1:9" x14ac:dyDescent="0.25">
      <c r="A12787" t="s">
        <v>6</v>
      </c>
      <c r="B12787" s="1">
        <v>46190</v>
      </c>
      <c r="C12787">
        <v>18</v>
      </c>
      <c r="D12787">
        <v>599.76</v>
      </c>
      <c r="E12787">
        <v>44.52</v>
      </c>
      <c r="F12787" t="s">
        <v>7</v>
      </c>
      <c r="G12787" t="s">
        <v>12</v>
      </c>
      <c r="H12787" s="5">
        <f>MONTH(Tabela1[[#This Row],[data]])</f>
        <v>6</v>
      </c>
      <c r="I12787">
        <f>YEAR(Tabela1[[#This Row],[data]])</f>
        <v>2026</v>
      </c>
    </row>
    <row r="12788" spans="1:9" x14ac:dyDescent="0.25">
      <c r="A12788" t="s">
        <v>6</v>
      </c>
      <c r="B12788" s="1">
        <v>46190</v>
      </c>
      <c r="C12788">
        <v>19</v>
      </c>
      <c r="D12788">
        <v>591.36</v>
      </c>
      <c r="E12788">
        <v>15.12</v>
      </c>
      <c r="F12788" t="s">
        <v>7</v>
      </c>
      <c r="G12788" t="s">
        <v>12</v>
      </c>
      <c r="H12788" s="5">
        <f>MONTH(Tabela1[[#This Row],[data]])</f>
        <v>6</v>
      </c>
      <c r="I12788">
        <f>YEAR(Tabela1[[#This Row],[data]])</f>
        <v>2026</v>
      </c>
    </row>
    <row r="12789" spans="1:9" x14ac:dyDescent="0.25">
      <c r="A12789" t="s">
        <v>6</v>
      </c>
      <c r="B12789" s="1">
        <v>46190</v>
      </c>
      <c r="C12789">
        <v>20</v>
      </c>
      <c r="D12789">
        <v>592.20000000000005</v>
      </c>
      <c r="E12789">
        <v>20.16</v>
      </c>
      <c r="F12789" t="s">
        <v>7</v>
      </c>
      <c r="G12789" t="s">
        <v>12</v>
      </c>
      <c r="H12789" s="5">
        <f>MONTH(Tabela1[[#This Row],[data]])</f>
        <v>6</v>
      </c>
      <c r="I12789">
        <f>YEAR(Tabela1[[#This Row],[data]])</f>
        <v>2026</v>
      </c>
    </row>
    <row r="12790" spans="1:9" x14ac:dyDescent="0.25">
      <c r="A12790" t="s">
        <v>6</v>
      </c>
      <c r="B12790" s="1">
        <v>46190</v>
      </c>
      <c r="C12790">
        <v>21</v>
      </c>
      <c r="D12790">
        <v>592.62</v>
      </c>
      <c r="E12790">
        <v>31.5</v>
      </c>
      <c r="F12790" t="s">
        <v>7</v>
      </c>
      <c r="G12790" t="s">
        <v>12</v>
      </c>
      <c r="H12790" s="5">
        <f>MONTH(Tabela1[[#This Row],[data]])</f>
        <v>6</v>
      </c>
      <c r="I12790">
        <f>YEAR(Tabela1[[#This Row],[data]])</f>
        <v>2026</v>
      </c>
    </row>
    <row r="12791" spans="1:9" x14ac:dyDescent="0.25">
      <c r="A12791" t="s">
        <v>6</v>
      </c>
      <c r="B12791" s="1">
        <v>46190</v>
      </c>
      <c r="C12791">
        <v>22</v>
      </c>
      <c r="D12791">
        <v>561.54</v>
      </c>
      <c r="E12791">
        <v>28.98</v>
      </c>
      <c r="F12791" t="s">
        <v>7</v>
      </c>
      <c r="G12791" t="s">
        <v>12</v>
      </c>
      <c r="H12791" s="5">
        <f>MONTH(Tabela1[[#This Row],[data]])</f>
        <v>6</v>
      </c>
      <c r="I12791">
        <f>YEAR(Tabela1[[#This Row],[data]])</f>
        <v>2026</v>
      </c>
    </row>
    <row r="12792" spans="1:9" x14ac:dyDescent="0.25">
      <c r="A12792" t="s">
        <v>6</v>
      </c>
      <c r="B12792" s="1">
        <v>46190</v>
      </c>
      <c r="C12792">
        <v>23</v>
      </c>
      <c r="D12792">
        <v>375.06</v>
      </c>
      <c r="E12792">
        <v>0.42</v>
      </c>
      <c r="F12792" t="s">
        <v>7</v>
      </c>
      <c r="G12792" t="s">
        <v>12</v>
      </c>
      <c r="H12792" s="5">
        <f>MONTH(Tabela1[[#This Row],[data]])</f>
        <v>6</v>
      </c>
      <c r="I12792">
        <f>YEAR(Tabela1[[#This Row],[data]])</f>
        <v>2026</v>
      </c>
    </row>
    <row r="12793" spans="1:9" x14ac:dyDescent="0.25">
      <c r="A12793" t="s">
        <v>6</v>
      </c>
      <c r="B12793" s="1">
        <v>46190</v>
      </c>
      <c r="C12793">
        <v>24</v>
      </c>
      <c r="D12793">
        <v>273</v>
      </c>
      <c r="E12793">
        <v>0</v>
      </c>
      <c r="F12793" t="s">
        <v>7</v>
      </c>
      <c r="G12793" t="s">
        <v>12</v>
      </c>
      <c r="H12793" s="5">
        <f>MONTH(Tabela1[[#This Row],[data]])</f>
        <v>6</v>
      </c>
      <c r="I12793">
        <f>YEAR(Tabela1[[#This Row],[data]])</f>
        <v>2026</v>
      </c>
    </row>
    <row r="12794" spans="1:9" x14ac:dyDescent="0.25">
      <c r="A12794" t="s">
        <v>6</v>
      </c>
      <c r="B12794" s="1">
        <v>46191</v>
      </c>
      <c r="C12794">
        <v>1</v>
      </c>
      <c r="D12794">
        <v>249.48</v>
      </c>
      <c r="E12794">
        <v>0</v>
      </c>
      <c r="F12794" t="s">
        <v>7</v>
      </c>
      <c r="G12794" t="s">
        <v>12</v>
      </c>
      <c r="H12794" s="5">
        <f>MONTH(Tabela1[[#This Row],[data]])</f>
        <v>6</v>
      </c>
      <c r="I12794">
        <f>YEAR(Tabela1[[#This Row],[data]])</f>
        <v>2026</v>
      </c>
    </row>
    <row r="12795" spans="1:9" x14ac:dyDescent="0.25">
      <c r="A12795" t="s">
        <v>6</v>
      </c>
      <c r="B12795" s="1">
        <v>46191</v>
      </c>
      <c r="C12795">
        <v>2</v>
      </c>
      <c r="D12795">
        <v>239.4</v>
      </c>
      <c r="E12795">
        <v>0</v>
      </c>
      <c r="F12795" t="s">
        <v>7</v>
      </c>
      <c r="G12795" t="s">
        <v>12</v>
      </c>
      <c r="H12795" s="5">
        <f>MONTH(Tabela1[[#This Row],[data]])</f>
        <v>6</v>
      </c>
      <c r="I12795">
        <f>YEAR(Tabela1[[#This Row],[data]])</f>
        <v>2026</v>
      </c>
    </row>
    <row r="12796" spans="1:9" x14ac:dyDescent="0.25">
      <c r="A12796" t="s">
        <v>6</v>
      </c>
      <c r="B12796" s="1">
        <v>46191</v>
      </c>
      <c r="C12796">
        <v>3</v>
      </c>
      <c r="D12796">
        <v>234.36</v>
      </c>
      <c r="E12796">
        <v>0</v>
      </c>
      <c r="F12796" t="s">
        <v>7</v>
      </c>
      <c r="G12796" t="s">
        <v>12</v>
      </c>
      <c r="H12796" s="5">
        <f>MONTH(Tabela1[[#This Row],[data]])</f>
        <v>6</v>
      </c>
      <c r="I12796">
        <f>YEAR(Tabela1[[#This Row],[data]])</f>
        <v>2026</v>
      </c>
    </row>
    <row r="12797" spans="1:9" x14ac:dyDescent="0.25">
      <c r="A12797" t="s">
        <v>6</v>
      </c>
      <c r="B12797" s="1">
        <v>46191</v>
      </c>
      <c r="C12797">
        <v>4</v>
      </c>
      <c r="D12797">
        <v>237.3</v>
      </c>
      <c r="E12797">
        <v>0</v>
      </c>
      <c r="F12797" t="s">
        <v>7</v>
      </c>
      <c r="G12797" t="s">
        <v>12</v>
      </c>
      <c r="H12797" s="5">
        <f>MONTH(Tabela1[[#This Row],[data]])</f>
        <v>6</v>
      </c>
      <c r="I12797">
        <f>YEAR(Tabela1[[#This Row],[data]])</f>
        <v>2026</v>
      </c>
    </row>
    <row r="12798" spans="1:9" x14ac:dyDescent="0.25">
      <c r="A12798" t="s">
        <v>6</v>
      </c>
      <c r="B12798" s="1">
        <v>46191</v>
      </c>
      <c r="C12798">
        <v>5</v>
      </c>
      <c r="D12798">
        <v>234.36</v>
      </c>
      <c r="E12798">
        <v>0</v>
      </c>
      <c r="F12798" t="s">
        <v>7</v>
      </c>
      <c r="G12798" t="s">
        <v>12</v>
      </c>
      <c r="H12798" s="5">
        <f>MONTH(Tabela1[[#This Row],[data]])</f>
        <v>6</v>
      </c>
      <c r="I12798">
        <f>YEAR(Tabela1[[#This Row],[data]])</f>
        <v>2026</v>
      </c>
    </row>
    <row r="12799" spans="1:9" x14ac:dyDescent="0.25">
      <c r="A12799" t="s">
        <v>6</v>
      </c>
      <c r="B12799" s="1">
        <v>46191</v>
      </c>
      <c r="C12799">
        <v>6</v>
      </c>
      <c r="D12799">
        <v>231.42</v>
      </c>
      <c r="E12799">
        <v>0</v>
      </c>
      <c r="F12799" t="s">
        <v>7</v>
      </c>
      <c r="G12799" t="s">
        <v>12</v>
      </c>
      <c r="H12799" s="5">
        <f>MONTH(Tabela1[[#This Row],[data]])</f>
        <v>6</v>
      </c>
      <c r="I12799">
        <f>YEAR(Tabela1[[#This Row],[data]])</f>
        <v>2026</v>
      </c>
    </row>
    <row r="12800" spans="1:9" x14ac:dyDescent="0.25">
      <c r="A12800" t="s">
        <v>6</v>
      </c>
      <c r="B12800" s="1">
        <v>46191</v>
      </c>
      <c r="C12800">
        <v>7</v>
      </c>
      <c r="D12800">
        <v>232.26</v>
      </c>
      <c r="E12800">
        <v>0</v>
      </c>
      <c r="F12800" t="s">
        <v>7</v>
      </c>
      <c r="G12800" t="s">
        <v>12</v>
      </c>
      <c r="H12800" s="5">
        <f>MONTH(Tabela1[[#This Row],[data]])</f>
        <v>6</v>
      </c>
      <c r="I12800">
        <f>YEAR(Tabela1[[#This Row],[data]])</f>
        <v>2026</v>
      </c>
    </row>
    <row r="12801" spans="1:9" x14ac:dyDescent="0.25">
      <c r="A12801" t="s">
        <v>6</v>
      </c>
      <c r="B12801" s="1">
        <v>46191</v>
      </c>
      <c r="C12801">
        <v>8</v>
      </c>
      <c r="D12801">
        <v>246.96</v>
      </c>
      <c r="E12801">
        <v>0</v>
      </c>
      <c r="F12801" t="s">
        <v>7</v>
      </c>
      <c r="G12801" t="s">
        <v>12</v>
      </c>
      <c r="H12801" s="5">
        <f>MONTH(Tabela1[[#This Row],[data]])</f>
        <v>6</v>
      </c>
      <c r="I12801">
        <f>YEAR(Tabela1[[#This Row],[data]])</f>
        <v>2026</v>
      </c>
    </row>
    <row r="12802" spans="1:9" x14ac:dyDescent="0.25">
      <c r="A12802" t="s">
        <v>6</v>
      </c>
      <c r="B12802" s="1">
        <v>46191</v>
      </c>
      <c r="C12802">
        <v>9</v>
      </c>
      <c r="D12802">
        <v>280.98</v>
      </c>
      <c r="E12802">
        <v>0</v>
      </c>
      <c r="F12802" t="s">
        <v>7</v>
      </c>
      <c r="G12802" t="s">
        <v>12</v>
      </c>
      <c r="H12802" s="5">
        <f>MONTH(Tabela1[[#This Row],[data]])</f>
        <v>6</v>
      </c>
      <c r="I12802">
        <f>YEAR(Tabela1[[#This Row],[data]])</f>
        <v>2026</v>
      </c>
    </row>
    <row r="12803" spans="1:9" x14ac:dyDescent="0.25">
      <c r="A12803" t="s">
        <v>6</v>
      </c>
      <c r="B12803" s="1">
        <v>46191</v>
      </c>
      <c r="C12803">
        <v>10</v>
      </c>
      <c r="D12803">
        <v>372.12</v>
      </c>
      <c r="E12803">
        <v>2.52</v>
      </c>
      <c r="F12803" t="s">
        <v>7</v>
      </c>
      <c r="G12803" t="s">
        <v>12</v>
      </c>
      <c r="H12803" s="5">
        <f>MONTH(Tabela1[[#This Row],[data]])</f>
        <v>6</v>
      </c>
      <c r="I12803">
        <f>YEAR(Tabela1[[#This Row],[data]])</f>
        <v>2026</v>
      </c>
    </row>
    <row r="12804" spans="1:9" x14ac:dyDescent="0.25">
      <c r="A12804" t="s">
        <v>6</v>
      </c>
      <c r="B12804" s="1">
        <v>46191</v>
      </c>
      <c r="C12804">
        <v>11</v>
      </c>
      <c r="D12804">
        <v>528.36</v>
      </c>
      <c r="E12804">
        <v>30.66</v>
      </c>
      <c r="F12804" t="s">
        <v>7</v>
      </c>
      <c r="G12804" t="s">
        <v>12</v>
      </c>
      <c r="H12804" s="5">
        <f>MONTH(Tabela1[[#This Row],[data]])</f>
        <v>6</v>
      </c>
      <c r="I12804">
        <f>YEAR(Tabela1[[#This Row],[data]])</f>
        <v>2026</v>
      </c>
    </row>
    <row r="12805" spans="1:9" x14ac:dyDescent="0.25">
      <c r="A12805" t="s">
        <v>6</v>
      </c>
      <c r="B12805" s="1">
        <v>46191</v>
      </c>
      <c r="C12805">
        <v>12</v>
      </c>
      <c r="D12805">
        <v>586.74</v>
      </c>
      <c r="E12805">
        <v>39.06</v>
      </c>
      <c r="F12805" t="s">
        <v>7</v>
      </c>
      <c r="G12805" t="s">
        <v>12</v>
      </c>
      <c r="H12805" s="5">
        <f>MONTH(Tabela1[[#This Row],[data]])</f>
        <v>6</v>
      </c>
      <c r="I12805">
        <f>YEAR(Tabela1[[#This Row],[data]])</f>
        <v>2026</v>
      </c>
    </row>
    <row r="12806" spans="1:9" x14ac:dyDescent="0.25">
      <c r="A12806" t="s">
        <v>6</v>
      </c>
      <c r="B12806" s="1">
        <v>46191</v>
      </c>
      <c r="C12806">
        <v>13</v>
      </c>
      <c r="D12806">
        <v>591.36</v>
      </c>
      <c r="E12806">
        <v>44.52</v>
      </c>
      <c r="F12806" t="s">
        <v>7</v>
      </c>
      <c r="G12806" t="s">
        <v>12</v>
      </c>
      <c r="H12806" s="5">
        <f>MONTH(Tabela1[[#This Row],[data]])</f>
        <v>6</v>
      </c>
      <c r="I12806">
        <f>YEAR(Tabela1[[#This Row],[data]])</f>
        <v>2026</v>
      </c>
    </row>
    <row r="12807" spans="1:9" x14ac:dyDescent="0.25">
      <c r="A12807" t="s">
        <v>6</v>
      </c>
      <c r="B12807" s="1">
        <v>46191</v>
      </c>
      <c r="C12807">
        <v>14</v>
      </c>
      <c r="D12807">
        <v>588.41999999999996</v>
      </c>
      <c r="E12807">
        <v>36.54</v>
      </c>
      <c r="F12807" t="s">
        <v>7</v>
      </c>
      <c r="G12807" t="s">
        <v>12</v>
      </c>
      <c r="H12807" s="5">
        <f>MONTH(Tabela1[[#This Row],[data]])</f>
        <v>6</v>
      </c>
      <c r="I12807">
        <f>YEAR(Tabela1[[#This Row],[data]])</f>
        <v>2026</v>
      </c>
    </row>
    <row r="12808" spans="1:9" x14ac:dyDescent="0.25">
      <c r="A12808" t="s">
        <v>6</v>
      </c>
      <c r="B12808" s="1">
        <v>46191</v>
      </c>
      <c r="C12808">
        <v>15</v>
      </c>
      <c r="D12808">
        <v>590.94000000000005</v>
      </c>
      <c r="E12808">
        <v>35.28</v>
      </c>
      <c r="F12808" t="s">
        <v>7</v>
      </c>
      <c r="G12808" t="s">
        <v>12</v>
      </c>
      <c r="H12808" s="5">
        <f>MONTH(Tabela1[[#This Row],[data]])</f>
        <v>6</v>
      </c>
      <c r="I12808">
        <f>YEAR(Tabela1[[#This Row],[data]])</f>
        <v>2026</v>
      </c>
    </row>
    <row r="12809" spans="1:9" x14ac:dyDescent="0.25">
      <c r="A12809" t="s">
        <v>6</v>
      </c>
      <c r="B12809" s="1">
        <v>46191</v>
      </c>
      <c r="C12809">
        <v>16</v>
      </c>
      <c r="D12809">
        <v>594.29999999999995</v>
      </c>
      <c r="E12809">
        <v>43.26</v>
      </c>
      <c r="F12809" t="s">
        <v>7</v>
      </c>
      <c r="G12809" t="s">
        <v>12</v>
      </c>
      <c r="H12809" s="5">
        <f>MONTH(Tabela1[[#This Row],[data]])</f>
        <v>6</v>
      </c>
      <c r="I12809">
        <f>YEAR(Tabela1[[#This Row],[data]])</f>
        <v>2026</v>
      </c>
    </row>
    <row r="12810" spans="1:9" x14ac:dyDescent="0.25">
      <c r="A12810" t="s">
        <v>6</v>
      </c>
      <c r="B12810" s="1">
        <v>46191</v>
      </c>
      <c r="C12810">
        <v>17</v>
      </c>
      <c r="D12810">
        <v>591.78</v>
      </c>
      <c r="E12810">
        <v>55.86</v>
      </c>
      <c r="F12810" t="s">
        <v>7</v>
      </c>
      <c r="G12810" t="s">
        <v>12</v>
      </c>
      <c r="H12810" s="5">
        <f>MONTH(Tabela1[[#This Row],[data]])</f>
        <v>6</v>
      </c>
      <c r="I12810">
        <f>YEAR(Tabela1[[#This Row],[data]])</f>
        <v>2026</v>
      </c>
    </row>
    <row r="12811" spans="1:9" x14ac:dyDescent="0.25">
      <c r="A12811" t="s">
        <v>6</v>
      </c>
      <c r="B12811" s="1">
        <v>46191</v>
      </c>
      <c r="C12811">
        <v>18</v>
      </c>
      <c r="D12811">
        <v>585.05999999999995</v>
      </c>
      <c r="E12811">
        <v>39.9</v>
      </c>
      <c r="F12811" t="s">
        <v>7</v>
      </c>
      <c r="G12811" t="s">
        <v>12</v>
      </c>
      <c r="H12811" s="5">
        <f>MONTH(Tabela1[[#This Row],[data]])</f>
        <v>6</v>
      </c>
      <c r="I12811">
        <f>YEAR(Tabela1[[#This Row],[data]])</f>
        <v>2026</v>
      </c>
    </row>
    <row r="12812" spans="1:9" x14ac:dyDescent="0.25">
      <c r="A12812" t="s">
        <v>6</v>
      </c>
      <c r="B12812" s="1">
        <v>46191</v>
      </c>
      <c r="C12812">
        <v>19</v>
      </c>
      <c r="D12812">
        <v>592.20000000000005</v>
      </c>
      <c r="E12812">
        <v>24.78</v>
      </c>
      <c r="F12812" t="s">
        <v>7</v>
      </c>
      <c r="G12812" t="s">
        <v>12</v>
      </c>
      <c r="H12812" s="5">
        <f>MONTH(Tabela1[[#This Row],[data]])</f>
        <v>6</v>
      </c>
      <c r="I12812">
        <f>YEAR(Tabela1[[#This Row],[data]])</f>
        <v>2026</v>
      </c>
    </row>
    <row r="12813" spans="1:9" x14ac:dyDescent="0.25">
      <c r="A12813" t="s">
        <v>6</v>
      </c>
      <c r="B12813" s="1">
        <v>46191</v>
      </c>
      <c r="C12813">
        <v>20</v>
      </c>
      <c r="D12813">
        <v>585.48</v>
      </c>
      <c r="E12813">
        <v>31.92</v>
      </c>
      <c r="F12813" t="s">
        <v>7</v>
      </c>
      <c r="G12813" t="s">
        <v>12</v>
      </c>
      <c r="H12813" s="5">
        <f>MONTH(Tabela1[[#This Row],[data]])</f>
        <v>6</v>
      </c>
      <c r="I12813">
        <f>YEAR(Tabela1[[#This Row],[data]])</f>
        <v>2026</v>
      </c>
    </row>
    <row r="12814" spans="1:9" x14ac:dyDescent="0.25">
      <c r="A12814" t="s">
        <v>6</v>
      </c>
      <c r="B12814" s="1">
        <v>46191</v>
      </c>
      <c r="C12814">
        <v>21</v>
      </c>
      <c r="D12814">
        <v>574.98</v>
      </c>
      <c r="E12814">
        <v>26.46</v>
      </c>
      <c r="F12814" t="s">
        <v>7</v>
      </c>
      <c r="G12814" t="s">
        <v>12</v>
      </c>
      <c r="H12814" s="5">
        <f>MONTH(Tabela1[[#This Row],[data]])</f>
        <v>6</v>
      </c>
      <c r="I12814">
        <f>YEAR(Tabela1[[#This Row],[data]])</f>
        <v>2026</v>
      </c>
    </row>
    <row r="12815" spans="1:9" x14ac:dyDescent="0.25">
      <c r="A12815" t="s">
        <v>6</v>
      </c>
      <c r="B12815" s="1">
        <v>46191</v>
      </c>
      <c r="C12815">
        <v>22</v>
      </c>
      <c r="D12815">
        <v>546.41999999999996</v>
      </c>
      <c r="E12815">
        <v>22.68</v>
      </c>
      <c r="F12815" t="s">
        <v>7</v>
      </c>
      <c r="G12815" t="s">
        <v>12</v>
      </c>
      <c r="H12815" s="5">
        <f>MONTH(Tabela1[[#This Row],[data]])</f>
        <v>6</v>
      </c>
      <c r="I12815">
        <f>YEAR(Tabela1[[#This Row],[data]])</f>
        <v>2026</v>
      </c>
    </row>
    <row r="12816" spans="1:9" x14ac:dyDescent="0.25">
      <c r="A12816" t="s">
        <v>6</v>
      </c>
      <c r="B12816" s="1">
        <v>46191</v>
      </c>
      <c r="C12816">
        <v>23</v>
      </c>
      <c r="D12816">
        <v>365.4</v>
      </c>
      <c r="E12816">
        <v>0</v>
      </c>
      <c r="F12816" t="s">
        <v>7</v>
      </c>
      <c r="G12816" t="s">
        <v>12</v>
      </c>
      <c r="H12816" s="5">
        <f>MONTH(Tabela1[[#This Row],[data]])</f>
        <v>6</v>
      </c>
      <c r="I12816">
        <f>YEAR(Tabela1[[#This Row],[data]])</f>
        <v>2026</v>
      </c>
    </row>
    <row r="12817" spans="1:9" x14ac:dyDescent="0.25">
      <c r="A12817" t="s">
        <v>6</v>
      </c>
      <c r="B12817" s="1">
        <v>46191</v>
      </c>
      <c r="C12817">
        <v>24</v>
      </c>
      <c r="D12817">
        <v>267.54000000000002</v>
      </c>
      <c r="E12817">
        <v>0</v>
      </c>
      <c r="F12817" t="s">
        <v>7</v>
      </c>
      <c r="G12817" t="s">
        <v>12</v>
      </c>
      <c r="H12817" s="5">
        <f>MONTH(Tabela1[[#This Row],[data]])</f>
        <v>6</v>
      </c>
      <c r="I12817">
        <f>YEAR(Tabela1[[#This Row],[data]])</f>
        <v>2026</v>
      </c>
    </row>
    <row r="12818" spans="1:9" x14ac:dyDescent="0.25">
      <c r="A12818" t="s">
        <v>6</v>
      </c>
      <c r="B12818" s="1">
        <v>46192</v>
      </c>
      <c r="C12818">
        <v>1</v>
      </c>
      <c r="D12818">
        <v>239.82</v>
      </c>
      <c r="E12818">
        <v>0</v>
      </c>
      <c r="F12818" t="s">
        <v>7</v>
      </c>
      <c r="G12818" t="s">
        <v>11</v>
      </c>
      <c r="H12818" s="5">
        <f>MONTH(Tabela1[[#This Row],[data]])</f>
        <v>6</v>
      </c>
      <c r="I12818">
        <f>YEAR(Tabela1[[#This Row],[data]])</f>
        <v>2026</v>
      </c>
    </row>
    <row r="12819" spans="1:9" x14ac:dyDescent="0.25">
      <c r="A12819" t="s">
        <v>6</v>
      </c>
      <c r="B12819" s="1">
        <v>46192</v>
      </c>
      <c r="C12819">
        <v>2</v>
      </c>
      <c r="D12819">
        <v>234.36</v>
      </c>
      <c r="E12819">
        <v>0</v>
      </c>
      <c r="F12819" t="s">
        <v>7</v>
      </c>
      <c r="G12819" t="s">
        <v>11</v>
      </c>
      <c r="H12819" s="5">
        <f>MONTH(Tabela1[[#This Row],[data]])</f>
        <v>6</v>
      </c>
      <c r="I12819">
        <f>YEAR(Tabela1[[#This Row],[data]])</f>
        <v>2026</v>
      </c>
    </row>
    <row r="12820" spans="1:9" x14ac:dyDescent="0.25">
      <c r="A12820" t="s">
        <v>6</v>
      </c>
      <c r="B12820" s="1">
        <v>46192</v>
      </c>
      <c r="C12820">
        <v>3</v>
      </c>
      <c r="D12820">
        <v>230.16</v>
      </c>
      <c r="E12820">
        <v>0</v>
      </c>
      <c r="F12820" t="s">
        <v>7</v>
      </c>
      <c r="G12820" t="s">
        <v>11</v>
      </c>
      <c r="H12820" s="5">
        <f>MONTH(Tabela1[[#This Row],[data]])</f>
        <v>6</v>
      </c>
      <c r="I12820">
        <f>YEAR(Tabela1[[#This Row],[data]])</f>
        <v>2026</v>
      </c>
    </row>
    <row r="12821" spans="1:9" x14ac:dyDescent="0.25">
      <c r="A12821" t="s">
        <v>6</v>
      </c>
      <c r="B12821" s="1">
        <v>46192</v>
      </c>
      <c r="C12821">
        <v>4</v>
      </c>
      <c r="D12821">
        <v>233.1</v>
      </c>
      <c r="E12821">
        <v>0</v>
      </c>
      <c r="F12821" t="s">
        <v>7</v>
      </c>
      <c r="G12821" t="s">
        <v>11</v>
      </c>
      <c r="H12821" s="5">
        <f>MONTH(Tabela1[[#This Row],[data]])</f>
        <v>6</v>
      </c>
      <c r="I12821">
        <f>YEAR(Tabela1[[#This Row],[data]])</f>
        <v>2026</v>
      </c>
    </row>
    <row r="12822" spans="1:9" x14ac:dyDescent="0.25">
      <c r="A12822" t="s">
        <v>6</v>
      </c>
      <c r="B12822" s="1">
        <v>46192</v>
      </c>
      <c r="C12822">
        <v>5</v>
      </c>
      <c r="D12822">
        <v>234.36</v>
      </c>
      <c r="E12822">
        <v>0</v>
      </c>
      <c r="F12822" t="s">
        <v>7</v>
      </c>
      <c r="G12822" t="s">
        <v>11</v>
      </c>
      <c r="H12822" s="5">
        <f>MONTH(Tabela1[[#This Row],[data]])</f>
        <v>6</v>
      </c>
      <c r="I12822">
        <f>YEAR(Tabela1[[#This Row],[data]])</f>
        <v>2026</v>
      </c>
    </row>
    <row r="12823" spans="1:9" x14ac:dyDescent="0.25">
      <c r="A12823" t="s">
        <v>6</v>
      </c>
      <c r="B12823" s="1">
        <v>46192</v>
      </c>
      <c r="C12823">
        <v>6</v>
      </c>
      <c r="D12823">
        <v>227.64</v>
      </c>
      <c r="E12823">
        <v>0</v>
      </c>
      <c r="F12823" t="s">
        <v>7</v>
      </c>
      <c r="G12823" t="s">
        <v>11</v>
      </c>
      <c r="H12823" s="5">
        <f>MONTH(Tabela1[[#This Row],[data]])</f>
        <v>6</v>
      </c>
      <c r="I12823">
        <f>YEAR(Tabela1[[#This Row],[data]])</f>
        <v>2026</v>
      </c>
    </row>
    <row r="12824" spans="1:9" x14ac:dyDescent="0.25">
      <c r="A12824" t="s">
        <v>6</v>
      </c>
      <c r="B12824" s="1">
        <v>46192</v>
      </c>
      <c r="C12824">
        <v>7</v>
      </c>
      <c r="D12824">
        <v>236.88</v>
      </c>
      <c r="E12824">
        <v>0</v>
      </c>
      <c r="F12824" t="s">
        <v>7</v>
      </c>
      <c r="G12824" t="s">
        <v>11</v>
      </c>
      <c r="H12824" s="5">
        <f>MONTH(Tabela1[[#This Row],[data]])</f>
        <v>6</v>
      </c>
      <c r="I12824">
        <f>YEAR(Tabela1[[#This Row],[data]])</f>
        <v>2026</v>
      </c>
    </row>
    <row r="12825" spans="1:9" x14ac:dyDescent="0.25">
      <c r="A12825" t="s">
        <v>6</v>
      </c>
      <c r="B12825" s="1">
        <v>46192</v>
      </c>
      <c r="C12825">
        <v>8</v>
      </c>
      <c r="D12825">
        <v>234.36</v>
      </c>
      <c r="E12825">
        <v>0</v>
      </c>
      <c r="F12825" t="s">
        <v>7</v>
      </c>
      <c r="G12825" t="s">
        <v>11</v>
      </c>
      <c r="H12825" s="5">
        <f>MONTH(Tabela1[[#This Row],[data]])</f>
        <v>6</v>
      </c>
      <c r="I12825">
        <f>YEAR(Tabela1[[#This Row],[data]])</f>
        <v>2026</v>
      </c>
    </row>
    <row r="12826" spans="1:9" x14ac:dyDescent="0.25">
      <c r="A12826" t="s">
        <v>6</v>
      </c>
      <c r="B12826" s="1">
        <v>46192</v>
      </c>
      <c r="C12826">
        <v>9</v>
      </c>
      <c r="D12826">
        <v>301.98</v>
      </c>
      <c r="E12826">
        <v>0</v>
      </c>
      <c r="F12826" t="s">
        <v>7</v>
      </c>
      <c r="G12826" t="s">
        <v>11</v>
      </c>
      <c r="H12826" s="5">
        <f>MONTH(Tabela1[[#This Row],[data]])</f>
        <v>6</v>
      </c>
      <c r="I12826">
        <f>YEAR(Tabela1[[#This Row],[data]])</f>
        <v>2026</v>
      </c>
    </row>
    <row r="12827" spans="1:9" x14ac:dyDescent="0.25">
      <c r="A12827" t="s">
        <v>6</v>
      </c>
      <c r="B12827" s="1">
        <v>46192</v>
      </c>
      <c r="C12827">
        <v>10</v>
      </c>
      <c r="D12827">
        <v>375.06</v>
      </c>
      <c r="E12827">
        <v>0.42</v>
      </c>
      <c r="F12827" t="s">
        <v>7</v>
      </c>
      <c r="G12827" t="s">
        <v>11</v>
      </c>
      <c r="H12827" s="5">
        <f>MONTH(Tabela1[[#This Row],[data]])</f>
        <v>6</v>
      </c>
      <c r="I12827">
        <f>YEAR(Tabela1[[#This Row],[data]])</f>
        <v>2026</v>
      </c>
    </row>
    <row r="12828" spans="1:9" x14ac:dyDescent="0.25">
      <c r="A12828" t="s">
        <v>6</v>
      </c>
      <c r="B12828" s="1">
        <v>46192</v>
      </c>
      <c r="C12828">
        <v>11</v>
      </c>
      <c r="D12828">
        <v>530.46</v>
      </c>
      <c r="E12828">
        <v>24.36</v>
      </c>
      <c r="F12828" t="s">
        <v>7</v>
      </c>
      <c r="G12828" t="s">
        <v>11</v>
      </c>
      <c r="H12828" s="5">
        <f>MONTH(Tabela1[[#This Row],[data]])</f>
        <v>6</v>
      </c>
      <c r="I12828">
        <f>YEAR(Tabela1[[#This Row],[data]])</f>
        <v>2026</v>
      </c>
    </row>
    <row r="12829" spans="1:9" x14ac:dyDescent="0.25">
      <c r="A12829" t="s">
        <v>6</v>
      </c>
      <c r="B12829" s="1">
        <v>46192</v>
      </c>
      <c r="C12829">
        <v>12</v>
      </c>
      <c r="D12829">
        <v>575.4</v>
      </c>
      <c r="E12829">
        <v>35.28</v>
      </c>
      <c r="F12829" t="s">
        <v>7</v>
      </c>
      <c r="G12829" t="s">
        <v>11</v>
      </c>
      <c r="H12829" s="5">
        <f>MONTH(Tabela1[[#This Row],[data]])</f>
        <v>6</v>
      </c>
      <c r="I12829">
        <f>YEAR(Tabela1[[#This Row],[data]])</f>
        <v>2026</v>
      </c>
    </row>
    <row r="12830" spans="1:9" x14ac:dyDescent="0.25">
      <c r="A12830" t="s">
        <v>6</v>
      </c>
      <c r="B12830" s="1">
        <v>46192</v>
      </c>
      <c r="C12830">
        <v>13</v>
      </c>
      <c r="D12830">
        <v>593.46</v>
      </c>
      <c r="E12830">
        <v>48.72</v>
      </c>
      <c r="F12830" t="s">
        <v>7</v>
      </c>
      <c r="G12830" t="s">
        <v>11</v>
      </c>
      <c r="H12830" s="5">
        <f>MONTH(Tabela1[[#This Row],[data]])</f>
        <v>6</v>
      </c>
      <c r="I12830">
        <f>YEAR(Tabela1[[#This Row],[data]])</f>
        <v>2026</v>
      </c>
    </row>
    <row r="12831" spans="1:9" x14ac:dyDescent="0.25">
      <c r="A12831" t="s">
        <v>6</v>
      </c>
      <c r="B12831" s="1">
        <v>46192</v>
      </c>
      <c r="C12831">
        <v>14</v>
      </c>
      <c r="D12831">
        <v>604.79999999999995</v>
      </c>
      <c r="E12831">
        <v>44.94</v>
      </c>
      <c r="F12831" t="s">
        <v>7</v>
      </c>
      <c r="G12831" t="s">
        <v>11</v>
      </c>
      <c r="H12831" s="5">
        <f>MONTH(Tabela1[[#This Row],[data]])</f>
        <v>6</v>
      </c>
      <c r="I12831">
        <f>YEAR(Tabela1[[#This Row],[data]])</f>
        <v>2026</v>
      </c>
    </row>
    <row r="12832" spans="1:9" x14ac:dyDescent="0.25">
      <c r="A12832" t="s">
        <v>6</v>
      </c>
      <c r="B12832" s="1">
        <v>46192</v>
      </c>
      <c r="C12832">
        <v>15</v>
      </c>
      <c r="D12832">
        <v>605.22</v>
      </c>
      <c r="E12832">
        <v>45.78</v>
      </c>
      <c r="F12832" t="s">
        <v>7</v>
      </c>
      <c r="G12832" t="s">
        <v>11</v>
      </c>
      <c r="H12832" s="5">
        <f>MONTH(Tabela1[[#This Row],[data]])</f>
        <v>6</v>
      </c>
      <c r="I12832">
        <f>YEAR(Tabela1[[#This Row],[data]])</f>
        <v>2026</v>
      </c>
    </row>
    <row r="12833" spans="1:9" x14ac:dyDescent="0.25">
      <c r="A12833" t="s">
        <v>6</v>
      </c>
      <c r="B12833" s="1">
        <v>46192</v>
      </c>
      <c r="C12833">
        <v>16</v>
      </c>
      <c r="D12833">
        <v>606.48</v>
      </c>
      <c r="E12833">
        <v>63.42</v>
      </c>
      <c r="F12833" t="s">
        <v>7</v>
      </c>
      <c r="G12833" t="s">
        <v>11</v>
      </c>
      <c r="H12833" s="5">
        <f>MONTH(Tabela1[[#This Row],[data]])</f>
        <v>6</v>
      </c>
      <c r="I12833">
        <f>YEAR(Tabela1[[#This Row],[data]])</f>
        <v>2026</v>
      </c>
    </row>
    <row r="12834" spans="1:9" x14ac:dyDescent="0.25">
      <c r="A12834" t="s">
        <v>6</v>
      </c>
      <c r="B12834" s="1">
        <v>46192</v>
      </c>
      <c r="C12834">
        <v>17</v>
      </c>
      <c r="D12834">
        <v>606.05999999999995</v>
      </c>
      <c r="E12834">
        <v>51.66</v>
      </c>
      <c r="F12834" t="s">
        <v>7</v>
      </c>
      <c r="G12834" t="s">
        <v>11</v>
      </c>
      <c r="H12834" s="5">
        <f>MONTH(Tabela1[[#This Row],[data]])</f>
        <v>6</v>
      </c>
      <c r="I12834">
        <f>YEAR(Tabela1[[#This Row],[data]])</f>
        <v>2026</v>
      </c>
    </row>
    <row r="12835" spans="1:9" x14ac:dyDescent="0.25">
      <c r="A12835" t="s">
        <v>6</v>
      </c>
      <c r="B12835" s="1">
        <v>46192</v>
      </c>
      <c r="C12835">
        <v>18</v>
      </c>
      <c r="D12835">
        <v>604.79999999999995</v>
      </c>
      <c r="E12835">
        <v>39.479999999999997</v>
      </c>
      <c r="F12835" t="s">
        <v>7</v>
      </c>
      <c r="G12835" t="s">
        <v>11</v>
      </c>
      <c r="H12835" s="5">
        <f>MONTH(Tabela1[[#This Row],[data]])</f>
        <v>6</v>
      </c>
      <c r="I12835">
        <f>YEAR(Tabela1[[#This Row],[data]])</f>
        <v>2026</v>
      </c>
    </row>
    <row r="12836" spans="1:9" x14ac:dyDescent="0.25">
      <c r="A12836" t="s">
        <v>6</v>
      </c>
      <c r="B12836" s="1">
        <v>46192</v>
      </c>
      <c r="C12836">
        <v>19</v>
      </c>
      <c r="D12836">
        <v>600.6</v>
      </c>
      <c r="E12836">
        <v>34.020000000000003</v>
      </c>
      <c r="F12836" t="s">
        <v>7</v>
      </c>
      <c r="G12836" t="s">
        <v>11</v>
      </c>
      <c r="H12836" s="5">
        <f>MONTH(Tabela1[[#This Row],[data]])</f>
        <v>6</v>
      </c>
      <c r="I12836">
        <f>YEAR(Tabela1[[#This Row],[data]])</f>
        <v>2026</v>
      </c>
    </row>
    <row r="12837" spans="1:9" x14ac:dyDescent="0.25">
      <c r="A12837" t="s">
        <v>6</v>
      </c>
      <c r="B12837" s="1">
        <v>46192</v>
      </c>
      <c r="C12837">
        <v>20</v>
      </c>
      <c r="D12837">
        <v>580.86</v>
      </c>
      <c r="E12837">
        <v>32.76</v>
      </c>
      <c r="F12837" t="s">
        <v>7</v>
      </c>
      <c r="G12837" t="s">
        <v>11</v>
      </c>
      <c r="H12837" s="5">
        <f>MONTH(Tabela1[[#This Row],[data]])</f>
        <v>6</v>
      </c>
      <c r="I12837">
        <f>YEAR(Tabela1[[#This Row],[data]])</f>
        <v>2026</v>
      </c>
    </row>
    <row r="12838" spans="1:9" x14ac:dyDescent="0.25">
      <c r="A12838" t="s">
        <v>6</v>
      </c>
      <c r="B12838" s="1">
        <v>46192</v>
      </c>
      <c r="C12838">
        <v>21</v>
      </c>
      <c r="D12838">
        <v>555.24</v>
      </c>
      <c r="E12838">
        <v>30.24</v>
      </c>
      <c r="F12838" t="s">
        <v>7</v>
      </c>
      <c r="G12838" t="s">
        <v>11</v>
      </c>
      <c r="H12838" s="5">
        <f>MONTH(Tabela1[[#This Row],[data]])</f>
        <v>6</v>
      </c>
      <c r="I12838">
        <f>YEAR(Tabela1[[#This Row],[data]])</f>
        <v>2026</v>
      </c>
    </row>
    <row r="12839" spans="1:9" x14ac:dyDescent="0.25">
      <c r="A12839" t="s">
        <v>6</v>
      </c>
      <c r="B12839" s="1">
        <v>46192</v>
      </c>
      <c r="C12839">
        <v>22</v>
      </c>
      <c r="D12839">
        <v>389.76</v>
      </c>
      <c r="E12839">
        <v>0</v>
      </c>
      <c r="F12839" t="s">
        <v>7</v>
      </c>
      <c r="G12839" t="s">
        <v>11</v>
      </c>
      <c r="H12839" s="5">
        <f>MONTH(Tabela1[[#This Row],[data]])</f>
        <v>6</v>
      </c>
      <c r="I12839">
        <f>YEAR(Tabela1[[#This Row],[data]])</f>
        <v>2026</v>
      </c>
    </row>
    <row r="12840" spans="1:9" x14ac:dyDescent="0.25">
      <c r="A12840" t="s">
        <v>6</v>
      </c>
      <c r="B12840" s="1">
        <v>46192</v>
      </c>
      <c r="C12840">
        <v>23</v>
      </c>
      <c r="D12840">
        <v>276.36</v>
      </c>
      <c r="E12840">
        <v>0</v>
      </c>
      <c r="F12840" t="s">
        <v>7</v>
      </c>
      <c r="G12840" t="s">
        <v>11</v>
      </c>
      <c r="H12840" s="5">
        <f>MONTH(Tabela1[[#This Row],[data]])</f>
        <v>6</v>
      </c>
      <c r="I12840">
        <f>YEAR(Tabela1[[#This Row],[data]])</f>
        <v>2026</v>
      </c>
    </row>
    <row r="12841" spans="1:9" x14ac:dyDescent="0.25">
      <c r="A12841" t="s">
        <v>6</v>
      </c>
      <c r="B12841" s="1">
        <v>46192</v>
      </c>
      <c r="C12841">
        <v>24</v>
      </c>
      <c r="D12841">
        <v>243.6</v>
      </c>
      <c r="E12841">
        <v>0</v>
      </c>
      <c r="F12841" t="s">
        <v>7</v>
      </c>
      <c r="G12841" t="s">
        <v>11</v>
      </c>
      <c r="H12841" s="5">
        <f>MONTH(Tabela1[[#This Row],[data]])</f>
        <v>6</v>
      </c>
      <c r="I12841">
        <f>YEAR(Tabela1[[#This Row],[data]])</f>
        <v>2026</v>
      </c>
    </row>
    <row r="12842" spans="1:9" x14ac:dyDescent="0.25">
      <c r="A12842" t="s">
        <v>6</v>
      </c>
      <c r="B12842" s="1">
        <v>46193</v>
      </c>
      <c r="C12842">
        <v>1</v>
      </c>
      <c r="D12842">
        <v>238.14</v>
      </c>
      <c r="E12842">
        <v>0</v>
      </c>
      <c r="F12842" t="s">
        <v>7</v>
      </c>
      <c r="G12842" t="s">
        <v>11</v>
      </c>
      <c r="H12842" s="5">
        <f>MONTH(Tabela1[[#This Row],[data]])</f>
        <v>6</v>
      </c>
      <c r="I12842">
        <f>YEAR(Tabela1[[#This Row],[data]])</f>
        <v>2026</v>
      </c>
    </row>
    <row r="12843" spans="1:9" x14ac:dyDescent="0.25">
      <c r="A12843" t="s">
        <v>6</v>
      </c>
      <c r="B12843" s="1">
        <v>46193</v>
      </c>
      <c r="C12843">
        <v>2</v>
      </c>
      <c r="D12843">
        <v>235.62</v>
      </c>
      <c r="E12843">
        <v>0</v>
      </c>
      <c r="F12843" t="s">
        <v>7</v>
      </c>
      <c r="G12843" t="s">
        <v>11</v>
      </c>
      <c r="H12843" s="5">
        <f>MONTH(Tabela1[[#This Row],[data]])</f>
        <v>6</v>
      </c>
      <c r="I12843">
        <f>YEAR(Tabela1[[#This Row],[data]])</f>
        <v>2026</v>
      </c>
    </row>
    <row r="12844" spans="1:9" x14ac:dyDescent="0.25">
      <c r="A12844" t="s">
        <v>6</v>
      </c>
      <c r="B12844" s="1">
        <v>46193</v>
      </c>
      <c r="C12844">
        <v>3</v>
      </c>
      <c r="D12844">
        <v>231.84</v>
      </c>
      <c r="E12844">
        <v>0</v>
      </c>
      <c r="F12844" t="s">
        <v>7</v>
      </c>
      <c r="G12844" t="s">
        <v>11</v>
      </c>
      <c r="H12844" s="5">
        <f>MONTH(Tabela1[[#This Row],[data]])</f>
        <v>6</v>
      </c>
      <c r="I12844">
        <f>YEAR(Tabela1[[#This Row],[data]])</f>
        <v>2026</v>
      </c>
    </row>
    <row r="12845" spans="1:9" x14ac:dyDescent="0.25">
      <c r="A12845" t="s">
        <v>6</v>
      </c>
      <c r="B12845" s="1">
        <v>46193</v>
      </c>
      <c r="C12845">
        <v>4</v>
      </c>
      <c r="D12845">
        <v>235.2</v>
      </c>
      <c r="E12845">
        <v>0</v>
      </c>
      <c r="F12845" t="s">
        <v>7</v>
      </c>
      <c r="G12845" t="s">
        <v>11</v>
      </c>
      <c r="H12845" s="5">
        <f>MONTH(Tabela1[[#This Row],[data]])</f>
        <v>6</v>
      </c>
      <c r="I12845">
        <f>YEAR(Tabela1[[#This Row],[data]])</f>
        <v>2026</v>
      </c>
    </row>
    <row r="12846" spans="1:9" x14ac:dyDescent="0.25">
      <c r="A12846" t="s">
        <v>6</v>
      </c>
      <c r="B12846" s="1">
        <v>46193</v>
      </c>
      <c r="C12846">
        <v>5</v>
      </c>
      <c r="D12846">
        <v>233.94</v>
      </c>
      <c r="E12846">
        <v>0</v>
      </c>
      <c r="F12846" t="s">
        <v>7</v>
      </c>
      <c r="G12846" t="s">
        <v>11</v>
      </c>
      <c r="H12846" s="5">
        <f>MONTH(Tabela1[[#This Row],[data]])</f>
        <v>6</v>
      </c>
      <c r="I12846">
        <f>YEAR(Tabela1[[#This Row],[data]])</f>
        <v>2026</v>
      </c>
    </row>
    <row r="12847" spans="1:9" x14ac:dyDescent="0.25">
      <c r="A12847" t="s">
        <v>6</v>
      </c>
      <c r="B12847" s="1">
        <v>46193</v>
      </c>
      <c r="C12847">
        <v>6</v>
      </c>
      <c r="D12847">
        <v>231.42</v>
      </c>
      <c r="E12847">
        <v>0</v>
      </c>
      <c r="F12847" t="s">
        <v>7</v>
      </c>
      <c r="G12847" t="s">
        <v>11</v>
      </c>
      <c r="H12847" s="5">
        <f>MONTH(Tabela1[[#This Row],[data]])</f>
        <v>6</v>
      </c>
      <c r="I12847">
        <f>YEAR(Tabela1[[#This Row],[data]])</f>
        <v>2026</v>
      </c>
    </row>
    <row r="12848" spans="1:9" x14ac:dyDescent="0.25">
      <c r="A12848" t="s">
        <v>6</v>
      </c>
      <c r="B12848" s="1">
        <v>46193</v>
      </c>
      <c r="C12848">
        <v>7</v>
      </c>
      <c r="D12848">
        <v>231.42</v>
      </c>
      <c r="E12848">
        <v>0</v>
      </c>
      <c r="F12848" t="s">
        <v>7</v>
      </c>
      <c r="G12848" t="s">
        <v>11</v>
      </c>
      <c r="H12848" s="5">
        <f>MONTH(Tabela1[[#This Row],[data]])</f>
        <v>6</v>
      </c>
      <c r="I12848">
        <f>YEAR(Tabela1[[#This Row],[data]])</f>
        <v>2026</v>
      </c>
    </row>
    <row r="12849" spans="1:9" x14ac:dyDescent="0.25">
      <c r="A12849" t="s">
        <v>6</v>
      </c>
      <c r="B12849" s="1">
        <v>46193</v>
      </c>
      <c r="C12849">
        <v>8</v>
      </c>
      <c r="D12849">
        <v>226.8</v>
      </c>
      <c r="E12849">
        <v>0</v>
      </c>
      <c r="F12849" t="s">
        <v>7</v>
      </c>
      <c r="G12849" t="s">
        <v>11</v>
      </c>
      <c r="H12849" s="5">
        <f>MONTH(Tabela1[[#This Row],[data]])</f>
        <v>6</v>
      </c>
      <c r="I12849">
        <f>YEAR(Tabela1[[#This Row],[data]])</f>
        <v>2026</v>
      </c>
    </row>
    <row r="12850" spans="1:9" x14ac:dyDescent="0.25">
      <c r="A12850" t="s">
        <v>6</v>
      </c>
      <c r="B12850" s="1">
        <v>46193</v>
      </c>
      <c r="C12850">
        <v>9</v>
      </c>
      <c r="D12850">
        <v>276.77999999999997</v>
      </c>
      <c r="E12850">
        <v>0</v>
      </c>
      <c r="F12850" t="s">
        <v>7</v>
      </c>
      <c r="G12850" t="s">
        <v>11</v>
      </c>
      <c r="H12850" s="5">
        <f>MONTH(Tabela1[[#This Row],[data]])</f>
        <v>6</v>
      </c>
      <c r="I12850">
        <f>YEAR(Tabela1[[#This Row],[data]])</f>
        <v>2026</v>
      </c>
    </row>
    <row r="12851" spans="1:9" x14ac:dyDescent="0.25">
      <c r="A12851" t="s">
        <v>6</v>
      </c>
      <c r="B12851" s="1">
        <v>46193</v>
      </c>
      <c r="C12851">
        <v>10</v>
      </c>
      <c r="D12851">
        <v>374.22</v>
      </c>
      <c r="E12851">
        <v>0.42</v>
      </c>
      <c r="F12851" t="s">
        <v>7</v>
      </c>
      <c r="G12851" t="s">
        <v>11</v>
      </c>
      <c r="H12851" s="5">
        <f>MONTH(Tabela1[[#This Row],[data]])</f>
        <v>6</v>
      </c>
      <c r="I12851">
        <f>YEAR(Tabela1[[#This Row],[data]])</f>
        <v>2026</v>
      </c>
    </row>
    <row r="12852" spans="1:9" x14ac:dyDescent="0.25">
      <c r="A12852" t="s">
        <v>6</v>
      </c>
      <c r="B12852" s="1">
        <v>46193</v>
      </c>
      <c r="C12852">
        <v>11</v>
      </c>
      <c r="D12852">
        <v>520.79999999999995</v>
      </c>
      <c r="E12852">
        <v>6.72</v>
      </c>
      <c r="F12852" t="s">
        <v>7</v>
      </c>
      <c r="G12852" t="s">
        <v>11</v>
      </c>
      <c r="H12852" s="5">
        <f>MONTH(Tabela1[[#This Row],[data]])</f>
        <v>6</v>
      </c>
      <c r="I12852">
        <f>YEAR(Tabela1[[#This Row],[data]])</f>
        <v>2026</v>
      </c>
    </row>
    <row r="12853" spans="1:9" x14ac:dyDescent="0.25">
      <c r="A12853" t="s">
        <v>6</v>
      </c>
      <c r="B12853" s="1">
        <v>46193</v>
      </c>
      <c r="C12853">
        <v>12</v>
      </c>
      <c r="D12853">
        <v>582.54</v>
      </c>
      <c r="E12853">
        <v>34.020000000000003</v>
      </c>
      <c r="F12853" t="s">
        <v>7</v>
      </c>
      <c r="G12853" t="s">
        <v>11</v>
      </c>
      <c r="H12853" s="5">
        <f>MONTH(Tabela1[[#This Row],[data]])</f>
        <v>6</v>
      </c>
      <c r="I12853">
        <f>YEAR(Tabela1[[#This Row],[data]])</f>
        <v>2026</v>
      </c>
    </row>
    <row r="12854" spans="1:9" x14ac:dyDescent="0.25">
      <c r="A12854" t="s">
        <v>6</v>
      </c>
      <c r="B12854" s="1">
        <v>46193</v>
      </c>
      <c r="C12854">
        <v>13</v>
      </c>
      <c r="D12854">
        <v>601.86</v>
      </c>
      <c r="E12854">
        <v>52.08</v>
      </c>
      <c r="F12854" t="s">
        <v>7</v>
      </c>
      <c r="G12854" t="s">
        <v>11</v>
      </c>
      <c r="H12854" s="5">
        <f>MONTH(Tabela1[[#This Row],[data]])</f>
        <v>6</v>
      </c>
      <c r="I12854">
        <f>YEAR(Tabela1[[#This Row],[data]])</f>
        <v>2026</v>
      </c>
    </row>
    <row r="12855" spans="1:9" x14ac:dyDescent="0.25">
      <c r="A12855" t="s">
        <v>6</v>
      </c>
      <c r="B12855" s="1">
        <v>46193</v>
      </c>
      <c r="C12855">
        <v>14</v>
      </c>
      <c r="D12855">
        <v>621.6</v>
      </c>
      <c r="E12855">
        <v>63</v>
      </c>
      <c r="F12855" t="s">
        <v>7</v>
      </c>
      <c r="G12855" t="s">
        <v>11</v>
      </c>
      <c r="H12855" s="5">
        <f>MONTH(Tabela1[[#This Row],[data]])</f>
        <v>6</v>
      </c>
      <c r="I12855">
        <f>YEAR(Tabela1[[#This Row],[data]])</f>
        <v>2026</v>
      </c>
    </row>
    <row r="12856" spans="1:9" x14ac:dyDescent="0.25">
      <c r="A12856" t="s">
        <v>6</v>
      </c>
      <c r="B12856" s="1">
        <v>46193</v>
      </c>
      <c r="C12856">
        <v>15</v>
      </c>
      <c r="D12856">
        <v>622.02</v>
      </c>
      <c r="E12856">
        <v>64.260000000000005</v>
      </c>
      <c r="F12856" t="s">
        <v>7</v>
      </c>
      <c r="G12856" t="s">
        <v>11</v>
      </c>
      <c r="H12856" s="5">
        <f>MONTH(Tabela1[[#This Row],[data]])</f>
        <v>6</v>
      </c>
      <c r="I12856">
        <f>YEAR(Tabela1[[#This Row],[data]])</f>
        <v>2026</v>
      </c>
    </row>
    <row r="12857" spans="1:9" x14ac:dyDescent="0.25">
      <c r="A12857" t="s">
        <v>6</v>
      </c>
      <c r="B12857" s="1">
        <v>46193</v>
      </c>
      <c r="C12857">
        <v>16</v>
      </c>
      <c r="D12857">
        <v>630</v>
      </c>
      <c r="E12857">
        <v>69.72</v>
      </c>
      <c r="F12857" t="s">
        <v>7</v>
      </c>
      <c r="G12857" t="s">
        <v>11</v>
      </c>
      <c r="H12857" s="5">
        <f>MONTH(Tabela1[[#This Row],[data]])</f>
        <v>6</v>
      </c>
      <c r="I12857">
        <f>YEAR(Tabela1[[#This Row],[data]])</f>
        <v>2026</v>
      </c>
    </row>
    <row r="12858" spans="1:9" x14ac:dyDescent="0.25">
      <c r="A12858" t="s">
        <v>6</v>
      </c>
      <c r="B12858" s="1">
        <v>46193</v>
      </c>
      <c r="C12858">
        <v>17</v>
      </c>
      <c r="D12858">
        <v>621.17999999999995</v>
      </c>
      <c r="E12858">
        <v>52.92</v>
      </c>
      <c r="F12858" t="s">
        <v>7</v>
      </c>
      <c r="G12858" t="s">
        <v>11</v>
      </c>
      <c r="H12858" s="5">
        <f>MONTH(Tabela1[[#This Row],[data]])</f>
        <v>6</v>
      </c>
      <c r="I12858">
        <f>YEAR(Tabela1[[#This Row],[data]])</f>
        <v>2026</v>
      </c>
    </row>
    <row r="12859" spans="1:9" x14ac:dyDescent="0.25">
      <c r="A12859" t="s">
        <v>6</v>
      </c>
      <c r="B12859" s="1">
        <v>46193</v>
      </c>
      <c r="C12859">
        <v>18</v>
      </c>
      <c r="D12859">
        <v>631.26</v>
      </c>
      <c r="E12859">
        <v>50.4</v>
      </c>
      <c r="F12859" t="s">
        <v>7</v>
      </c>
      <c r="G12859" t="s">
        <v>11</v>
      </c>
      <c r="H12859" s="5">
        <f>MONTH(Tabela1[[#This Row],[data]])</f>
        <v>6</v>
      </c>
      <c r="I12859">
        <f>YEAR(Tabela1[[#This Row],[data]])</f>
        <v>2026</v>
      </c>
    </row>
    <row r="12860" spans="1:9" x14ac:dyDescent="0.25">
      <c r="A12860" t="s">
        <v>6</v>
      </c>
      <c r="B12860" s="1">
        <v>46193</v>
      </c>
      <c r="C12860">
        <v>19</v>
      </c>
      <c r="D12860">
        <v>653.1</v>
      </c>
      <c r="E12860">
        <v>52.92</v>
      </c>
      <c r="F12860" t="s">
        <v>7</v>
      </c>
      <c r="G12860" t="s">
        <v>11</v>
      </c>
      <c r="H12860" s="5">
        <f>MONTH(Tabela1[[#This Row],[data]])</f>
        <v>6</v>
      </c>
      <c r="I12860">
        <f>YEAR(Tabela1[[#This Row],[data]])</f>
        <v>2026</v>
      </c>
    </row>
    <row r="12861" spans="1:9" x14ac:dyDescent="0.25">
      <c r="A12861" t="s">
        <v>6</v>
      </c>
      <c r="B12861" s="1">
        <v>46193</v>
      </c>
      <c r="C12861">
        <v>20</v>
      </c>
      <c r="D12861">
        <v>660.24</v>
      </c>
      <c r="E12861">
        <v>65.94</v>
      </c>
      <c r="F12861" t="s">
        <v>7</v>
      </c>
      <c r="G12861" t="s">
        <v>11</v>
      </c>
      <c r="H12861" s="5">
        <f>MONTH(Tabela1[[#This Row],[data]])</f>
        <v>6</v>
      </c>
      <c r="I12861">
        <f>YEAR(Tabela1[[#This Row],[data]])</f>
        <v>2026</v>
      </c>
    </row>
    <row r="12862" spans="1:9" x14ac:dyDescent="0.25">
      <c r="A12862" t="s">
        <v>6</v>
      </c>
      <c r="B12862" s="1">
        <v>46193</v>
      </c>
      <c r="C12862">
        <v>21</v>
      </c>
      <c r="D12862">
        <v>657.72</v>
      </c>
      <c r="E12862">
        <v>75.180000000000007</v>
      </c>
      <c r="F12862" t="s">
        <v>7</v>
      </c>
      <c r="G12862" t="s">
        <v>11</v>
      </c>
      <c r="H12862" s="5">
        <f>MONTH(Tabela1[[#This Row],[data]])</f>
        <v>6</v>
      </c>
      <c r="I12862">
        <f>YEAR(Tabela1[[#This Row],[data]])</f>
        <v>2026</v>
      </c>
    </row>
    <row r="12863" spans="1:9" x14ac:dyDescent="0.25">
      <c r="A12863" t="s">
        <v>6</v>
      </c>
      <c r="B12863" s="1">
        <v>46193</v>
      </c>
      <c r="C12863">
        <v>22</v>
      </c>
      <c r="D12863">
        <v>608.16</v>
      </c>
      <c r="E12863">
        <v>48.72</v>
      </c>
      <c r="F12863" t="s">
        <v>7</v>
      </c>
      <c r="G12863" t="s">
        <v>11</v>
      </c>
      <c r="H12863" s="5">
        <f>MONTH(Tabela1[[#This Row],[data]])</f>
        <v>6</v>
      </c>
      <c r="I12863">
        <f>YEAR(Tabela1[[#This Row],[data]])</f>
        <v>2026</v>
      </c>
    </row>
    <row r="12864" spans="1:9" x14ac:dyDescent="0.25">
      <c r="A12864" t="s">
        <v>6</v>
      </c>
      <c r="B12864" s="1">
        <v>46193</v>
      </c>
      <c r="C12864">
        <v>23</v>
      </c>
      <c r="D12864">
        <v>424.2</v>
      </c>
      <c r="E12864">
        <v>4.2</v>
      </c>
      <c r="F12864" t="s">
        <v>7</v>
      </c>
      <c r="G12864" t="s">
        <v>11</v>
      </c>
      <c r="H12864" s="5">
        <f>MONTH(Tabela1[[#This Row],[data]])</f>
        <v>6</v>
      </c>
      <c r="I12864">
        <f>YEAR(Tabela1[[#This Row],[data]])</f>
        <v>2026</v>
      </c>
    </row>
    <row r="12865" spans="1:9" x14ac:dyDescent="0.25">
      <c r="A12865" t="s">
        <v>6</v>
      </c>
      <c r="B12865" s="1">
        <v>46193</v>
      </c>
      <c r="C12865">
        <v>24</v>
      </c>
      <c r="D12865">
        <v>289.8</v>
      </c>
      <c r="E12865">
        <v>0</v>
      </c>
      <c r="F12865" t="s">
        <v>7</v>
      </c>
      <c r="G12865" t="s">
        <v>11</v>
      </c>
      <c r="H12865" s="5">
        <f>MONTH(Tabela1[[#This Row],[data]])</f>
        <v>6</v>
      </c>
      <c r="I12865">
        <f>YEAR(Tabela1[[#This Row],[data]])</f>
        <v>2026</v>
      </c>
    </row>
    <row r="12866" spans="1:9" x14ac:dyDescent="0.25">
      <c r="A12866" t="s">
        <v>6</v>
      </c>
      <c r="B12866" s="1">
        <v>46194</v>
      </c>
      <c r="C12866">
        <v>1</v>
      </c>
      <c r="D12866">
        <v>267.12</v>
      </c>
      <c r="E12866">
        <v>0</v>
      </c>
      <c r="F12866" t="s">
        <v>7</v>
      </c>
      <c r="G12866" t="s">
        <v>11</v>
      </c>
      <c r="H12866" s="5">
        <f>MONTH(Tabela1[[#This Row],[data]])</f>
        <v>6</v>
      </c>
      <c r="I12866">
        <f>YEAR(Tabela1[[#This Row],[data]])</f>
        <v>2026</v>
      </c>
    </row>
    <row r="12867" spans="1:9" x14ac:dyDescent="0.25">
      <c r="A12867" t="s">
        <v>6</v>
      </c>
      <c r="B12867" s="1">
        <v>46194</v>
      </c>
      <c r="C12867">
        <v>2</v>
      </c>
      <c r="D12867">
        <v>246.54</v>
      </c>
      <c r="E12867">
        <v>0</v>
      </c>
      <c r="F12867" t="s">
        <v>7</v>
      </c>
      <c r="G12867" t="s">
        <v>11</v>
      </c>
      <c r="H12867" s="5">
        <f>MONTH(Tabela1[[#This Row],[data]])</f>
        <v>6</v>
      </c>
      <c r="I12867">
        <f>YEAR(Tabela1[[#This Row],[data]])</f>
        <v>2026</v>
      </c>
    </row>
    <row r="12868" spans="1:9" x14ac:dyDescent="0.25">
      <c r="A12868" t="s">
        <v>6</v>
      </c>
      <c r="B12868" s="1">
        <v>46194</v>
      </c>
      <c r="C12868">
        <v>3</v>
      </c>
      <c r="D12868">
        <v>238.98</v>
      </c>
      <c r="E12868">
        <v>0</v>
      </c>
      <c r="F12868" t="s">
        <v>7</v>
      </c>
      <c r="G12868" t="s">
        <v>11</v>
      </c>
      <c r="H12868" s="5">
        <f>MONTH(Tabela1[[#This Row],[data]])</f>
        <v>6</v>
      </c>
      <c r="I12868">
        <f>YEAR(Tabela1[[#This Row],[data]])</f>
        <v>2026</v>
      </c>
    </row>
    <row r="12869" spans="1:9" x14ac:dyDescent="0.25">
      <c r="A12869" t="s">
        <v>6</v>
      </c>
      <c r="B12869" s="1">
        <v>46194</v>
      </c>
      <c r="C12869">
        <v>4</v>
      </c>
      <c r="D12869">
        <v>229.74</v>
      </c>
      <c r="E12869">
        <v>0</v>
      </c>
      <c r="F12869" t="s">
        <v>7</v>
      </c>
      <c r="G12869" t="s">
        <v>11</v>
      </c>
      <c r="H12869" s="5">
        <f>MONTH(Tabela1[[#This Row],[data]])</f>
        <v>6</v>
      </c>
      <c r="I12869">
        <f>YEAR(Tabela1[[#This Row],[data]])</f>
        <v>2026</v>
      </c>
    </row>
    <row r="12870" spans="1:9" x14ac:dyDescent="0.25">
      <c r="A12870" t="s">
        <v>6</v>
      </c>
      <c r="B12870" s="1">
        <v>46194</v>
      </c>
      <c r="C12870">
        <v>5</v>
      </c>
      <c r="D12870">
        <v>223.86</v>
      </c>
      <c r="E12870">
        <v>0</v>
      </c>
      <c r="F12870" t="s">
        <v>7</v>
      </c>
      <c r="G12870" t="s">
        <v>11</v>
      </c>
      <c r="H12870" s="5">
        <f>MONTH(Tabela1[[#This Row],[data]])</f>
        <v>6</v>
      </c>
      <c r="I12870">
        <f>YEAR(Tabela1[[#This Row],[data]])</f>
        <v>2026</v>
      </c>
    </row>
    <row r="12871" spans="1:9" x14ac:dyDescent="0.25">
      <c r="A12871" t="s">
        <v>6</v>
      </c>
      <c r="B12871" s="1">
        <v>46194</v>
      </c>
      <c r="C12871">
        <v>6</v>
      </c>
      <c r="D12871">
        <v>217.98</v>
      </c>
      <c r="E12871">
        <v>0</v>
      </c>
      <c r="F12871" t="s">
        <v>7</v>
      </c>
      <c r="G12871" t="s">
        <v>11</v>
      </c>
      <c r="H12871" s="5">
        <f>MONTH(Tabela1[[#This Row],[data]])</f>
        <v>6</v>
      </c>
      <c r="I12871">
        <f>YEAR(Tabela1[[#This Row],[data]])</f>
        <v>2026</v>
      </c>
    </row>
    <row r="12872" spans="1:9" x14ac:dyDescent="0.25">
      <c r="A12872" t="s">
        <v>6</v>
      </c>
      <c r="B12872" s="1">
        <v>46194</v>
      </c>
      <c r="C12872">
        <v>7</v>
      </c>
      <c r="D12872">
        <v>214.62</v>
      </c>
      <c r="E12872">
        <v>0</v>
      </c>
      <c r="F12872" t="s">
        <v>7</v>
      </c>
      <c r="G12872" t="s">
        <v>11</v>
      </c>
      <c r="H12872" s="5">
        <f>MONTH(Tabela1[[#This Row],[data]])</f>
        <v>6</v>
      </c>
      <c r="I12872">
        <f>YEAR(Tabela1[[#This Row],[data]])</f>
        <v>2026</v>
      </c>
    </row>
    <row r="12873" spans="1:9" x14ac:dyDescent="0.25">
      <c r="A12873" t="s">
        <v>6</v>
      </c>
      <c r="B12873" s="1">
        <v>46194</v>
      </c>
      <c r="C12873">
        <v>8</v>
      </c>
      <c r="D12873">
        <v>199.5</v>
      </c>
      <c r="E12873">
        <v>0</v>
      </c>
      <c r="F12873" t="s">
        <v>7</v>
      </c>
      <c r="G12873" t="s">
        <v>11</v>
      </c>
      <c r="H12873" s="5">
        <f>MONTH(Tabela1[[#This Row],[data]])</f>
        <v>6</v>
      </c>
      <c r="I12873">
        <f>YEAR(Tabela1[[#This Row],[data]])</f>
        <v>2026</v>
      </c>
    </row>
    <row r="12874" spans="1:9" x14ac:dyDescent="0.25">
      <c r="A12874" t="s">
        <v>6</v>
      </c>
      <c r="B12874" s="1">
        <v>46194</v>
      </c>
      <c r="C12874">
        <v>9</v>
      </c>
      <c r="D12874">
        <v>240.24</v>
      </c>
      <c r="E12874">
        <v>0</v>
      </c>
      <c r="F12874" t="s">
        <v>7</v>
      </c>
      <c r="G12874" t="s">
        <v>11</v>
      </c>
      <c r="H12874" s="5">
        <f>MONTH(Tabela1[[#This Row],[data]])</f>
        <v>6</v>
      </c>
      <c r="I12874">
        <f>YEAR(Tabela1[[#This Row],[data]])</f>
        <v>2026</v>
      </c>
    </row>
    <row r="12875" spans="1:9" x14ac:dyDescent="0.25">
      <c r="A12875" t="s">
        <v>6</v>
      </c>
      <c r="B12875" s="1">
        <v>46194</v>
      </c>
      <c r="C12875">
        <v>10</v>
      </c>
      <c r="D12875">
        <v>297.36</v>
      </c>
      <c r="E12875">
        <v>0</v>
      </c>
      <c r="F12875" t="s">
        <v>7</v>
      </c>
      <c r="G12875" t="s">
        <v>11</v>
      </c>
      <c r="H12875" s="5">
        <f>MONTH(Tabela1[[#This Row],[data]])</f>
        <v>6</v>
      </c>
      <c r="I12875">
        <f>YEAR(Tabela1[[#This Row],[data]])</f>
        <v>2026</v>
      </c>
    </row>
    <row r="12876" spans="1:9" x14ac:dyDescent="0.25">
      <c r="A12876" t="s">
        <v>6</v>
      </c>
      <c r="B12876" s="1">
        <v>46194</v>
      </c>
      <c r="C12876">
        <v>11</v>
      </c>
      <c r="D12876">
        <v>374.22</v>
      </c>
      <c r="E12876">
        <v>2.94</v>
      </c>
      <c r="F12876" t="s">
        <v>7</v>
      </c>
      <c r="G12876" t="s">
        <v>11</v>
      </c>
      <c r="H12876" s="5">
        <f>MONTH(Tabela1[[#This Row],[data]])</f>
        <v>6</v>
      </c>
      <c r="I12876">
        <f>YEAR(Tabela1[[#This Row],[data]])</f>
        <v>2026</v>
      </c>
    </row>
    <row r="12877" spans="1:9" x14ac:dyDescent="0.25">
      <c r="A12877" t="s">
        <v>6</v>
      </c>
      <c r="B12877" s="1">
        <v>46194</v>
      </c>
      <c r="C12877">
        <v>12</v>
      </c>
      <c r="D12877">
        <v>466.62</v>
      </c>
      <c r="E12877">
        <v>6.72</v>
      </c>
      <c r="F12877" t="s">
        <v>7</v>
      </c>
      <c r="G12877" t="s">
        <v>11</v>
      </c>
      <c r="H12877" s="5">
        <f>MONTH(Tabela1[[#This Row],[data]])</f>
        <v>6</v>
      </c>
      <c r="I12877">
        <f>YEAR(Tabela1[[#This Row],[data]])</f>
        <v>2026</v>
      </c>
    </row>
    <row r="12878" spans="1:9" x14ac:dyDescent="0.25">
      <c r="A12878" t="s">
        <v>6</v>
      </c>
      <c r="B12878" s="1">
        <v>46194</v>
      </c>
      <c r="C12878">
        <v>13</v>
      </c>
      <c r="D12878">
        <v>525</v>
      </c>
      <c r="E12878">
        <v>5.88</v>
      </c>
      <c r="F12878" t="s">
        <v>7</v>
      </c>
      <c r="G12878" t="s">
        <v>11</v>
      </c>
      <c r="H12878" s="5">
        <f>MONTH(Tabela1[[#This Row],[data]])</f>
        <v>6</v>
      </c>
      <c r="I12878">
        <f>YEAR(Tabela1[[#This Row],[data]])</f>
        <v>2026</v>
      </c>
    </row>
    <row r="12879" spans="1:9" x14ac:dyDescent="0.25">
      <c r="A12879" t="s">
        <v>6</v>
      </c>
      <c r="B12879" s="1">
        <v>46194</v>
      </c>
      <c r="C12879">
        <v>14</v>
      </c>
      <c r="D12879">
        <v>562.79999999999995</v>
      </c>
      <c r="E12879">
        <v>27.3</v>
      </c>
      <c r="F12879" t="s">
        <v>7</v>
      </c>
      <c r="G12879" t="s">
        <v>11</v>
      </c>
      <c r="H12879" s="5">
        <f>MONTH(Tabela1[[#This Row],[data]])</f>
        <v>6</v>
      </c>
      <c r="I12879">
        <f>YEAR(Tabela1[[#This Row],[data]])</f>
        <v>2026</v>
      </c>
    </row>
    <row r="12880" spans="1:9" x14ac:dyDescent="0.25">
      <c r="A12880" t="s">
        <v>6</v>
      </c>
      <c r="B12880" s="1">
        <v>46194</v>
      </c>
      <c r="C12880">
        <v>15</v>
      </c>
      <c r="D12880">
        <v>584.22</v>
      </c>
      <c r="E12880">
        <v>44.1</v>
      </c>
      <c r="F12880" t="s">
        <v>7</v>
      </c>
      <c r="G12880" t="s">
        <v>11</v>
      </c>
      <c r="H12880" s="5">
        <f>MONTH(Tabela1[[#This Row],[data]])</f>
        <v>6</v>
      </c>
      <c r="I12880">
        <f>YEAR(Tabela1[[#This Row],[data]])</f>
        <v>2026</v>
      </c>
    </row>
    <row r="12881" spans="1:9" x14ac:dyDescent="0.25">
      <c r="A12881" t="s">
        <v>6</v>
      </c>
      <c r="B12881" s="1">
        <v>46194</v>
      </c>
      <c r="C12881">
        <v>16</v>
      </c>
      <c r="D12881">
        <v>605.22</v>
      </c>
      <c r="E12881">
        <v>49.56</v>
      </c>
      <c r="F12881" t="s">
        <v>7</v>
      </c>
      <c r="G12881" t="s">
        <v>11</v>
      </c>
      <c r="H12881" s="5">
        <f>MONTH(Tabela1[[#This Row],[data]])</f>
        <v>6</v>
      </c>
      <c r="I12881">
        <f>YEAR(Tabela1[[#This Row],[data]])</f>
        <v>2026</v>
      </c>
    </row>
    <row r="12882" spans="1:9" x14ac:dyDescent="0.25">
      <c r="A12882" t="s">
        <v>6</v>
      </c>
      <c r="B12882" s="1">
        <v>46194</v>
      </c>
      <c r="C12882">
        <v>17</v>
      </c>
      <c r="D12882">
        <v>608.58000000000004</v>
      </c>
      <c r="E12882">
        <v>63.42</v>
      </c>
      <c r="F12882" t="s">
        <v>7</v>
      </c>
      <c r="G12882" t="s">
        <v>11</v>
      </c>
      <c r="H12882" s="5">
        <f>MONTH(Tabela1[[#This Row],[data]])</f>
        <v>6</v>
      </c>
      <c r="I12882">
        <f>YEAR(Tabela1[[#This Row],[data]])</f>
        <v>2026</v>
      </c>
    </row>
    <row r="12883" spans="1:9" x14ac:dyDescent="0.25">
      <c r="A12883" t="s">
        <v>6</v>
      </c>
      <c r="B12883" s="1">
        <v>46194</v>
      </c>
      <c r="C12883">
        <v>18</v>
      </c>
      <c r="D12883">
        <v>592.62</v>
      </c>
      <c r="E12883">
        <v>45.36</v>
      </c>
      <c r="F12883" t="s">
        <v>7</v>
      </c>
      <c r="G12883" t="s">
        <v>11</v>
      </c>
      <c r="H12883" s="5">
        <f>MONTH(Tabela1[[#This Row],[data]])</f>
        <v>6</v>
      </c>
      <c r="I12883">
        <f>YEAR(Tabela1[[#This Row],[data]])</f>
        <v>2026</v>
      </c>
    </row>
    <row r="12884" spans="1:9" x14ac:dyDescent="0.25">
      <c r="A12884" t="s">
        <v>6</v>
      </c>
      <c r="B12884" s="1">
        <v>46194</v>
      </c>
      <c r="C12884">
        <v>19</v>
      </c>
      <c r="D12884">
        <v>615.72</v>
      </c>
      <c r="E12884">
        <v>43.68</v>
      </c>
      <c r="F12884" t="s">
        <v>7</v>
      </c>
      <c r="G12884" t="s">
        <v>11</v>
      </c>
      <c r="H12884" s="5">
        <f>MONTH(Tabela1[[#This Row],[data]])</f>
        <v>6</v>
      </c>
      <c r="I12884">
        <f>YEAR(Tabela1[[#This Row],[data]])</f>
        <v>2026</v>
      </c>
    </row>
    <row r="12885" spans="1:9" x14ac:dyDescent="0.25">
      <c r="A12885" t="s">
        <v>6</v>
      </c>
      <c r="B12885" s="1">
        <v>46194</v>
      </c>
      <c r="C12885">
        <v>20</v>
      </c>
      <c r="D12885">
        <v>616.14</v>
      </c>
      <c r="E12885">
        <v>55.02</v>
      </c>
      <c r="F12885" t="s">
        <v>7</v>
      </c>
      <c r="G12885" t="s">
        <v>11</v>
      </c>
      <c r="H12885" s="5">
        <f>MONTH(Tabela1[[#This Row],[data]])</f>
        <v>6</v>
      </c>
      <c r="I12885">
        <f>YEAR(Tabela1[[#This Row],[data]])</f>
        <v>2026</v>
      </c>
    </row>
    <row r="12886" spans="1:9" x14ac:dyDescent="0.25">
      <c r="A12886" t="s">
        <v>6</v>
      </c>
      <c r="B12886" s="1">
        <v>46194</v>
      </c>
      <c r="C12886">
        <v>21</v>
      </c>
      <c r="D12886">
        <v>574.98</v>
      </c>
      <c r="E12886">
        <v>38.64</v>
      </c>
      <c r="F12886" t="s">
        <v>7</v>
      </c>
      <c r="G12886" t="s">
        <v>11</v>
      </c>
      <c r="H12886" s="5">
        <f>MONTH(Tabela1[[#This Row],[data]])</f>
        <v>6</v>
      </c>
      <c r="I12886">
        <f>YEAR(Tabela1[[#This Row],[data]])</f>
        <v>2026</v>
      </c>
    </row>
    <row r="12887" spans="1:9" x14ac:dyDescent="0.25">
      <c r="A12887" t="s">
        <v>6</v>
      </c>
      <c r="B12887" s="1">
        <v>46194</v>
      </c>
      <c r="C12887">
        <v>22</v>
      </c>
      <c r="D12887">
        <v>479.64</v>
      </c>
      <c r="E12887">
        <v>23.1</v>
      </c>
      <c r="F12887" t="s">
        <v>7</v>
      </c>
      <c r="G12887" t="s">
        <v>11</v>
      </c>
      <c r="H12887" s="5">
        <f>MONTH(Tabela1[[#This Row],[data]])</f>
        <v>6</v>
      </c>
      <c r="I12887">
        <f>YEAR(Tabela1[[#This Row],[data]])</f>
        <v>2026</v>
      </c>
    </row>
    <row r="12888" spans="1:9" x14ac:dyDescent="0.25">
      <c r="A12888" t="s">
        <v>6</v>
      </c>
      <c r="B12888" s="1">
        <v>46194</v>
      </c>
      <c r="C12888">
        <v>23</v>
      </c>
      <c r="D12888">
        <v>331.38</v>
      </c>
      <c r="E12888">
        <v>0</v>
      </c>
      <c r="F12888" t="s">
        <v>7</v>
      </c>
      <c r="G12888" t="s">
        <v>11</v>
      </c>
      <c r="H12888" s="5">
        <f>MONTH(Tabela1[[#This Row],[data]])</f>
        <v>6</v>
      </c>
      <c r="I12888">
        <f>YEAR(Tabela1[[#This Row],[data]])</f>
        <v>2026</v>
      </c>
    </row>
    <row r="12889" spans="1:9" x14ac:dyDescent="0.25">
      <c r="A12889" t="s">
        <v>6</v>
      </c>
      <c r="B12889" s="1">
        <v>46194</v>
      </c>
      <c r="C12889">
        <v>24</v>
      </c>
      <c r="D12889">
        <v>267.95999999999998</v>
      </c>
      <c r="E12889">
        <v>0</v>
      </c>
      <c r="F12889" t="s">
        <v>7</v>
      </c>
      <c r="G12889" t="s">
        <v>11</v>
      </c>
      <c r="H12889" s="5">
        <f>MONTH(Tabela1[[#This Row],[data]])</f>
        <v>6</v>
      </c>
      <c r="I12889">
        <f>YEAR(Tabela1[[#This Row],[data]])</f>
        <v>2026</v>
      </c>
    </row>
    <row r="12890" spans="1:9" x14ac:dyDescent="0.25">
      <c r="A12890" t="s">
        <v>6</v>
      </c>
      <c r="B12890" s="1">
        <v>46195</v>
      </c>
      <c r="C12890">
        <v>1</v>
      </c>
      <c r="D12890">
        <v>255.78</v>
      </c>
      <c r="E12890">
        <v>0</v>
      </c>
      <c r="F12890" t="s">
        <v>7</v>
      </c>
      <c r="G12890" t="s">
        <v>11</v>
      </c>
      <c r="H12890" s="5">
        <f>MONTH(Tabela1[[#This Row],[data]])</f>
        <v>6</v>
      </c>
      <c r="I12890">
        <f>YEAR(Tabela1[[#This Row],[data]])</f>
        <v>2026</v>
      </c>
    </row>
    <row r="12891" spans="1:9" x14ac:dyDescent="0.25">
      <c r="A12891" t="s">
        <v>6</v>
      </c>
      <c r="B12891" s="1">
        <v>46195</v>
      </c>
      <c r="C12891">
        <v>2</v>
      </c>
      <c r="D12891">
        <v>235.2</v>
      </c>
      <c r="E12891">
        <v>0</v>
      </c>
      <c r="F12891" t="s">
        <v>7</v>
      </c>
      <c r="G12891" t="s">
        <v>11</v>
      </c>
      <c r="H12891" s="5">
        <f>MONTH(Tabela1[[#This Row],[data]])</f>
        <v>6</v>
      </c>
      <c r="I12891">
        <f>YEAR(Tabela1[[#This Row],[data]])</f>
        <v>2026</v>
      </c>
    </row>
    <row r="12892" spans="1:9" x14ac:dyDescent="0.25">
      <c r="A12892" t="s">
        <v>6</v>
      </c>
      <c r="B12892" s="1">
        <v>46195</v>
      </c>
      <c r="C12892">
        <v>3</v>
      </c>
      <c r="D12892">
        <v>225.96</v>
      </c>
      <c r="E12892">
        <v>0</v>
      </c>
      <c r="F12892" t="s">
        <v>7</v>
      </c>
      <c r="G12892" t="s">
        <v>11</v>
      </c>
      <c r="H12892" s="5">
        <f>MONTH(Tabela1[[#This Row],[data]])</f>
        <v>6</v>
      </c>
      <c r="I12892">
        <f>YEAR(Tabela1[[#This Row],[data]])</f>
        <v>2026</v>
      </c>
    </row>
    <row r="12893" spans="1:9" x14ac:dyDescent="0.25">
      <c r="A12893" t="s">
        <v>6</v>
      </c>
      <c r="B12893" s="1">
        <v>46195</v>
      </c>
      <c r="C12893">
        <v>4</v>
      </c>
      <c r="D12893">
        <v>230.16</v>
      </c>
      <c r="E12893">
        <v>0</v>
      </c>
      <c r="F12893" t="s">
        <v>7</v>
      </c>
      <c r="G12893" t="s">
        <v>11</v>
      </c>
      <c r="H12893" s="5">
        <f>MONTH(Tabela1[[#This Row],[data]])</f>
        <v>6</v>
      </c>
      <c r="I12893">
        <f>YEAR(Tabela1[[#This Row],[data]])</f>
        <v>2026</v>
      </c>
    </row>
    <row r="12894" spans="1:9" x14ac:dyDescent="0.25">
      <c r="A12894" t="s">
        <v>6</v>
      </c>
      <c r="B12894" s="1">
        <v>46195</v>
      </c>
      <c r="C12894">
        <v>5</v>
      </c>
      <c r="D12894">
        <v>230.58</v>
      </c>
      <c r="E12894">
        <v>0</v>
      </c>
      <c r="F12894" t="s">
        <v>7</v>
      </c>
      <c r="G12894" t="s">
        <v>11</v>
      </c>
      <c r="H12894" s="5">
        <f>MONTH(Tabela1[[#This Row],[data]])</f>
        <v>6</v>
      </c>
      <c r="I12894">
        <f>YEAR(Tabela1[[#This Row],[data]])</f>
        <v>2026</v>
      </c>
    </row>
    <row r="12895" spans="1:9" x14ac:dyDescent="0.25">
      <c r="A12895" t="s">
        <v>6</v>
      </c>
      <c r="B12895" s="1">
        <v>46195</v>
      </c>
      <c r="C12895">
        <v>6</v>
      </c>
      <c r="D12895">
        <v>231.42</v>
      </c>
      <c r="E12895">
        <v>0</v>
      </c>
      <c r="F12895" t="s">
        <v>7</v>
      </c>
      <c r="G12895" t="s">
        <v>11</v>
      </c>
      <c r="H12895" s="5">
        <f>MONTH(Tabela1[[#This Row],[data]])</f>
        <v>6</v>
      </c>
      <c r="I12895">
        <f>YEAR(Tabela1[[#This Row],[data]])</f>
        <v>2026</v>
      </c>
    </row>
    <row r="12896" spans="1:9" x14ac:dyDescent="0.25">
      <c r="A12896" t="s">
        <v>6</v>
      </c>
      <c r="B12896" s="1">
        <v>46195</v>
      </c>
      <c r="C12896">
        <v>7</v>
      </c>
      <c r="D12896">
        <v>239.4</v>
      </c>
      <c r="E12896">
        <v>0</v>
      </c>
      <c r="F12896" t="s">
        <v>7</v>
      </c>
      <c r="G12896" t="s">
        <v>11</v>
      </c>
      <c r="H12896" s="5">
        <f>MONTH(Tabela1[[#This Row],[data]])</f>
        <v>6</v>
      </c>
      <c r="I12896">
        <f>YEAR(Tabela1[[#This Row],[data]])</f>
        <v>2026</v>
      </c>
    </row>
    <row r="12897" spans="1:9" x14ac:dyDescent="0.25">
      <c r="A12897" t="s">
        <v>6</v>
      </c>
      <c r="B12897" s="1">
        <v>46195</v>
      </c>
      <c r="C12897">
        <v>8</v>
      </c>
      <c r="D12897">
        <v>233.52</v>
      </c>
      <c r="E12897">
        <v>0</v>
      </c>
      <c r="F12897" t="s">
        <v>7</v>
      </c>
      <c r="G12897" t="s">
        <v>11</v>
      </c>
      <c r="H12897" s="5">
        <f>MONTH(Tabela1[[#This Row],[data]])</f>
        <v>6</v>
      </c>
      <c r="I12897">
        <f>YEAR(Tabela1[[#This Row],[data]])</f>
        <v>2026</v>
      </c>
    </row>
    <row r="12898" spans="1:9" x14ac:dyDescent="0.25">
      <c r="A12898" t="s">
        <v>6</v>
      </c>
      <c r="B12898" s="1">
        <v>46195</v>
      </c>
      <c r="C12898">
        <v>9</v>
      </c>
      <c r="D12898">
        <v>280.14</v>
      </c>
      <c r="E12898">
        <v>0</v>
      </c>
      <c r="F12898" t="s">
        <v>7</v>
      </c>
      <c r="G12898" t="s">
        <v>11</v>
      </c>
      <c r="H12898" s="5">
        <f>MONTH(Tabela1[[#This Row],[data]])</f>
        <v>6</v>
      </c>
      <c r="I12898">
        <f>YEAR(Tabela1[[#This Row],[data]])</f>
        <v>2026</v>
      </c>
    </row>
    <row r="12899" spans="1:9" x14ac:dyDescent="0.25">
      <c r="A12899" t="s">
        <v>6</v>
      </c>
      <c r="B12899" s="1">
        <v>46195</v>
      </c>
      <c r="C12899">
        <v>10</v>
      </c>
      <c r="D12899">
        <v>375.06</v>
      </c>
      <c r="E12899">
        <v>0.84</v>
      </c>
      <c r="F12899" t="s">
        <v>7</v>
      </c>
      <c r="G12899" t="s">
        <v>11</v>
      </c>
      <c r="H12899" s="5">
        <f>MONTH(Tabela1[[#This Row],[data]])</f>
        <v>6</v>
      </c>
      <c r="I12899">
        <f>YEAR(Tabela1[[#This Row],[data]])</f>
        <v>2026</v>
      </c>
    </row>
    <row r="12900" spans="1:9" x14ac:dyDescent="0.25">
      <c r="A12900" t="s">
        <v>6</v>
      </c>
      <c r="B12900" s="1">
        <v>46195</v>
      </c>
      <c r="C12900">
        <v>11</v>
      </c>
      <c r="D12900">
        <v>524.16</v>
      </c>
      <c r="E12900">
        <v>16.8</v>
      </c>
      <c r="F12900" t="s">
        <v>7</v>
      </c>
      <c r="G12900" t="s">
        <v>11</v>
      </c>
      <c r="H12900" s="5">
        <f>MONTH(Tabela1[[#This Row],[data]])</f>
        <v>6</v>
      </c>
      <c r="I12900">
        <f>YEAR(Tabela1[[#This Row],[data]])</f>
        <v>2026</v>
      </c>
    </row>
    <row r="12901" spans="1:9" x14ac:dyDescent="0.25">
      <c r="A12901" t="s">
        <v>6</v>
      </c>
      <c r="B12901" s="1">
        <v>46195</v>
      </c>
      <c r="C12901">
        <v>12</v>
      </c>
      <c r="D12901">
        <v>561.12</v>
      </c>
      <c r="E12901">
        <v>21.84</v>
      </c>
      <c r="F12901" t="s">
        <v>7</v>
      </c>
      <c r="G12901" t="s">
        <v>11</v>
      </c>
      <c r="H12901" s="5">
        <f>MONTH(Tabela1[[#This Row],[data]])</f>
        <v>6</v>
      </c>
      <c r="I12901">
        <f>YEAR(Tabela1[[#This Row],[data]])</f>
        <v>2026</v>
      </c>
    </row>
    <row r="12902" spans="1:9" x14ac:dyDescent="0.25">
      <c r="A12902" t="s">
        <v>6</v>
      </c>
      <c r="B12902" s="1">
        <v>46195</v>
      </c>
      <c r="C12902">
        <v>13</v>
      </c>
      <c r="D12902">
        <v>567</v>
      </c>
      <c r="E12902">
        <v>41.58</v>
      </c>
      <c r="F12902" t="s">
        <v>7</v>
      </c>
      <c r="G12902" t="s">
        <v>11</v>
      </c>
      <c r="H12902" s="5">
        <f>MONTH(Tabela1[[#This Row],[data]])</f>
        <v>6</v>
      </c>
      <c r="I12902">
        <f>YEAR(Tabela1[[#This Row],[data]])</f>
        <v>2026</v>
      </c>
    </row>
    <row r="12903" spans="1:9" x14ac:dyDescent="0.25">
      <c r="A12903" t="s">
        <v>6</v>
      </c>
      <c r="B12903" s="1">
        <v>46195</v>
      </c>
      <c r="C12903">
        <v>14</v>
      </c>
      <c r="D12903">
        <v>579.6</v>
      </c>
      <c r="E12903">
        <v>34.020000000000003</v>
      </c>
      <c r="F12903" t="s">
        <v>7</v>
      </c>
      <c r="G12903" t="s">
        <v>11</v>
      </c>
      <c r="H12903" s="5">
        <f>MONTH(Tabela1[[#This Row],[data]])</f>
        <v>6</v>
      </c>
      <c r="I12903">
        <f>YEAR(Tabela1[[#This Row],[data]])</f>
        <v>2026</v>
      </c>
    </row>
    <row r="12904" spans="1:9" x14ac:dyDescent="0.25">
      <c r="A12904" t="s">
        <v>6</v>
      </c>
      <c r="B12904" s="1">
        <v>46195</v>
      </c>
      <c r="C12904">
        <v>15</v>
      </c>
      <c r="D12904">
        <v>592.20000000000005</v>
      </c>
      <c r="E12904">
        <v>40.74</v>
      </c>
      <c r="F12904" t="s">
        <v>7</v>
      </c>
      <c r="G12904" t="s">
        <v>11</v>
      </c>
      <c r="H12904" s="5">
        <f>MONTH(Tabela1[[#This Row],[data]])</f>
        <v>6</v>
      </c>
      <c r="I12904">
        <f>YEAR(Tabela1[[#This Row],[data]])</f>
        <v>2026</v>
      </c>
    </row>
    <row r="12905" spans="1:9" x14ac:dyDescent="0.25">
      <c r="A12905" t="s">
        <v>6</v>
      </c>
      <c r="B12905" s="1">
        <v>46195</v>
      </c>
      <c r="C12905">
        <v>16</v>
      </c>
      <c r="D12905">
        <v>587.16</v>
      </c>
      <c r="E12905">
        <v>44.1</v>
      </c>
      <c r="F12905" t="s">
        <v>7</v>
      </c>
      <c r="G12905" t="s">
        <v>11</v>
      </c>
      <c r="H12905" s="5">
        <f>MONTH(Tabela1[[#This Row],[data]])</f>
        <v>6</v>
      </c>
      <c r="I12905">
        <f>YEAR(Tabela1[[#This Row],[data]])</f>
        <v>2026</v>
      </c>
    </row>
    <row r="12906" spans="1:9" x14ac:dyDescent="0.25">
      <c r="A12906" t="s">
        <v>6</v>
      </c>
      <c r="B12906" s="1">
        <v>46195</v>
      </c>
      <c r="C12906">
        <v>17</v>
      </c>
      <c r="D12906">
        <v>577.91999999999996</v>
      </c>
      <c r="E12906">
        <v>50.4</v>
      </c>
      <c r="F12906" t="s">
        <v>7</v>
      </c>
      <c r="G12906" t="s">
        <v>11</v>
      </c>
      <c r="H12906" s="5">
        <f>MONTH(Tabela1[[#This Row],[data]])</f>
        <v>6</v>
      </c>
      <c r="I12906">
        <f>YEAR(Tabela1[[#This Row],[data]])</f>
        <v>2026</v>
      </c>
    </row>
    <row r="12907" spans="1:9" x14ac:dyDescent="0.25">
      <c r="A12907" t="s">
        <v>6</v>
      </c>
      <c r="B12907" s="1">
        <v>46195</v>
      </c>
      <c r="C12907">
        <v>18</v>
      </c>
      <c r="D12907">
        <v>570.36</v>
      </c>
      <c r="E12907">
        <v>36.54</v>
      </c>
      <c r="F12907" t="s">
        <v>7</v>
      </c>
      <c r="G12907" t="s">
        <v>11</v>
      </c>
      <c r="H12907" s="5">
        <f>MONTH(Tabela1[[#This Row],[data]])</f>
        <v>6</v>
      </c>
      <c r="I12907">
        <f>YEAR(Tabela1[[#This Row],[data]])</f>
        <v>2026</v>
      </c>
    </row>
    <row r="12908" spans="1:9" x14ac:dyDescent="0.25">
      <c r="A12908" t="s">
        <v>6</v>
      </c>
      <c r="B12908" s="1">
        <v>46195</v>
      </c>
      <c r="C12908">
        <v>19</v>
      </c>
      <c r="D12908">
        <v>585.9</v>
      </c>
      <c r="E12908">
        <v>22.26</v>
      </c>
      <c r="F12908" t="s">
        <v>7</v>
      </c>
      <c r="G12908" t="s">
        <v>11</v>
      </c>
      <c r="H12908" s="5">
        <f>MONTH(Tabela1[[#This Row],[data]])</f>
        <v>6</v>
      </c>
      <c r="I12908">
        <f>YEAR(Tabela1[[#This Row],[data]])</f>
        <v>2026</v>
      </c>
    </row>
    <row r="12909" spans="1:9" x14ac:dyDescent="0.25">
      <c r="A12909" t="s">
        <v>6</v>
      </c>
      <c r="B12909" s="1">
        <v>46195</v>
      </c>
      <c r="C12909">
        <v>20</v>
      </c>
      <c r="D12909">
        <v>581.70000000000005</v>
      </c>
      <c r="E12909">
        <v>26.88</v>
      </c>
      <c r="F12909" t="s">
        <v>7</v>
      </c>
      <c r="G12909" t="s">
        <v>11</v>
      </c>
      <c r="H12909" s="5">
        <f>MONTH(Tabela1[[#This Row],[data]])</f>
        <v>6</v>
      </c>
      <c r="I12909">
        <f>YEAR(Tabela1[[#This Row],[data]])</f>
        <v>2026</v>
      </c>
    </row>
    <row r="12910" spans="1:9" x14ac:dyDescent="0.25">
      <c r="A12910" t="s">
        <v>6</v>
      </c>
      <c r="B12910" s="1">
        <v>46195</v>
      </c>
      <c r="C12910">
        <v>21</v>
      </c>
      <c r="D12910">
        <v>581.70000000000005</v>
      </c>
      <c r="E12910">
        <v>27.72</v>
      </c>
      <c r="F12910" t="s">
        <v>7</v>
      </c>
      <c r="G12910" t="s">
        <v>11</v>
      </c>
      <c r="H12910" s="5">
        <f>MONTH(Tabela1[[#This Row],[data]])</f>
        <v>6</v>
      </c>
      <c r="I12910">
        <f>YEAR(Tabela1[[#This Row],[data]])</f>
        <v>2026</v>
      </c>
    </row>
    <row r="12911" spans="1:9" x14ac:dyDescent="0.25">
      <c r="A12911" t="s">
        <v>6</v>
      </c>
      <c r="B12911" s="1">
        <v>46195</v>
      </c>
      <c r="C12911">
        <v>22</v>
      </c>
      <c r="D12911">
        <v>556.91999999999996</v>
      </c>
      <c r="E12911">
        <v>27.72</v>
      </c>
      <c r="F12911" t="s">
        <v>7</v>
      </c>
      <c r="G12911" t="s">
        <v>11</v>
      </c>
      <c r="H12911" s="5">
        <f>MONTH(Tabela1[[#This Row],[data]])</f>
        <v>6</v>
      </c>
      <c r="I12911">
        <f>YEAR(Tabela1[[#This Row],[data]])</f>
        <v>2026</v>
      </c>
    </row>
    <row r="12912" spans="1:9" x14ac:dyDescent="0.25">
      <c r="A12912" t="s">
        <v>6</v>
      </c>
      <c r="B12912" s="1">
        <v>46195</v>
      </c>
      <c r="C12912">
        <v>23</v>
      </c>
      <c r="D12912">
        <v>365.82</v>
      </c>
      <c r="E12912">
        <v>0</v>
      </c>
      <c r="F12912" t="s">
        <v>7</v>
      </c>
      <c r="G12912" t="s">
        <v>11</v>
      </c>
      <c r="H12912" s="5">
        <f>MONTH(Tabela1[[#This Row],[data]])</f>
        <v>6</v>
      </c>
      <c r="I12912">
        <f>YEAR(Tabela1[[#This Row],[data]])</f>
        <v>2026</v>
      </c>
    </row>
    <row r="12913" spans="1:9" x14ac:dyDescent="0.25">
      <c r="A12913" t="s">
        <v>6</v>
      </c>
      <c r="B12913" s="1">
        <v>46195</v>
      </c>
      <c r="C12913">
        <v>24</v>
      </c>
      <c r="D12913">
        <v>272.58</v>
      </c>
      <c r="E12913">
        <v>0</v>
      </c>
      <c r="F12913" t="s">
        <v>7</v>
      </c>
      <c r="G12913" t="s">
        <v>11</v>
      </c>
      <c r="H12913" s="5">
        <f>MONTH(Tabela1[[#This Row],[data]])</f>
        <v>6</v>
      </c>
      <c r="I12913">
        <f>YEAR(Tabela1[[#This Row],[data]])</f>
        <v>2026</v>
      </c>
    </row>
    <row r="12914" spans="1:9" x14ac:dyDescent="0.25">
      <c r="A12914" t="s">
        <v>6</v>
      </c>
      <c r="B12914" s="1">
        <v>46196</v>
      </c>
      <c r="C12914">
        <v>1</v>
      </c>
      <c r="D12914">
        <v>253.26</v>
      </c>
      <c r="E12914">
        <v>0</v>
      </c>
      <c r="F12914" t="s">
        <v>7</v>
      </c>
      <c r="G12914" t="s">
        <v>11</v>
      </c>
      <c r="H12914" s="5">
        <f>MONTH(Tabela1[[#This Row],[data]])</f>
        <v>6</v>
      </c>
      <c r="I12914">
        <f>YEAR(Tabela1[[#This Row],[data]])</f>
        <v>2026</v>
      </c>
    </row>
    <row r="12915" spans="1:9" x14ac:dyDescent="0.25">
      <c r="A12915" t="s">
        <v>6</v>
      </c>
      <c r="B12915" s="1">
        <v>46196</v>
      </c>
      <c r="C12915">
        <v>2</v>
      </c>
      <c r="D12915">
        <v>229.74</v>
      </c>
      <c r="E12915">
        <v>0</v>
      </c>
      <c r="F12915" t="s">
        <v>7</v>
      </c>
      <c r="G12915" t="s">
        <v>11</v>
      </c>
      <c r="H12915" s="5">
        <f>MONTH(Tabela1[[#This Row],[data]])</f>
        <v>6</v>
      </c>
      <c r="I12915">
        <f>YEAR(Tabela1[[#This Row],[data]])</f>
        <v>2026</v>
      </c>
    </row>
    <row r="12916" spans="1:9" x14ac:dyDescent="0.25">
      <c r="A12916" t="s">
        <v>6</v>
      </c>
      <c r="B12916" s="1">
        <v>46196</v>
      </c>
      <c r="C12916">
        <v>3</v>
      </c>
      <c r="D12916">
        <v>223.44</v>
      </c>
      <c r="E12916">
        <v>0</v>
      </c>
      <c r="F12916" t="s">
        <v>7</v>
      </c>
      <c r="G12916" t="s">
        <v>11</v>
      </c>
      <c r="H12916" s="5">
        <f>MONTH(Tabela1[[#This Row],[data]])</f>
        <v>6</v>
      </c>
      <c r="I12916">
        <f>YEAR(Tabela1[[#This Row],[data]])</f>
        <v>2026</v>
      </c>
    </row>
    <row r="12917" spans="1:9" x14ac:dyDescent="0.25">
      <c r="A12917" t="s">
        <v>6</v>
      </c>
      <c r="B12917" s="1">
        <v>46196</v>
      </c>
      <c r="C12917">
        <v>4</v>
      </c>
      <c r="D12917">
        <v>228.06</v>
      </c>
      <c r="E12917">
        <v>0</v>
      </c>
      <c r="F12917" t="s">
        <v>7</v>
      </c>
      <c r="G12917" t="s">
        <v>11</v>
      </c>
      <c r="H12917" s="5">
        <f>MONTH(Tabela1[[#This Row],[data]])</f>
        <v>6</v>
      </c>
      <c r="I12917">
        <f>YEAR(Tabela1[[#This Row],[data]])</f>
        <v>2026</v>
      </c>
    </row>
    <row r="12918" spans="1:9" x14ac:dyDescent="0.25">
      <c r="A12918" t="s">
        <v>6</v>
      </c>
      <c r="B12918" s="1">
        <v>46196</v>
      </c>
      <c r="C12918">
        <v>5</v>
      </c>
      <c r="D12918">
        <v>225.96</v>
      </c>
      <c r="E12918">
        <v>0</v>
      </c>
      <c r="F12918" t="s">
        <v>7</v>
      </c>
      <c r="G12918" t="s">
        <v>11</v>
      </c>
      <c r="H12918" s="5">
        <f>MONTH(Tabela1[[#This Row],[data]])</f>
        <v>6</v>
      </c>
      <c r="I12918">
        <f>YEAR(Tabela1[[#This Row],[data]])</f>
        <v>2026</v>
      </c>
    </row>
    <row r="12919" spans="1:9" x14ac:dyDescent="0.25">
      <c r="A12919" t="s">
        <v>6</v>
      </c>
      <c r="B12919" s="1">
        <v>46196</v>
      </c>
      <c r="C12919">
        <v>6</v>
      </c>
      <c r="D12919">
        <v>223.02</v>
      </c>
      <c r="E12919">
        <v>0</v>
      </c>
      <c r="F12919" t="s">
        <v>7</v>
      </c>
      <c r="G12919" t="s">
        <v>11</v>
      </c>
      <c r="H12919" s="5">
        <f>MONTH(Tabela1[[#This Row],[data]])</f>
        <v>6</v>
      </c>
      <c r="I12919">
        <f>YEAR(Tabela1[[#This Row],[data]])</f>
        <v>2026</v>
      </c>
    </row>
    <row r="12920" spans="1:9" x14ac:dyDescent="0.25">
      <c r="A12920" t="s">
        <v>6</v>
      </c>
      <c r="B12920" s="1">
        <v>46196</v>
      </c>
      <c r="C12920">
        <v>7</v>
      </c>
      <c r="D12920">
        <v>226.8</v>
      </c>
      <c r="E12920">
        <v>0</v>
      </c>
      <c r="F12920" t="s">
        <v>7</v>
      </c>
      <c r="G12920" t="s">
        <v>11</v>
      </c>
      <c r="H12920" s="5">
        <f>MONTH(Tabela1[[#This Row],[data]])</f>
        <v>6</v>
      </c>
      <c r="I12920">
        <f>YEAR(Tabela1[[#This Row],[data]])</f>
        <v>2026</v>
      </c>
    </row>
    <row r="12921" spans="1:9" x14ac:dyDescent="0.25">
      <c r="A12921" t="s">
        <v>6</v>
      </c>
      <c r="B12921" s="1">
        <v>46196</v>
      </c>
      <c r="C12921">
        <v>8</v>
      </c>
      <c r="D12921">
        <v>219.24</v>
      </c>
      <c r="E12921">
        <v>0</v>
      </c>
      <c r="F12921" t="s">
        <v>7</v>
      </c>
      <c r="G12921" t="s">
        <v>11</v>
      </c>
      <c r="H12921" s="5">
        <f>MONTH(Tabela1[[#This Row],[data]])</f>
        <v>6</v>
      </c>
      <c r="I12921">
        <f>YEAR(Tabela1[[#This Row],[data]])</f>
        <v>2026</v>
      </c>
    </row>
    <row r="12922" spans="1:9" x14ac:dyDescent="0.25">
      <c r="A12922" t="s">
        <v>6</v>
      </c>
      <c r="B12922" s="1">
        <v>46196</v>
      </c>
      <c r="C12922">
        <v>9</v>
      </c>
      <c r="D12922">
        <v>285.60000000000002</v>
      </c>
      <c r="E12922">
        <v>0</v>
      </c>
      <c r="F12922" t="s">
        <v>7</v>
      </c>
      <c r="G12922" t="s">
        <v>11</v>
      </c>
      <c r="H12922" s="5">
        <f>MONTH(Tabela1[[#This Row],[data]])</f>
        <v>6</v>
      </c>
      <c r="I12922">
        <f>YEAR(Tabela1[[#This Row],[data]])</f>
        <v>2026</v>
      </c>
    </row>
    <row r="12923" spans="1:9" x14ac:dyDescent="0.25">
      <c r="A12923" t="s">
        <v>6</v>
      </c>
      <c r="B12923" s="1">
        <v>46196</v>
      </c>
      <c r="C12923">
        <v>10</v>
      </c>
      <c r="D12923">
        <v>376.74</v>
      </c>
      <c r="E12923">
        <v>0.42</v>
      </c>
      <c r="F12923" t="s">
        <v>7</v>
      </c>
      <c r="G12923" t="s">
        <v>11</v>
      </c>
      <c r="H12923" s="5">
        <f>MONTH(Tabela1[[#This Row],[data]])</f>
        <v>6</v>
      </c>
      <c r="I12923">
        <f>YEAR(Tabela1[[#This Row],[data]])</f>
        <v>2026</v>
      </c>
    </row>
    <row r="12924" spans="1:9" x14ac:dyDescent="0.25">
      <c r="A12924" t="s">
        <v>6</v>
      </c>
      <c r="B12924" s="1">
        <v>46196</v>
      </c>
      <c r="C12924">
        <v>11</v>
      </c>
      <c r="D12924">
        <v>519.12</v>
      </c>
      <c r="E12924">
        <v>30.24</v>
      </c>
      <c r="F12924" t="s">
        <v>7</v>
      </c>
      <c r="G12924" t="s">
        <v>11</v>
      </c>
      <c r="H12924" s="5">
        <f>MONTH(Tabela1[[#This Row],[data]])</f>
        <v>6</v>
      </c>
      <c r="I12924">
        <f>YEAR(Tabela1[[#This Row],[data]])</f>
        <v>2026</v>
      </c>
    </row>
    <row r="12925" spans="1:9" x14ac:dyDescent="0.25">
      <c r="A12925" t="s">
        <v>6</v>
      </c>
      <c r="B12925" s="1">
        <v>46196</v>
      </c>
      <c r="C12925">
        <v>12</v>
      </c>
      <c r="D12925">
        <v>573.72</v>
      </c>
      <c r="E12925">
        <v>55.86</v>
      </c>
      <c r="F12925" t="s">
        <v>7</v>
      </c>
      <c r="G12925" t="s">
        <v>11</v>
      </c>
      <c r="H12925" s="5">
        <f>MONTH(Tabela1[[#This Row],[data]])</f>
        <v>6</v>
      </c>
      <c r="I12925">
        <f>YEAR(Tabela1[[#This Row],[data]])</f>
        <v>2026</v>
      </c>
    </row>
    <row r="12926" spans="1:9" x14ac:dyDescent="0.25">
      <c r="A12926" t="s">
        <v>6</v>
      </c>
      <c r="B12926" s="1">
        <v>46196</v>
      </c>
      <c r="C12926">
        <v>13</v>
      </c>
      <c r="D12926">
        <v>572.88</v>
      </c>
      <c r="E12926">
        <v>54.6</v>
      </c>
      <c r="F12926" t="s">
        <v>7</v>
      </c>
      <c r="G12926" t="s">
        <v>11</v>
      </c>
      <c r="H12926" s="5">
        <f>MONTH(Tabela1[[#This Row],[data]])</f>
        <v>6</v>
      </c>
      <c r="I12926">
        <f>YEAR(Tabela1[[#This Row],[data]])</f>
        <v>2026</v>
      </c>
    </row>
    <row r="12927" spans="1:9" x14ac:dyDescent="0.25">
      <c r="A12927" t="s">
        <v>6</v>
      </c>
      <c r="B12927" s="1">
        <v>46196</v>
      </c>
      <c r="C12927">
        <v>14</v>
      </c>
      <c r="D12927">
        <v>595.14</v>
      </c>
      <c r="E12927">
        <v>57.96</v>
      </c>
      <c r="F12927" t="s">
        <v>7</v>
      </c>
      <c r="G12927" t="s">
        <v>11</v>
      </c>
      <c r="H12927" s="5">
        <f>MONTH(Tabela1[[#This Row],[data]])</f>
        <v>6</v>
      </c>
      <c r="I12927">
        <f>YEAR(Tabela1[[#This Row],[data]])</f>
        <v>2026</v>
      </c>
    </row>
    <row r="12928" spans="1:9" x14ac:dyDescent="0.25">
      <c r="A12928" t="s">
        <v>6</v>
      </c>
      <c r="B12928" s="1">
        <v>46196</v>
      </c>
      <c r="C12928">
        <v>15</v>
      </c>
      <c r="D12928">
        <v>598.91999999999996</v>
      </c>
      <c r="E12928">
        <v>60.48</v>
      </c>
      <c r="F12928" t="s">
        <v>7</v>
      </c>
      <c r="G12928" t="s">
        <v>11</v>
      </c>
      <c r="H12928" s="5">
        <f>MONTH(Tabela1[[#This Row],[data]])</f>
        <v>6</v>
      </c>
      <c r="I12928">
        <f>YEAR(Tabela1[[#This Row],[data]])</f>
        <v>2026</v>
      </c>
    </row>
    <row r="12929" spans="1:9" x14ac:dyDescent="0.25">
      <c r="A12929" t="s">
        <v>6</v>
      </c>
      <c r="B12929" s="1">
        <v>46196</v>
      </c>
      <c r="C12929">
        <v>16</v>
      </c>
      <c r="D12929">
        <v>588.84</v>
      </c>
      <c r="E12929">
        <v>59.22</v>
      </c>
      <c r="F12929" t="s">
        <v>7</v>
      </c>
      <c r="G12929" t="s">
        <v>11</v>
      </c>
      <c r="H12929" s="5">
        <f>MONTH(Tabela1[[#This Row],[data]])</f>
        <v>6</v>
      </c>
      <c r="I12929">
        <f>YEAR(Tabela1[[#This Row],[data]])</f>
        <v>2026</v>
      </c>
    </row>
    <row r="12930" spans="1:9" x14ac:dyDescent="0.25">
      <c r="A12930" t="s">
        <v>6</v>
      </c>
      <c r="B12930" s="1">
        <v>46196</v>
      </c>
      <c r="C12930">
        <v>17</v>
      </c>
      <c r="D12930">
        <v>583.79999999999995</v>
      </c>
      <c r="E12930">
        <v>69.3</v>
      </c>
      <c r="F12930" t="s">
        <v>7</v>
      </c>
      <c r="G12930" t="s">
        <v>11</v>
      </c>
      <c r="H12930" s="5">
        <f>MONTH(Tabela1[[#This Row],[data]])</f>
        <v>6</v>
      </c>
      <c r="I12930">
        <f>YEAR(Tabela1[[#This Row],[data]])</f>
        <v>2026</v>
      </c>
    </row>
    <row r="12931" spans="1:9" x14ac:dyDescent="0.25">
      <c r="A12931" t="s">
        <v>6</v>
      </c>
      <c r="B12931" s="1">
        <v>46196</v>
      </c>
      <c r="C12931">
        <v>18</v>
      </c>
      <c r="D12931">
        <v>594.72</v>
      </c>
      <c r="E12931">
        <v>32.76</v>
      </c>
      <c r="F12931" t="s">
        <v>7</v>
      </c>
      <c r="G12931" t="s">
        <v>11</v>
      </c>
      <c r="H12931" s="5">
        <f>MONTH(Tabela1[[#This Row],[data]])</f>
        <v>6</v>
      </c>
      <c r="I12931">
        <f>YEAR(Tabela1[[#This Row],[data]])</f>
        <v>2026</v>
      </c>
    </row>
    <row r="12932" spans="1:9" x14ac:dyDescent="0.25">
      <c r="A12932" t="s">
        <v>6</v>
      </c>
      <c r="B12932" s="1">
        <v>46196</v>
      </c>
      <c r="C12932">
        <v>19</v>
      </c>
      <c r="D12932">
        <v>590.94000000000005</v>
      </c>
      <c r="E12932">
        <v>33.6</v>
      </c>
      <c r="F12932" t="s">
        <v>7</v>
      </c>
      <c r="G12932" t="s">
        <v>11</v>
      </c>
      <c r="H12932" s="5">
        <f>MONTH(Tabela1[[#This Row],[data]])</f>
        <v>6</v>
      </c>
      <c r="I12932">
        <f>YEAR(Tabela1[[#This Row],[data]])</f>
        <v>2026</v>
      </c>
    </row>
    <row r="12933" spans="1:9" x14ac:dyDescent="0.25">
      <c r="A12933" t="s">
        <v>6</v>
      </c>
      <c r="B12933" s="1">
        <v>46196</v>
      </c>
      <c r="C12933">
        <v>20</v>
      </c>
      <c r="D12933">
        <v>593.04</v>
      </c>
      <c r="E12933">
        <v>44.94</v>
      </c>
      <c r="F12933" t="s">
        <v>7</v>
      </c>
      <c r="G12933" t="s">
        <v>11</v>
      </c>
      <c r="H12933" s="5">
        <f>MONTH(Tabela1[[#This Row],[data]])</f>
        <v>6</v>
      </c>
      <c r="I12933">
        <f>YEAR(Tabela1[[#This Row],[data]])</f>
        <v>2026</v>
      </c>
    </row>
    <row r="12934" spans="1:9" x14ac:dyDescent="0.25">
      <c r="A12934" t="s">
        <v>6</v>
      </c>
      <c r="B12934" s="1">
        <v>46196</v>
      </c>
      <c r="C12934">
        <v>21</v>
      </c>
      <c r="D12934">
        <v>590.52</v>
      </c>
      <c r="E12934">
        <v>43.68</v>
      </c>
      <c r="F12934" t="s">
        <v>7</v>
      </c>
      <c r="G12934" t="s">
        <v>11</v>
      </c>
      <c r="H12934" s="5">
        <f>MONTH(Tabela1[[#This Row],[data]])</f>
        <v>6</v>
      </c>
      <c r="I12934">
        <f>YEAR(Tabela1[[#This Row],[data]])</f>
        <v>2026</v>
      </c>
    </row>
    <row r="12935" spans="1:9" x14ac:dyDescent="0.25">
      <c r="A12935" t="s">
        <v>6</v>
      </c>
      <c r="B12935" s="1">
        <v>46196</v>
      </c>
      <c r="C12935">
        <v>22</v>
      </c>
      <c r="D12935">
        <v>559.44000000000005</v>
      </c>
      <c r="E12935">
        <v>32.340000000000003</v>
      </c>
      <c r="F12935" t="s">
        <v>7</v>
      </c>
      <c r="G12935" t="s">
        <v>11</v>
      </c>
      <c r="H12935" s="5">
        <f>MONTH(Tabela1[[#This Row],[data]])</f>
        <v>6</v>
      </c>
      <c r="I12935">
        <f>YEAR(Tabela1[[#This Row],[data]])</f>
        <v>2026</v>
      </c>
    </row>
    <row r="12936" spans="1:9" x14ac:dyDescent="0.25">
      <c r="A12936" t="s">
        <v>6</v>
      </c>
      <c r="B12936" s="1">
        <v>46196</v>
      </c>
      <c r="C12936">
        <v>23</v>
      </c>
      <c r="D12936">
        <v>351.12</v>
      </c>
      <c r="E12936">
        <v>0</v>
      </c>
      <c r="F12936" t="s">
        <v>7</v>
      </c>
      <c r="G12936" t="s">
        <v>11</v>
      </c>
      <c r="H12936" s="5">
        <f>MONTH(Tabela1[[#This Row],[data]])</f>
        <v>6</v>
      </c>
      <c r="I12936">
        <f>YEAR(Tabela1[[#This Row],[data]])</f>
        <v>2026</v>
      </c>
    </row>
    <row r="12937" spans="1:9" x14ac:dyDescent="0.25">
      <c r="A12937" t="s">
        <v>6</v>
      </c>
      <c r="B12937" s="1">
        <v>46196</v>
      </c>
      <c r="C12937">
        <v>24</v>
      </c>
      <c r="D12937">
        <v>252.42</v>
      </c>
      <c r="E12937">
        <v>0</v>
      </c>
      <c r="F12937" t="s">
        <v>7</v>
      </c>
      <c r="G12937" t="s">
        <v>11</v>
      </c>
      <c r="H12937" s="5">
        <f>MONTH(Tabela1[[#This Row],[data]])</f>
        <v>6</v>
      </c>
      <c r="I12937">
        <f>YEAR(Tabela1[[#This Row],[data]])</f>
        <v>2026</v>
      </c>
    </row>
    <row r="12938" spans="1:9" x14ac:dyDescent="0.25">
      <c r="A12938" t="s">
        <v>6</v>
      </c>
      <c r="B12938" s="1">
        <v>46197</v>
      </c>
      <c r="C12938">
        <v>1</v>
      </c>
      <c r="D12938">
        <v>227.22</v>
      </c>
      <c r="E12938">
        <v>0</v>
      </c>
      <c r="F12938" t="s">
        <v>7</v>
      </c>
      <c r="G12938" t="s">
        <v>11</v>
      </c>
      <c r="H12938" s="5">
        <f>MONTH(Tabela1[[#This Row],[data]])</f>
        <v>6</v>
      </c>
      <c r="I12938">
        <f>YEAR(Tabela1[[#This Row],[data]])</f>
        <v>2026</v>
      </c>
    </row>
    <row r="12939" spans="1:9" x14ac:dyDescent="0.25">
      <c r="A12939" t="s">
        <v>6</v>
      </c>
      <c r="B12939" s="1">
        <v>46197</v>
      </c>
      <c r="C12939">
        <v>2</v>
      </c>
      <c r="D12939">
        <v>225.54</v>
      </c>
      <c r="E12939">
        <v>0</v>
      </c>
      <c r="F12939" t="s">
        <v>7</v>
      </c>
      <c r="G12939" t="s">
        <v>11</v>
      </c>
      <c r="H12939" s="5">
        <f>MONTH(Tabela1[[#This Row],[data]])</f>
        <v>6</v>
      </c>
      <c r="I12939">
        <f>YEAR(Tabela1[[#This Row],[data]])</f>
        <v>2026</v>
      </c>
    </row>
    <row r="12940" spans="1:9" x14ac:dyDescent="0.25">
      <c r="A12940" t="s">
        <v>6</v>
      </c>
      <c r="B12940" s="1">
        <v>46197</v>
      </c>
      <c r="C12940">
        <v>3</v>
      </c>
      <c r="D12940">
        <v>218.82</v>
      </c>
      <c r="E12940">
        <v>0</v>
      </c>
      <c r="F12940" t="s">
        <v>7</v>
      </c>
      <c r="G12940" t="s">
        <v>11</v>
      </c>
      <c r="H12940" s="5">
        <f>MONTH(Tabela1[[#This Row],[data]])</f>
        <v>6</v>
      </c>
      <c r="I12940">
        <f>YEAR(Tabela1[[#This Row],[data]])</f>
        <v>2026</v>
      </c>
    </row>
    <row r="12941" spans="1:9" x14ac:dyDescent="0.25">
      <c r="A12941" t="s">
        <v>6</v>
      </c>
      <c r="B12941" s="1">
        <v>46197</v>
      </c>
      <c r="C12941">
        <v>4</v>
      </c>
      <c r="D12941">
        <v>217.98</v>
      </c>
      <c r="E12941">
        <v>0</v>
      </c>
      <c r="F12941" t="s">
        <v>7</v>
      </c>
      <c r="G12941" t="s">
        <v>11</v>
      </c>
      <c r="H12941" s="5">
        <f>MONTH(Tabela1[[#This Row],[data]])</f>
        <v>6</v>
      </c>
      <c r="I12941">
        <f>YEAR(Tabela1[[#This Row],[data]])</f>
        <v>2026</v>
      </c>
    </row>
    <row r="12942" spans="1:9" x14ac:dyDescent="0.25">
      <c r="A12942" t="s">
        <v>6</v>
      </c>
      <c r="B12942" s="1">
        <v>46197</v>
      </c>
      <c r="C12942">
        <v>5</v>
      </c>
      <c r="D12942">
        <v>221.34</v>
      </c>
      <c r="E12942">
        <v>0</v>
      </c>
      <c r="F12942" t="s">
        <v>7</v>
      </c>
      <c r="G12942" t="s">
        <v>11</v>
      </c>
      <c r="H12942" s="5">
        <f>MONTH(Tabela1[[#This Row],[data]])</f>
        <v>6</v>
      </c>
      <c r="I12942">
        <f>YEAR(Tabela1[[#This Row],[data]])</f>
        <v>2026</v>
      </c>
    </row>
    <row r="12943" spans="1:9" x14ac:dyDescent="0.25">
      <c r="A12943" t="s">
        <v>6</v>
      </c>
      <c r="B12943" s="1">
        <v>46197</v>
      </c>
      <c r="C12943">
        <v>6</v>
      </c>
      <c r="D12943">
        <v>217.14</v>
      </c>
      <c r="E12943">
        <v>0</v>
      </c>
      <c r="F12943" t="s">
        <v>7</v>
      </c>
      <c r="G12943" t="s">
        <v>11</v>
      </c>
      <c r="H12943" s="5">
        <f>MONTH(Tabela1[[#This Row],[data]])</f>
        <v>6</v>
      </c>
      <c r="I12943">
        <f>YEAR(Tabela1[[#This Row],[data]])</f>
        <v>2026</v>
      </c>
    </row>
    <row r="12944" spans="1:9" x14ac:dyDescent="0.25">
      <c r="A12944" t="s">
        <v>6</v>
      </c>
      <c r="B12944" s="1">
        <v>46197</v>
      </c>
      <c r="C12944">
        <v>7</v>
      </c>
      <c r="D12944">
        <v>232.26</v>
      </c>
      <c r="E12944">
        <v>0</v>
      </c>
      <c r="F12944" t="s">
        <v>7</v>
      </c>
      <c r="G12944" t="s">
        <v>11</v>
      </c>
      <c r="H12944" s="5">
        <f>MONTH(Tabela1[[#This Row],[data]])</f>
        <v>6</v>
      </c>
      <c r="I12944">
        <f>YEAR(Tabela1[[#This Row],[data]])</f>
        <v>2026</v>
      </c>
    </row>
    <row r="12945" spans="1:9" x14ac:dyDescent="0.25">
      <c r="A12945" t="s">
        <v>6</v>
      </c>
      <c r="B12945" s="1">
        <v>46197</v>
      </c>
      <c r="C12945">
        <v>8</v>
      </c>
      <c r="D12945">
        <v>225.12</v>
      </c>
      <c r="E12945">
        <v>0</v>
      </c>
      <c r="F12945" t="s">
        <v>7</v>
      </c>
      <c r="G12945" t="s">
        <v>11</v>
      </c>
      <c r="H12945" s="5">
        <f>MONTH(Tabela1[[#This Row],[data]])</f>
        <v>6</v>
      </c>
      <c r="I12945">
        <f>YEAR(Tabela1[[#This Row],[data]])</f>
        <v>2026</v>
      </c>
    </row>
    <row r="12946" spans="1:9" x14ac:dyDescent="0.25">
      <c r="A12946" t="s">
        <v>6</v>
      </c>
      <c r="B12946" s="1">
        <v>46197</v>
      </c>
      <c r="C12946">
        <v>9</v>
      </c>
      <c r="D12946">
        <v>265.86</v>
      </c>
      <c r="E12946">
        <v>0</v>
      </c>
      <c r="F12946" t="s">
        <v>7</v>
      </c>
      <c r="G12946" t="s">
        <v>11</v>
      </c>
      <c r="H12946" s="5">
        <f>MONTH(Tabela1[[#This Row],[data]])</f>
        <v>6</v>
      </c>
      <c r="I12946">
        <f>YEAR(Tabela1[[#This Row],[data]])</f>
        <v>2026</v>
      </c>
    </row>
    <row r="12947" spans="1:9" x14ac:dyDescent="0.25">
      <c r="A12947" t="s">
        <v>6</v>
      </c>
      <c r="B12947" s="1">
        <v>46197</v>
      </c>
      <c r="C12947">
        <v>10</v>
      </c>
      <c r="D12947">
        <v>377.16</v>
      </c>
      <c r="E12947">
        <v>1.26</v>
      </c>
      <c r="F12947" t="s">
        <v>7</v>
      </c>
      <c r="G12947" t="s">
        <v>11</v>
      </c>
      <c r="H12947" s="5">
        <f>MONTH(Tabela1[[#This Row],[data]])</f>
        <v>6</v>
      </c>
      <c r="I12947">
        <f>YEAR(Tabela1[[#This Row],[data]])</f>
        <v>2026</v>
      </c>
    </row>
    <row r="12948" spans="1:9" x14ac:dyDescent="0.25">
      <c r="A12948" t="s">
        <v>6</v>
      </c>
      <c r="B12948" s="1">
        <v>46197</v>
      </c>
      <c r="C12948">
        <v>11</v>
      </c>
      <c r="D12948">
        <v>531.29999999999995</v>
      </c>
      <c r="E12948">
        <v>21.84</v>
      </c>
      <c r="F12948" t="s">
        <v>7</v>
      </c>
      <c r="G12948" t="s">
        <v>11</v>
      </c>
      <c r="H12948" s="5">
        <f>MONTH(Tabela1[[#This Row],[data]])</f>
        <v>6</v>
      </c>
      <c r="I12948">
        <f>YEAR(Tabela1[[#This Row],[data]])</f>
        <v>2026</v>
      </c>
    </row>
    <row r="12949" spans="1:9" x14ac:dyDescent="0.25">
      <c r="A12949" t="s">
        <v>6</v>
      </c>
      <c r="B12949" s="1">
        <v>46197</v>
      </c>
      <c r="C12949">
        <v>12</v>
      </c>
      <c r="D12949">
        <v>568.26</v>
      </c>
      <c r="E12949">
        <v>44.1</v>
      </c>
      <c r="F12949" t="s">
        <v>7</v>
      </c>
      <c r="G12949" t="s">
        <v>11</v>
      </c>
      <c r="H12949" s="5">
        <f>MONTH(Tabela1[[#This Row],[data]])</f>
        <v>6</v>
      </c>
      <c r="I12949">
        <f>YEAR(Tabela1[[#This Row],[data]])</f>
        <v>2026</v>
      </c>
    </row>
    <row r="12950" spans="1:9" x14ac:dyDescent="0.25">
      <c r="A12950" t="s">
        <v>6</v>
      </c>
      <c r="B12950" s="1">
        <v>46197</v>
      </c>
      <c r="C12950">
        <v>13</v>
      </c>
      <c r="D12950">
        <v>569.94000000000005</v>
      </c>
      <c r="E12950">
        <v>49.98</v>
      </c>
      <c r="F12950" t="s">
        <v>7</v>
      </c>
      <c r="G12950" t="s">
        <v>11</v>
      </c>
      <c r="H12950" s="5">
        <f>MONTH(Tabela1[[#This Row],[data]])</f>
        <v>6</v>
      </c>
      <c r="I12950">
        <f>YEAR(Tabela1[[#This Row],[data]])</f>
        <v>2026</v>
      </c>
    </row>
    <row r="12951" spans="1:9" x14ac:dyDescent="0.25">
      <c r="A12951" t="s">
        <v>6</v>
      </c>
      <c r="B12951" s="1">
        <v>46197</v>
      </c>
      <c r="C12951">
        <v>14</v>
      </c>
      <c r="D12951">
        <v>562.38</v>
      </c>
      <c r="E12951">
        <v>32.76</v>
      </c>
      <c r="F12951" t="s">
        <v>7</v>
      </c>
      <c r="G12951" t="s">
        <v>11</v>
      </c>
      <c r="H12951" s="5">
        <f>MONTH(Tabela1[[#This Row],[data]])</f>
        <v>6</v>
      </c>
      <c r="I12951">
        <f>YEAR(Tabela1[[#This Row],[data]])</f>
        <v>2026</v>
      </c>
    </row>
    <row r="12952" spans="1:9" x14ac:dyDescent="0.25">
      <c r="A12952" t="s">
        <v>6</v>
      </c>
      <c r="B12952" s="1">
        <v>46197</v>
      </c>
      <c r="C12952">
        <v>15</v>
      </c>
      <c r="D12952">
        <v>574.14</v>
      </c>
      <c r="E12952">
        <v>35.700000000000003</v>
      </c>
      <c r="F12952" t="s">
        <v>7</v>
      </c>
      <c r="G12952" t="s">
        <v>11</v>
      </c>
      <c r="H12952" s="5">
        <f>MONTH(Tabela1[[#This Row],[data]])</f>
        <v>6</v>
      </c>
      <c r="I12952">
        <f>YEAR(Tabela1[[#This Row],[data]])</f>
        <v>2026</v>
      </c>
    </row>
    <row r="12953" spans="1:9" x14ac:dyDescent="0.25">
      <c r="A12953" t="s">
        <v>6</v>
      </c>
      <c r="B12953" s="1">
        <v>46197</v>
      </c>
      <c r="C12953">
        <v>16</v>
      </c>
      <c r="D12953">
        <v>583.79999999999995</v>
      </c>
      <c r="E12953">
        <v>43.68</v>
      </c>
      <c r="F12953" t="s">
        <v>7</v>
      </c>
      <c r="G12953" t="s">
        <v>11</v>
      </c>
      <c r="H12953" s="5">
        <f>MONTH(Tabela1[[#This Row],[data]])</f>
        <v>6</v>
      </c>
      <c r="I12953">
        <f>YEAR(Tabela1[[#This Row],[data]])</f>
        <v>2026</v>
      </c>
    </row>
    <row r="12954" spans="1:9" x14ac:dyDescent="0.25">
      <c r="A12954" t="s">
        <v>6</v>
      </c>
      <c r="B12954" s="1">
        <v>46197</v>
      </c>
      <c r="C12954">
        <v>17</v>
      </c>
      <c r="D12954">
        <v>571.20000000000005</v>
      </c>
      <c r="E12954">
        <v>54.18</v>
      </c>
      <c r="F12954" t="s">
        <v>7</v>
      </c>
      <c r="G12954" t="s">
        <v>11</v>
      </c>
      <c r="H12954" s="5">
        <f>MONTH(Tabela1[[#This Row],[data]])</f>
        <v>6</v>
      </c>
      <c r="I12954">
        <f>YEAR(Tabela1[[#This Row],[data]])</f>
        <v>2026</v>
      </c>
    </row>
    <row r="12955" spans="1:9" x14ac:dyDescent="0.25">
      <c r="A12955" t="s">
        <v>6</v>
      </c>
      <c r="B12955" s="1">
        <v>46197</v>
      </c>
      <c r="C12955">
        <v>18</v>
      </c>
      <c r="D12955">
        <v>560.70000000000005</v>
      </c>
      <c r="E12955">
        <v>26.88</v>
      </c>
      <c r="F12955" t="s">
        <v>7</v>
      </c>
      <c r="G12955" t="s">
        <v>11</v>
      </c>
      <c r="H12955" s="5">
        <f>MONTH(Tabela1[[#This Row],[data]])</f>
        <v>6</v>
      </c>
      <c r="I12955">
        <f>YEAR(Tabela1[[#This Row],[data]])</f>
        <v>2026</v>
      </c>
    </row>
    <row r="12956" spans="1:9" x14ac:dyDescent="0.25">
      <c r="A12956" t="s">
        <v>6</v>
      </c>
      <c r="B12956" s="1">
        <v>46197</v>
      </c>
      <c r="C12956">
        <v>19</v>
      </c>
      <c r="D12956">
        <v>520.79999999999995</v>
      </c>
      <c r="E12956">
        <v>7.14</v>
      </c>
      <c r="F12956" t="s">
        <v>7</v>
      </c>
      <c r="G12956" t="s">
        <v>11</v>
      </c>
      <c r="H12956" s="5">
        <f>MONTH(Tabela1[[#This Row],[data]])</f>
        <v>6</v>
      </c>
      <c r="I12956">
        <f>YEAR(Tabela1[[#This Row],[data]])</f>
        <v>2026</v>
      </c>
    </row>
    <row r="12957" spans="1:9" x14ac:dyDescent="0.25">
      <c r="A12957" t="s">
        <v>6</v>
      </c>
      <c r="B12957" s="1">
        <v>46197</v>
      </c>
      <c r="C12957">
        <v>20</v>
      </c>
      <c r="D12957">
        <v>393.54</v>
      </c>
      <c r="E12957">
        <v>0.84</v>
      </c>
      <c r="F12957" t="s">
        <v>7</v>
      </c>
      <c r="G12957" t="s">
        <v>11</v>
      </c>
      <c r="H12957" s="5">
        <f>MONTH(Tabela1[[#This Row],[data]])</f>
        <v>6</v>
      </c>
      <c r="I12957">
        <f>YEAR(Tabela1[[#This Row],[data]])</f>
        <v>2026</v>
      </c>
    </row>
    <row r="12958" spans="1:9" x14ac:dyDescent="0.25">
      <c r="A12958" t="s">
        <v>6</v>
      </c>
      <c r="B12958" s="1">
        <v>46197</v>
      </c>
      <c r="C12958">
        <v>21</v>
      </c>
      <c r="D12958">
        <v>375.06</v>
      </c>
      <c r="E12958">
        <v>0</v>
      </c>
      <c r="F12958" t="s">
        <v>7</v>
      </c>
      <c r="G12958" t="s">
        <v>11</v>
      </c>
      <c r="H12958" s="5">
        <f>MONTH(Tabela1[[#This Row],[data]])</f>
        <v>6</v>
      </c>
      <c r="I12958">
        <f>YEAR(Tabela1[[#This Row],[data]])</f>
        <v>2026</v>
      </c>
    </row>
    <row r="12959" spans="1:9" x14ac:dyDescent="0.25">
      <c r="A12959" t="s">
        <v>6</v>
      </c>
      <c r="B12959" s="1">
        <v>46197</v>
      </c>
      <c r="C12959">
        <v>22</v>
      </c>
      <c r="D12959">
        <v>387.24</v>
      </c>
      <c r="E12959">
        <v>0</v>
      </c>
      <c r="F12959" t="s">
        <v>7</v>
      </c>
      <c r="G12959" t="s">
        <v>11</v>
      </c>
      <c r="H12959" s="5">
        <f>MONTH(Tabela1[[#This Row],[data]])</f>
        <v>6</v>
      </c>
      <c r="I12959">
        <f>YEAR(Tabela1[[#This Row],[data]])</f>
        <v>2026</v>
      </c>
    </row>
    <row r="12960" spans="1:9" x14ac:dyDescent="0.25">
      <c r="A12960" t="s">
        <v>6</v>
      </c>
      <c r="B12960" s="1">
        <v>46197</v>
      </c>
      <c r="C12960">
        <v>23</v>
      </c>
      <c r="D12960">
        <v>301.98</v>
      </c>
      <c r="E12960">
        <v>0</v>
      </c>
      <c r="F12960" t="s">
        <v>7</v>
      </c>
      <c r="G12960" t="s">
        <v>11</v>
      </c>
      <c r="H12960" s="5">
        <f>MONTH(Tabela1[[#This Row],[data]])</f>
        <v>6</v>
      </c>
      <c r="I12960">
        <f>YEAR(Tabela1[[#This Row],[data]])</f>
        <v>2026</v>
      </c>
    </row>
    <row r="12961" spans="1:9" x14ac:dyDescent="0.25">
      <c r="A12961" t="s">
        <v>6</v>
      </c>
      <c r="B12961" s="1">
        <v>46197</v>
      </c>
      <c r="C12961">
        <v>24</v>
      </c>
      <c r="D12961">
        <v>242.34</v>
      </c>
      <c r="E12961">
        <v>0</v>
      </c>
      <c r="F12961" t="s">
        <v>7</v>
      </c>
      <c r="G12961" t="s">
        <v>11</v>
      </c>
      <c r="H12961" s="5">
        <f>MONTH(Tabela1[[#This Row],[data]])</f>
        <v>6</v>
      </c>
      <c r="I12961">
        <f>YEAR(Tabela1[[#This Row],[data]])</f>
        <v>2026</v>
      </c>
    </row>
    <row r="12962" spans="1:9" x14ac:dyDescent="0.25">
      <c r="A12962" t="s">
        <v>6</v>
      </c>
      <c r="B12962" s="1">
        <v>46198</v>
      </c>
      <c r="C12962">
        <v>1</v>
      </c>
      <c r="D12962">
        <v>229.32</v>
      </c>
      <c r="E12962">
        <v>0</v>
      </c>
      <c r="F12962" t="s">
        <v>7</v>
      </c>
      <c r="G12962" t="s">
        <v>11</v>
      </c>
      <c r="H12962" s="5">
        <f>MONTH(Tabela1[[#This Row],[data]])</f>
        <v>6</v>
      </c>
      <c r="I12962">
        <f>YEAR(Tabela1[[#This Row],[data]])</f>
        <v>2026</v>
      </c>
    </row>
    <row r="12963" spans="1:9" x14ac:dyDescent="0.25">
      <c r="A12963" t="s">
        <v>6</v>
      </c>
      <c r="B12963" s="1">
        <v>46198</v>
      </c>
      <c r="C12963">
        <v>2</v>
      </c>
      <c r="D12963">
        <v>230.16</v>
      </c>
      <c r="E12963">
        <v>0</v>
      </c>
      <c r="F12963" t="s">
        <v>7</v>
      </c>
      <c r="G12963" t="s">
        <v>11</v>
      </c>
      <c r="H12963" s="5">
        <f>MONTH(Tabela1[[#This Row],[data]])</f>
        <v>6</v>
      </c>
      <c r="I12963">
        <f>YEAR(Tabela1[[#This Row],[data]])</f>
        <v>2026</v>
      </c>
    </row>
    <row r="12964" spans="1:9" x14ac:dyDescent="0.25">
      <c r="A12964" t="s">
        <v>6</v>
      </c>
      <c r="B12964" s="1">
        <v>46198</v>
      </c>
      <c r="C12964">
        <v>3</v>
      </c>
      <c r="D12964">
        <v>228.06</v>
      </c>
      <c r="E12964">
        <v>0</v>
      </c>
      <c r="F12964" t="s">
        <v>7</v>
      </c>
      <c r="G12964" t="s">
        <v>11</v>
      </c>
      <c r="H12964" s="5">
        <f>MONTH(Tabela1[[#This Row],[data]])</f>
        <v>6</v>
      </c>
      <c r="I12964">
        <f>YEAR(Tabela1[[#This Row],[data]])</f>
        <v>2026</v>
      </c>
    </row>
    <row r="12965" spans="1:9" x14ac:dyDescent="0.25">
      <c r="A12965" t="s">
        <v>6</v>
      </c>
      <c r="B12965" s="1">
        <v>46198</v>
      </c>
      <c r="C12965">
        <v>4</v>
      </c>
      <c r="D12965">
        <v>234.78</v>
      </c>
      <c r="E12965">
        <v>0</v>
      </c>
      <c r="F12965" t="s">
        <v>7</v>
      </c>
      <c r="G12965" t="s">
        <v>11</v>
      </c>
      <c r="H12965" s="5">
        <f>MONTH(Tabela1[[#This Row],[data]])</f>
        <v>6</v>
      </c>
      <c r="I12965">
        <f>YEAR(Tabela1[[#This Row],[data]])</f>
        <v>2026</v>
      </c>
    </row>
    <row r="12966" spans="1:9" x14ac:dyDescent="0.25">
      <c r="A12966" t="s">
        <v>6</v>
      </c>
      <c r="B12966" s="1">
        <v>46198</v>
      </c>
      <c r="C12966">
        <v>5</v>
      </c>
      <c r="D12966">
        <v>232.68</v>
      </c>
      <c r="E12966">
        <v>0</v>
      </c>
      <c r="F12966" t="s">
        <v>7</v>
      </c>
      <c r="G12966" t="s">
        <v>11</v>
      </c>
      <c r="H12966" s="5">
        <f>MONTH(Tabela1[[#This Row],[data]])</f>
        <v>6</v>
      </c>
      <c r="I12966">
        <f>YEAR(Tabela1[[#This Row],[data]])</f>
        <v>2026</v>
      </c>
    </row>
    <row r="12967" spans="1:9" x14ac:dyDescent="0.25">
      <c r="A12967" t="s">
        <v>6</v>
      </c>
      <c r="B12967" s="1">
        <v>46198</v>
      </c>
      <c r="C12967">
        <v>6</v>
      </c>
      <c r="D12967">
        <v>225.96</v>
      </c>
      <c r="E12967">
        <v>0</v>
      </c>
      <c r="F12967" t="s">
        <v>7</v>
      </c>
      <c r="G12967" t="s">
        <v>11</v>
      </c>
      <c r="H12967" s="5">
        <f>MONTH(Tabela1[[#This Row],[data]])</f>
        <v>6</v>
      </c>
      <c r="I12967">
        <f>YEAR(Tabela1[[#This Row],[data]])</f>
        <v>2026</v>
      </c>
    </row>
    <row r="12968" spans="1:9" x14ac:dyDescent="0.25">
      <c r="A12968" t="s">
        <v>6</v>
      </c>
      <c r="B12968" s="1">
        <v>46198</v>
      </c>
      <c r="C12968">
        <v>7</v>
      </c>
      <c r="D12968">
        <v>240.24</v>
      </c>
      <c r="E12968">
        <v>0</v>
      </c>
      <c r="F12968" t="s">
        <v>7</v>
      </c>
      <c r="G12968" t="s">
        <v>11</v>
      </c>
      <c r="H12968" s="5">
        <f>MONTH(Tabela1[[#This Row],[data]])</f>
        <v>6</v>
      </c>
      <c r="I12968">
        <f>YEAR(Tabela1[[#This Row],[data]])</f>
        <v>2026</v>
      </c>
    </row>
    <row r="12969" spans="1:9" x14ac:dyDescent="0.25">
      <c r="A12969" t="s">
        <v>6</v>
      </c>
      <c r="B12969" s="1">
        <v>46198</v>
      </c>
      <c r="C12969">
        <v>8</v>
      </c>
      <c r="D12969">
        <v>235.2</v>
      </c>
      <c r="E12969">
        <v>0</v>
      </c>
      <c r="F12969" t="s">
        <v>7</v>
      </c>
      <c r="G12969" t="s">
        <v>11</v>
      </c>
      <c r="H12969" s="5">
        <f>MONTH(Tabela1[[#This Row],[data]])</f>
        <v>6</v>
      </c>
      <c r="I12969">
        <f>YEAR(Tabela1[[#This Row],[data]])</f>
        <v>2026</v>
      </c>
    </row>
    <row r="12970" spans="1:9" x14ac:dyDescent="0.25">
      <c r="A12970" t="s">
        <v>6</v>
      </c>
      <c r="B12970" s="1">
        <v>46198</v>
      </c>
      <c r="C12970">
        <v>9</v>
      </c>
      <c r="D12970">
        <v>279.3</v>
      </c>
      <c r="E12970">
        <v>0</v>
      </c>
      <c r="F12970" t="s">
        <v>7</v>
      </c>
      <c r="G12970" t="s">
        <v>11</v>
      </c>
      <c r="H12970" s="5">
        <f>MONTH(Tabela1[[#This Row],[data]])</f>
        <v>6</v>
      </c>
      <c r="I12970">
        <f>YEAR(Tabela1[[#This Row],[data]])</f>
        <v>2026</v>
      </c>
    </row>
    <row r="12971" spans="1:9" x14ac:dyDescent="0.25">
      <c r="A12971" t="s">
        <v>6</v>
      </c>
      <c r="B12971" s="1">
        <v>46198</v>
      </c>
      <c r="C12971">
        <v>10</v>
      </c>
      <c r="D12971">
        <v>386.4</v>
      </c>
      <c r="E12971">
        <v>0</v>
      </c>
      <c r="F12971" t="s">
        <v>7</v>
      </c>
      <c r="G12971" t="s">
        <v>11</v>
      </c>
      <c r="H12971" s="5">
        <f>MONTH(Tabela1[[#This Row],[data]])</f>
        <v>6</v>
      </c>
      <c r="I12971">
        <f>YEAR(Tabela1[[#This Row],[data]])</f>
        <v>2026</v>
      </c>
    </row>
    <row r="12972" spans="1:9" x14ac:dyDescent="0.25">
      <c r="A12972" t="s">
        <v>6</v>
      </c>
      <c r="B12972" s="1">
        <v>46198</v>
      </c>
      <c r="C12972">
        <v>11</v>
      </c>
      <c r="D12972">
        <v>506.52</v>
      </c>
      <c r="E12972">
        <v>5.04</v>
      </c>
      <c r="F12972" t="s">
        <v>7</v>
      </c>
      <c r="G12972" t="s">
        <v>11</v>
      </c>
      <c r="H12972" s="5">
        <f>MONTH(Tabela1[[#This Row],[data]])</f>
        <v>6</v>
      </c>
      <c r="I12972">
        <f>YEAR(Tabela1[[#This Row],[data]])</f>
        <v>2026</v>
      </c>
    </row>
    <row r="12973" spans="1:9" x14ac:dyDescent="0.25">
      <c r="A12973" t="s">
        <v>6</v>
      </c>
      <c r="B12973" s="1">
        <v>46198</v>
      </c>
      <c r="C12973">
        <v>12</v>
      </c>
      <c r="D12973">
        <v>565.74</v>
      </c>
      <c r="E12973">
        <v>25.2</v>
      </c>
      <c r="F12973" t="s">
        <v>7</v>
      </c>
      <c r="G12973" t="s">
        <v>11</v>
      </c>
      <c r="H12973" s="5">
        <f>MONTH(Tabela1[[#This Row],[data]])</f>
        <v>6</v>
      </c>
      <c r="I12973">
        <f>YEAR(Tabela1[[#This Row],[data]])</f>
        <v>2026</v>
      </c>
    </row>
    <row r="12974" spans="1:9" x14ac:dyDescent="0.25">
      <c r="A12974" t="s">
        <v>6</v>
      </c>
      <c r="B12974" s="1">
        <v>46198</v>
      </c>
      <c r="C12974">
        <v>13</v>
      </c>
      <c r="D12974">
        <v>572.46</v>
      </c>
      <c r="E12974">
        <v>52.92</v>
      </c>
      <c r="F12974" t="s">
        <v>7</v>
      </c>
      <c r="G12974" t="s">
        <v>11</v>
      </c>
      <c r="H12974" s="5">
        <f>MONTH(Tabela1[[#This Row],[data]])</f>
        <v>6</v>
      </c>
      <c r="I12974">
        <f>YEAR(Tabela1[[#This Row],[data]])</f>
        <v>2026</v>
      </c>
    </row>
    <row r="12975" spans="1:9" x14ac:dyDescent="0.25">
      <c r="A12975" t="s">
        <v>6</v>
      </c>
      <c r="B12975" s="1">
        <v>46198</v>
      </c>
      <c r="C12975">
        <v>14</v>
      </c>
      <c r="D12975">
        <v>569.1</v>
      </c>
      <c r="E12975">
        <v>41.16</v>
      </c>
      <c r="F12975" t="s">
        <v>7</v>
      </c>
      <c r="G12975" t="s">
        <v>11</v>
      </c>
      <c r="H12975" s="5">
        <f>MONTH(Tabela1[[#This Row],[data]])</f>
        <v>6</v>
      </c>
      <c r="I12975">
        <f>YEAR(Tabela1[[#This Row],[data]])</f>
        <v>2026</v>
      </c>
    </row>
    <row r="12976" spans="1:9" x14ac:dyDescent="0.25">
      <c r="A12976" t="s">
        <v>6</v>
      </c>
      <c r="B12976" s="1">
        <v>46198</v>
      </c>
      <c r="C12976">
        <v>15</v>
      </c>
      <c r="D12976">
        <v>574.55999999999995</v>
      </c>
      <c r="E12976">
        <v>38.22</v>
      </c>
      <c r="F12976" t="s">
        <v>7</v>
      </c>
      <c r="G12976" t="s">
        <v>11</v>
      </c>
      <c r="H12976" s="5">
        <f>MONTH(Tabela1[[#This Row],[data]])</f>
        <v>6</v>
      </c>
      <c r="I12976">
        <f>YEAR(Tabela1[[#This Row],[data]])</f>
        <v>2026</v>
      </c>
    </row>
    <row r="12977" spans="1:9" x14ac:dyDescent="0.25">
      <c r="A12977" t="s">
        <v>6</v>
      </c>
      <c r="B12977" s="1">
        <v>46198</v>
      </c>
      <c r="C12977">
        <v>16</v>
      </c>
      <c r="D12977">
        <v>557.76</v>
      </c>
      <c r="E12977">
        <v>29.4</v>
      </c>
      <c r="F12977" t="s">
        <v>7</v>
      </c>
      <c r="G12977" t="s">
        <v>11</v>
      </c>
      <c r="H12977" s="5">
        <f>MONTH(Tabela1[[#This Row],[data]])</f>
        <v>6</v>
      </c>
      <c r="I12977">
        <f>YEAR(Tabela1[[#This Row],[data]])</f>
        <v>2026</v>
      </c>
    </row>
    <row r="12978" spans="1:9" x14ac:dyDescent="0.25">
      <c r="A12978" t="s">
        <v>6</v>
      </c>
      <c r="B12978" s="1">
        <v>46198</v>
      </c>
      <c r="C12978">
        <v>17</v>
      </c>
      <c r="D12978">
        <v>561.96</v>
      </c>
      <c r="E12978">
        <v>49.98</v>
      </c>
      <c r="F12978" t="s">
        <v>7</v>
      </c>
      <c r="G12978" t="s">
        <v>11</v>
      </c>
      <c r="H12978" s="5">
        <f>MONTH(Tabela1[[#This Row],[data]])</f>
        <v>6</v>
      </c>
      <c r="I12978">
        <f>YEAR(Tabela1[[#This Row],[data]])</f>
        <v>2026</v>
      </c>
    </row>
    <row r="12979" spans="1:9" x14ac:dyDescent="0.25">
      <c r="A12979" t="s">
        <v>6</v>
      </c>
      <c r="B12979" s="1">
        <v>46198</v>
      </c>
      <c r="C12979">
        <v>18</v>
      </c>
      <c r="D12979">
        <v>576.66</v>
      </c>
      <c r="E12979">
        <v>22.26</v>
      </c>
      <c r="F12979" t="s">
        <v>7</v>
      </c>
      <c r="G12979" t="s">
        <v>11</v>
      </c>
      <c r="H12979" s="5">
        <f>MONTH(Tabela1[[#This Row],[data]])</f>
        <v>6</v>
      </c>
      <c r="I12979">
        <f>YEAR(Tabela1[[#This Row],[data]])</f>
        <v>2026</v>
      </c>
    </row>
    <row r="12980" spans="1:9" x14ac:dyDescent="0.25">
      <c r="A12980" t="s">
        <v>6</v>
      </c>
      <c r="B12980" s="1">
        <v>46198</v>
      </c>
      <c r="C12980">
        <v>19</v>
      </c>
      <c r="D12980">
        <v>580.44000000000005</v>
      </c>
      <c r="E12980">
        <v>6.3</v>
      </c>
      <c r="F12980" t="s">
        <v>7</v>
      </c>
      <c r="G12980" t="s">
        <v>11</v>
      </c>
      <c r="H12980" s="5">
        <f>MONTH(Tabela1[[#This Row],[data]])</f>
        <v>6</v>
      </c>
      <c r="I12980">
        <f>YEAR(Tabela1[[#This Row],[data]])</f>
        <v>2026</v>
      </c>
    </row>
    <row r="12981" spans="1:9" x14ac:dyDescent="0.25">
      <c r="A12981" t="s">
        <v>6</v>
      </c>
      <c r="B12981" s="1">
        <v>46198</v>
      </c>
      <c r="C12981">
        <v>20</v>
      </c>
      <c r="D12981">
        <v>577.08000000000004</v>
      </c>
      <c r="E12981">
        <v>10.5</v>
      </c>
      <c r="F12981" t="s">
        <v>7</v>
      </c>
      <c r="G12981" t="s">
        <v>11</v>
      </c>
      <c r="H12981" s="5">
        <f>MONTH(Tabela1[[#This Row],[data]])</f>
        <v>6</v>
      </c>
      <c r="I12981">
        <f>YEAR(Tabela1[[#This Row],[data]])</f>
        <v>2026</v>
      </c>
    </row>
    <row r="12982" spans="1:9" x14ac:dyDescent="0.25">
      <c r="A12982" t="s">
        <v>6</v>
      </c>
      <c r="B12982" s="1">
        <v>46198</v>
      </c>
      <c r="C12982">
        <v>21</v>
      </c>
      <c r="D12982">
        <v>569.94000000000005</v>
      </c>
      <c r="E12982">
        <v>20.58</v>
      </c>
      <c r="F12982" t="s">
        <v>7</v>
      </c>
      <c r="G12982" t="s">
        <v>11</v>
      </c>
      <c r="H12982" s="5">
        <f>MONTH(Tabela1[[#This Row],[data]])</f>
        <v>6</v>
      </c>
      <c r="I12982">
        <f>YEAR(Tabela1[[#This Row],[data]])</f>
        <v>2026</v>
      </c>
    </row>
    <row r="12983" spans="1:9" x14ac:dyDescent="0.25">
      <c r="A12983" t="s">
        <v>6</v>
      </c>
      <c r="B12983" s="1">
        <v>46198</v>
      </c>
      <c r="C12983">
        <v>22</v>
      </c>
      <c r="D12983">
        <v>540.96</v>
      </c>
      <c r="E12983">
        <v>15.96</v>
      </c>
      <c r="F12983" t="s">
        <v>7</v>
      </c>
      <c r="G12983" t="s">
        <v>11</v>
      </c>
      <c r="H12983" s="5">
        <f>MONTH(Tabela1[[#This Row],[data]])</f>
        <v>6</v>
      </c>
      <c r="I12983">
        <f>YEAR(Tabela1[[#This Row],[data]])</f>
        <v>2026</v>
      </c>
    </row>
    <row r="12984" spans="1:9" x14ac:dyDescent="0.25">
      <c r="A12984" t="s">
        <v>6</v>
      </c>
      <c r="B12984" s="1">
        <v>46198</v>
      </c>
      <c r="C12984">
        <v>23</v>
      </c>
      <c r="D12984">
        <v>375.9</v>
      </c>
      <c r="E12984">
        <v>0</v>
      </c>
      <c r="F12984" t="s">
        <v>7</v>
      </c>
      <c r="G12984" t="s">
        <v>11</v>
      </c>
      <c r="H12984" s="5">
        <f>MONTH(Tabela1[[#This Row],[data]])</f>
        <v>6</v>
      </c>
      <c r="I12984">
        <f>YEAR(Tabela1[[#This Row],[data]])</f>
        <v>2026</v>
      </c>
    </row>
    <row r="12985" spans="1:9" x14ac:dyDescent="0.25">
      <c r="A12985" t="s">
        <v>6</v>
      </c>
      <c r="B12985" s="1">
        <v>46198</v>
      </c>
      <c r="C12985">
        <v>24</v>
      </c>
      <c r="D12985">
        <v>274.26</v>
      </c>
      <c r="E12985">
        <v>0</v>
      </c>
      <c r="F12985" t="s">
        <v>7</v>
      </c>
      <c r="G12985" t="s">
        <v>11</v>
      </c>
      <c r="H12985" s="5">
        <f>MONTH(Tabela1[[#This Row],[data]])</f>
        <v>6</v>
      </c>
      <c r="I12985">
        <f>YEAR(Tabela1[[#This Row],[data]])</f>
        <v>2026</v>
      </c>
    </row>
    <row r="12986" spans="1:9" x14ac:dyDescent="0.25">
      <c r="A12986" t="s">
        <v>6</v>
      </c>
      <c r="B12986" s="1">
        <v>46199</v>
      </c>
      <c r="C12986">
        <v>1</v>
      </c>
      <c r="D12986">
        <v>246.96</v>
      </c>
      <c r="E12986">
        <v>0</v>
      </c>
      <c r="F12986" t="s">
        <v>7</v>
      </c>
      <c r="G12986" t="s">
        <v>11</v>
      </c>
      <c r="H12986" s="5">
        <f>MONTH(Tabela1[[#This Row],[data]])</f>
        <v>6</v>
      </c>
      <c r="I12986">
        <f>YEAR(Tabela1[[#This Row],[data]])</f>
        <v>2026</v>
      </c>
    </row>
    <row r="12987" spans="1:9" x14ac:dyDescent="0.25">
      <c r="A12987" t="s">
        <v>6</v>
      </c>
      <c r="B12987" s="1">
        <v>46199</v>
      </c>
      <c r="C12987">
        <v>2</v>
      </c>
      <c r="D12987">
        <v>242.76</v>
      </c>
      <c r="E12987">
        <v>0</v>
      </c>
      <c r="F12987" t="s">
        <v>7</v>
      </c>
      <c r="G12987" t="s">
        <v>11</v>
      </c>
      <c r="H12987" s="5">
        <f>MONTH(Tabela1[[#This Row],[data]])</f>
        <v>6</v>
      </c>
      <c r="I12987">
        <f>YEAR(Tabela1[[#This Row],[data]])</f>
        <v>2026</v>
      </c>
    </row>
    <row r="12988" spans="1:9" x14ac:dyDescent="0.25">
      <c r="A12988" t="s">
        <v>6</v>
      </c>
      <c r="B12988" s="1">
        <v>46199</v>
      </c>
      <c r="C12988">
        <v>3</v>
      </c>
      <c r="D12988">
        <v>241.5</v>
      </c>
      <c r="E12988">
        <v>0</v>
      </c>
      <c r="F12988" t="s">
        <v>7</v>
      </c>
      <c r="G12988" t="s">
        <v>11</v>
      </c>
      <c r="H12988" s="5">
        <f>MONTH(Tabela1[[#This Row],[data]])</f>
        <v>6</v>
      </c>
      <c r="I12988">
        <f>YEAR(Tabela1[[#This Row],[data]])</f>
        <v>2026</v>
      </c>
    </row>
    <row r="12989" spans="1:9" x14ac:dyDescent="0.25">
      <c r="A12989" t="s">
        <v>6</v>
      </c>
      <c r="B12989" s="1">
        <v>46199</v>
      </c>
      <c r="C12989">
        <v>4</v>
      </c>
      <c r="D12989">
        <v>247.8</v>
      </c>
      <c r="E12989">
        <v>0</v>
      </c>
      <c r="F12989" t="s">
        <v>7</v>
      </c>
      <c r="G12989" t="s">
        <v>11</v>
      </c>
      <c r="H12989" s="5">
        <f>MONTH(Tabela1[[#This Row],[data]])</f>
        <v>6</v>
      </c>
      <c r="I12989">
        <f>YEAR(Tabela1[[#This Row],[data]])</f>
        <v>2026</v>
      </c>
    </row>
    <row r="12990" spans="1:9" x14ac:dyDescent="0.25">
      <c r="A12990" t="s">
        <v>6</v>
      </c>
      <c r="B12990" s="1">
        <v>46199</v>
      </c>
      <c r="C12990">
        <v>5</v>
      </c>
      <c r="D12990">
        <v>240.24</v>
      </c>
      <c r="E12990">
        <v>0</v>
      </c>
      <c r="F12990" t="s">
        <v>7</v>
      </c>
      <c r="G12990" t="s">
        <v>11</v>
      </c>
      <c r="H12990" s="5">
        <f>MONTH(Tabela1[[#This Row],[data]])</f>
        <v>6</v>
      </c>
      <c r="I12990">
        <f>YEAR(Tabela1[[#This Row],[data]])</f>
        <v>2026</v>
      </c>
    </row>
    <row r="12991" spans="1:9" x14ac:dyDescent="0.25">
      <c r="A12991" t="s">
        <v>6</v>
      </c>
      <c r="B12991" s="1">
        <v>46199</v>
      </c>
      <c r="C12991">
        <v>6</v>
      </c>
      <c r="D12991">
        <v>240.66</v>
      </c>
      <c r="E12991">
        <v>0</v>
      </c>
      <c r="F12991" t="s">
        <v>7</v>
      </c>
      <c r="G12991" t="s">
        <v>11</v>
      </c>
      <c r="H12991" s="5">
        <f>MONTH(Tabela1[[#This Row],[data]])</f>
        <v>6</v>
      </c>
      <c r="I12991">
        <f>YEAR(Tabela1[[#This Row],[data]])</f>
        <v>2026</v>
      </c>
    </row>
    <row r="12992" spans="1:9" x14ac:dyDescent="0.25">
      <c r="A12992" t="s">
        <v>6</v>
      </c>
      <c r="B12992" s="1">
        <v>46199</v>
      </c>
      <c r="C12992">
        <v>7</v>
      </c>
      <c r="D12992">
        <v>248.64</v>
      </c>
      <c r="E12992">
        <v>0</v>
      </c>
      <c r="F12992" t="s">
        <v>7</v>
      </c>
      <c r="G12992" t="s">
        <v>11</v>
      </c>
      <c r="H12992" s="5">
        <f>MONTH(Tabela1[[#This Row],[data]])</f>
        <v>6</v>
      </c>
      <c r="I12992">
        <f>YEAR(Tabela1[[#This Row],[data]])</f>
        <v>2026</v>
      </c>
    </row>
    <row r="12993" spans="1:9" x14ac:dyDescent="0.25">
      <c r="A12993" t="s">
        <v>6</v>
      </c>
      <c r="B12993" s="1">
        <v>46199</v>
      </c>
      <c r="C12993">
        <v>8</v>
      </c>
      <c r="D12993">
        <v>245.28</v>
      </c>
      <c r="E12993">
        <v>0</v>
      </c>
      <c r="F12993" t="s">
        <v>7</v>
      </c>
      <c r="G12993" t="s">
        <v>11</v>
      </c>
      <c r="H12993" s="5">
        <f>MONTH(Tabela1[[#This Row],[data]])</f>
        <v>6</v>
      </c>
      <c r="I12993">
        <f>YEAR(Tabela1[[#This Row],[data]])</f>
        <v>2026</v>
      </c>
    </row>
    <row r="12994" spans="1:9" x14ac:dyDescent="0.25">
      <c r="A12994" t="s">
        <v>6</v>
      </c>
      <c r="B12994" s="1">
        <v>46199</v>
      </c>
      <c r="C12994">
        <v>9</v>
      </c>
      <c r="D12994">
        <v>311.64</v>
      </c>
      <c r="E12994">
        <v>0</v>
      </c>
      <c r="F12994" t="s">
        <v>7</v>
      </c>
      <c r="G12994" t="s">
        <v>11</v>
      </c>
      <c r="H12994" s="5">
        <f>MONTH(Tabela1[[#This Row],[data]])</f>
        <v>6</v>
      </c>
      <c r="I12994">
        <f>YEAR(Tabela1[[#This Row],[data]])</f>
        <v>2026</v>
      </c>
    </row>
    <row r="12995" spans="1:9" x14ac:dyDescent="0.25">
      <c r="A12995" t="s">
        <v>6</v>
      </c>
      <c r="B12995" s="1">
        <v>46199</v>
      </c>
      <c r="C12995">
        <v>10</v>
      </c>
      <c r="D12995">
        <v>385.14</v>
      </c>
      <c r="E12995">
        <v>0</v>
      </c>
      <c r="F12995" t="s">
        <v>7</v>
      </c>
      <c r="G12995" t="s">
        <v>11</v>
      </c>
      <c r="H12995" s="5">
        <f>MONTH(Tabela1[[#This Row],[data]])</f>
        <v>6</v>
      </c>
      <c r="I12995">
        <f>YEAR(Tabela1[[#This Row],[data]])</f>
        <v>2026</v>
      </c>
    </row>
    <row r="12996" spans="1:9" x14ac:dyDescent="0.25">
      <c r="A12996" t="s">
        <v>6</v>
      </c>
      <c r="B12996" s="1">
        <v>46199</v>
      </c>
      <c r="C12996">
        <v>11</v>
      </c>
      <c r="D12996">
        <v>522.48</v>
      </c>
      <c r="E12996">
        <v>10.5</v>
      </c>
      <c r="F12996" t="s">
        <v>7</v>
      </c>
      <c r="G12996" t="s">
        <v>11</v>
      </c>
      <c r="H12996" s="5">
        <f>MONTH(Tabela1[[#This Row],[data]])</f>
        <v>6</v>
      </c>
      <c r="I12996">
        <f>YEAR(Tabela1[[#This Row],[data]])</f>
        <v>2026</v>
      </c>
    </row>
    <row r="12997" spans="1:9" x14ac:dyDescent="0.25">
      <c r="A12997" t="s">
        <v>6</v>
      </c>
      <c r="B12997" s="1">
        <v>46199</v>
      </c>
      <c r="C12997">
        <v>12</v>
      </c>
      <c r="D12997">
        <v>564.05999999999995</v>
      </c>
      <c r="E12997">
        <v>28.98</v>
      </c>
      <c r="F12997" t="s">
        <v>7</v>
      </c>
      <c r="G12997" t="s">
        <v>11</v>
      </c>
      <c r="H12997" s="5">
        <f>MONTH(Tabela1[[#This Row],[data]])</f>
        <v>6</v>
      </c>
      <c r="I12997">
        <f>YEAR(Tabela1[[#This Row],[data]])</f>
        <v>2026</v>
      </c>
    </row>
    <row r="12998" spans="1:9" x14ac:dyDescent="0.25">
      <c r="A12998" t="s">
        <v>6</v>
      </c>
      <c r="B12998" s="1">
        <v>46199</v>
      </c>
      <c r="C12998">
        <v>13</v>
      </c>
      <c r="D12998">
        <v>577.08000000000004</v>
      </c>
      <c r="E12998">
        <v>44.1</v>
      </c>
      <c r="F12998" t="s">
        <v>7</v>
      </c>
      <c r="G12998" t="s">
        <v>11</v>
      </c>
      <c r="H12998" s="5">
        <f>MONTH(Tabela1[[#This Row],[data]])</f>
        <v>6</v>
      </c>
      <c r="I12998">
        <f>YEAR(Tabela1[[#This Row],[data]])</f>
        <v>2026</v>
      </c>
    </row>
    <row r="12999" spans="1:9" x14ac:dyDescent="0.25">
      <c r="A12999" t="s">
        <v>6</v>
      </c>
      <c r="B12999" s="1">
        <v>46199</v>
      </c>
      <c r="C12999">
        <v>14</v>
      </c>
      <c r="D12999">
        <v>581.70000000000005</v>
      </c>
      <c r="E12999">
        <v>42.42</v>
      </c>
      <c r="F12999" t="s">
        <v>7</v>
      </c>
      <c r="G12999" t="s">
        <v>11</v>
      </c>
      <c r="H12999" s="5">
        <f>MONTH(Tabela1[[#This Row],[data]])</f>
        <v>6</v>
      </c>
      <c r="I12999">
        <f>YEAR(Tabela1[[#This Row],[data]])</f>
        <v>2026</v>
      </c>
    </row>
    <row r="13000" spans="1:9" x14ac:dyDescent="0.25">
      <c r="A13000" t="s">
        <v>6</v>
      </c>
      <c r="B13000" s="1">
        <v>46199</v>
      </c>
      <c r="C13000">
        <v>15</v>
      </c>
      <c r="D13000">
        <v>590.94000000000005</v>
      </c>
      <c r="E13000">
        <v>51.24</v>
      </c>
      <c r="F13000" t="s">
        <v>7</v>
      </c>
      <c r="G13000" t="s">
        <v>11</v>
      </c>
      <c r="H13000" s="5">
        <f>MONTH(Tabela1[[#This Row],[data]])</f>
        <v>6</v>
      </c>
      <c r="I13000">
        <f>YEAR(Tabela1[[#This Row],[data]])</f>
        <v>2026</v>
      </c>
    </row>
    <row r="13001" spans="1:9" x14ac:dyDescent="0.25">
      <c r="A13001" t="s">
        <v>6</v>
      </c>
      <c r="B13001" s="1">
        <v>46199</v>
      </c>
      <c r="C13001">
        <v>16</v>
      </c>
      <c r="D13001">
        <v>582.12</v>
      </c>
      <c r="E13001">
        <v>50.82</v>
      </c>
      <c r="F13001" t="s">
        <v>7</v>
      </c>
      <c r="G13001" t="s">
        <v>11</v>
      </c>
      <c r="H13001" s="5">
        <f>MONTH(Tabela1[[#This Row],[data]])</f>
        <v>6</v>
      </c>
      <c r="I13001">
        <f>YEAR(Tabela1[[#This Row],[data]])</f>
        <v>2026</v>
      </c>
    </row>
    <row r="13002" spans="1:9" x14ac:dyDescent="0.25">
      <c r="A13002" t="s">
        <v>6</v>
      </c>
      <c r="B13002" s="1">
        <v>46199</v>
      </c>
      <c r="C13002">
        <v>17</v>
      </c>
      <c r="D13002">
        <v>582.54</v>
      </c>
      <c r="E13002">
        <v>52.92</v>
      </c>
      <c r="F13002" t="s">
        <v>7</v>
      </c>
      <c r="G13002" t="s">
        <v>11</v>
      </c>
      <c r="H13002" s="5">
        <f>MONTH(Tabela1[[#This Row],[data]])</f>
        <v>6</v>
      </c>
      <c r="I13002">
        <f>YEAR(Tabela1[[#This Row],[data]])</f>
        <v>2026</v>
      </c>
    </row>
    <row r="13003" spans="1:9" x14ac:dyDescent="0.25">
      <c r="A13003" t="s">
        <v>6</v>
      </c>
      <c r="B13003" s="1">
        <v>46199</v>
      </c>
      <c r="C13003">
        <v>18</v>
      </c>
      <c r="D13003">
        <v>577.5</v>
      </c>
      <c r="E13003">
        <v>45.78</v>
      </c>
      <c r="F13003" t="s">
        <v>7</v>
      </c>
      <c r="G13003" t="s">
        <v>11</v>
      </c>
      <c r="H13003" s="5">
        <f>MONTH(Tabela1[[#This Row],[data]])</f>
        <v>6</v>
      </c>
      <c r="I13003">
        <f>YEAR(Tabela1[[#This Row],[data]])</f>
        <v>2026</v>
      </c>
    </row>
    <row r="13004" spans="1:9" x14ac:dyDescent="0.25">
      <c r="A13004" t="s">
        <v>6</v>
      </c>
      <c r="B13004" s="1">
        <v>46199</v>
      </c>
      <c r="C13004">
        <v>19</v>
      </c>
      <c r="D13004">
        <v>591.78</v>
      </c>
      <c r="E13004">
        <v>33.18</v>
      </c>
      <c r="F13004" t="s">
        <v>7</v>
      </c>
      <c r="G13004" t="s">
        <v>11</v>
      </c>
      <c r="H13004" s="5">
        <f>MONTH(Tabela1[[#This Row],[data]])</f>
        <v>6</v>
      </c>
      <c r="I13004">
        <f>YEAR(Tabela1[[#This Row],[data]])</f>
        <v>2026</v>
      </c>
    </row>
    <row r="13005" spans="1:9" x14ac:dyDescent="0.25">
      <c r="A13005" t="s">
        <v>6</v>
      </c>
      <c r="B13005" s="1">
        <v>46199</v>
      </c>
      <c r="C13005">
        <v>20</v>
      </c>
      <c r="D13005">
        <v>585.05999999999995</v>
      </c>
      <c r="E13005">
        <v>33.18</v>
      </c>
      <c r="F13005" t="s">
        <v>7</v>
      </c>
      <c r="G13005" t="s">
        <v>11</v>
      </c>
      <c r="H13005" s="5">
        <f>MONTH(Tabela1[[#This Row],[data]])</f>
        <v>6</v>
      </c>
      <c r="I13005">
        <f>YEAR(Tabela1[[#This Row],[data]])</f>
        <v>2026</v>
      </c>
    </row>
    <row r="13006" spans="1:9" x14ac:dyDescent="0.25">
      <c r="A13006" t="s">
        <v>6</v>
      </c>
      <c r="B13006" s="1">
        <v>46199</v>
      </c>
      <c r="C13006">
        <v>21</v>
      </c>
      <c r="D13006">
        <v>585.48</v>
      </c>
      <c r="E13006">
        <v>33.6</v>
      </c>
      <c r="F13006" t="s">
        <v>7</v>
      </c>
      <c r="G13006" t="s">
        <v>11</v>
      </c>
      <c r="H13006" s="5">
        <f>MONTH(Tabela1[[#This Row],[data]])</f>
        <v>6</v>
      </c>
      <c r="I13006">
        <f>YEAR(Tabela1[[#This Row],[data]])</f>
        <v>2026</v>
      </c>
    </row>
    <row r="13007" spans="1:9" x14ac:dyDescent="0.25">
      <c r="A13007" t="s">
        <v>6</v>
      </c>
      <c r="B13007" s="1">
        <v>46199</v>
      </c>
      <c r="C13007">
        <v>22</v>
      </c>
      <c r="D13007">
        <v>562.38</v>
      </c>
      <c r="E13007">
        <v>28.14</v>
      </c>
      <c r="F13007" t="s">
        <v>7</v>
      </c>
      <c r="G13007" t="s">
        <v>11</v>
      </c>
      <c r="H13007" s="5">
        <f>MONTH(Tabela1[[#This Row],[data]])</f>
        <v>6</v>
      </c>
      <c r="I13007">
        <f>YEAR(Tabela1[[#This Row],[data]])</f>
        <v>2026</v>
      </c>
    </row>
    <row r="13008" spans="1:9" x14ac:dyDescent="0.25">
      <c r="A13008" t="s">
        <v>6</v>
      </c>
      <c r="B13008" s="1">
        <v>46199</v>
      </c>
      <c r="C13008">
        <v>23</v>
      </c>
      <c r="D13008">
        <v>378.84</v>
      </c>
      <c r="E13008">
        <v>0</v>
      </c>
      <c r="F13008" t="s">
        <v>7</v>
      </c>
      <c r="G13008" t="s">
        <v>11</v>
      </c>
      <c r="H13008" s="5">
        <f>MONTH(Tabela1[[#This Row],[data]])</f>
        <v>6</v>
      </c>
      <c r="I13008">
        <f>YEAR(Tabela1[[#This Row],[data]])</f>
        <v>2026</v>
      </c>
    </row>
    <row r="13009" spans="1:9" x14ac:dyDescent="0.25">
      <c r="A13009" t="s">
        <v>6</v>
      </c>
      <c r="B13009" s="1">
        <v>46199</v>
      </c>
      <c r="C13009">
        <v>24</v>
      </c>
      <c r="D13009">
        <v>271.32</v>
      </c>
      <c r="E13009">
        <v>0</v>
      </c>
      <c r="F13009" t="s">
        <v>7</v>
      </c>
      <c r="G13009" t="s">
        <v>11</v>
      </c>
      <c r="H13009" s="5">
        <f>MONTH(Tabela1[[#This Row],[data]])</f>
        <v>6</v>
      </c>
      <c r="I13009">
        <f>YEAR(Tabela1[[#This Row],[data]])</f>
        <v>2026</v>
      </c>
    </row>
    <row r="13010" spans="1:9" x14ac:dyDescent="0.25">
      <c r="A13010" t="s">
        <v>6</v>
      </c>
      <c r="B13010" s="1">
        <v>46200</v>
      </c>
      <c r="C13010">
        <v>1</v>
      </c>
      <c r="D13010">
        <v>245.28</v>
      </c>
      <c r="E13010">
        <v>0</v>
      </c>
      <c r="F13010" t="s">
        <v>7</v>
      </c>
      <c r="G13010" t="s">
        <v>11</v>
      </c>
      <c r="H13010" s="5">
        <f>MONTH(Tabela1[[#This Row],[data]])</f>
        <v>6</v>
      </c>
      <c r="I13010">
        <f>YEAR(Tabela1[[#This Row],[data]])</f>
        <v>2026</v>
      </c>
    </row>
    <row r="13011" spans="1:9" x14ac:dyDescent="0.25">
      <c r="A13011" t="s">
        <v>6</v>
      </c>
      <c r="B13011" s="1">
        <v>46200</v>
      </c>
      <c r="C13011">
        <v>2</v>
      </c>
      <c r="D13011">
        <v>245.7</v>
      </c>
      <c r="E13011">
        <v>0</v>
      </c>
      <c r="F13011" t="s">
        <v>7</v>
      </c>
      <c r="G13011" t="s">
        <v>11</v>
      </c>
      <c r="H13011" s="5">
        <f>MONTH(Tabela1[[#This Row],[data]])</f>
        <v>6</v>
      </c>
      <c r="I13011">
        <f>YEAR(Tabela1[[#This Row],[data]])</f>
        <v>2026</v>
      </c>
    </row>
    <row r="13012" spans="1:9" x14ac:dyDescent="0.25">
      <c r="A13012" t="s">
        <v>6</v>
      </c>
      <c r="B13012" s="1">
        <v>46200</v>
      </c>
      <c r="C13012">
        <v>3</v>
      </c>
      <c r="D13012">
        <v>238.98</v>
      </c>
      <c r="E13012">
        <v>0</v>
      </c>
      <c r="F13012" t="s">
        <v>7</v>
      </c>
      <c r="G13012" t="s">
        <v>11</v>
      </c>
      <c r="H13012" s="5">
        <f>MONTH(Tabela1[[#This Row],[data]])</f>
        <v>6</v>
      </c>
      <c r="I13012">
        <f>YEAR(Tabela1[[#This Row],[data]])</f>
        <v>2026</v>
      </c>
    </row>
    <row r="13013" spans="1:9" x14ac:dyDescent="0.25">
      <c r="A13013" t="s">
        <v>6</v>
      </c>
      <c r="B13013" s="1">
        <v>46200</v>
      </c>
      <c r="C13013">
        <v>4</v>
      </c>
      <c r="D13013">
        <v>242.34</v>
      </c>
      <c r="E13013">
        <v>0</v>
      </c>
      <c r="F13013" t="s">
        <v>7</v>
      </c>
      <c r="G13013" t="s">
        <v>11</v>
      </c>
      <c r="H13013" s="5">
        <f>MONTH(Tabela1[[#This Row],[data]])</f>
        <v>6</v>
      </c>
      <c r="I13013">
        <f>YEAR(Tabela1[[#This Row],[data]])</f>
        <v>2026</v>
      </c>
    </row>
    <row r="13014" spans="1:9" x14ac:dyDescent="0.25">
      <c r="A13014" t="s">
        <v>6</v>
      </c>
      <c r="B13014" s="1">
        <v>46200</v>
      </c>
      <c r="C13014">
        <v>5</v>
      </c>
      <c r="D13014">
        <v>242.34</v>
      </c>
      <c r="E13014">
        <v>0</v>
      </c>
      <c r="F13014" t="s">
        <v>7</v>
      </c>
      <c r="G13014" t="s">
        <v>11</v>
      </c>
      <c r="H13014" s="5">
        <f>MONTH(Tabela1[[#This Row],[data]])</f>
        <v>6</v>
      </c>
      <c r="I13014">
        <f>YEAR(Tabela1[[#This Row],[data]])</f>
        <v>2026</v>
      </c>
    </row>
    <row r="13015" spans="1:9" x14ac:dyDescent="0.25">
      <c r="A13015" t="s">
        <v>6</v>
      </c>
      <c r="B13015" s="1">
        <v>46200</v>
      </c>
      <c r="C13015">
        <v>6</v>
      </c>
      <c r="D13015">
        <v>237.3</v>
      </c>
      <c r="E13015">
        <v>0</v>
      </c>
      <c r="F13015" t="s">
        <v>7</v>
      </c>
      <c r="G13015" t="s">
        <v>11</v>
      </c>
      <c r="H13015" s="5">
        <f>MONTH(Tabela1[[#This Row],[data]])</f>
        <v>6</v>
      </c>
      <c r="I13015">
        <f>YEAR(Tabela1[[#This Row],[data]])</f>
        <v>2026</v>
      </c>
    </row>
    <row r="13016" spans="1:9" x14ac:dyDescent="0.25">
      <c r="A13016" t="s">
        <v>6</v>
      </c>
      <c r="B13016" s="1">
        <v>46200</v>
      </c>
      <c r="C13016">
        <v>7</v>
      </c>
      <c r="D13016">
        <v>244.86</v>
      </c>
      <c r="E13016">
        <v>0</v>
      </c>
      <c r="F13016" t="s">
        <v>7</v>
      </c>
      <c r="G13016" t="s">
        <v>11</v>
      </c>
      <c r="H13016" s="5">
        <f>MONTH(Tabela1[[#This Row],[data]])</f>
        <v>6</v>
      </c>
      <c r="I13016">
        <f>YEAR(Tabela1[[#This Row],[data]])</f>
        <v>2026</v>
      </c>
    </row>
    <row r="13017" spans="1:9" x14ac:dyDescent="0.25">
      <c r="A13017" t="s">
        <v>6</v>
      </c>
      <c r="B13017" s="1">
        <v>46200</v>
      </c>
      <c r="C13017">
        <v>8</v>
      </c>
      <c r="D13017">
        <v>242.34</v>
      </c>
      <c r="E13017">
        <v>0</v>
      </c>
      <c r="F13017" t="s">
        <v>7</v>
      </c>
      <c r="G13017" t="s">
        <v>11</v>
      </c>
      <c r="H13017" s="5">
        <f>MONTH(Tabela1[[#This Row],[data]])</f>
        <v>6</v>
      </c>
      <c r="I13017">
        <f>YEAR(Tabela1[[#This Row],[data]])</f>
        <v>2026</v>
      </c>
    </row>
    <row r="13018" spans="1:9" x14ac:dyDescent="0.25">
      <c r="A13018" t="s">
        <v>6</v>
      </c>
      <c r="B13018" s="1">
        <v>46200</v>
      </c>
      <c r="C13018">
        <v>9</v>
      </c>
      <c r="D13018">
        <v>307.44</v>
      </c>
      <c r="E13018">
        <v>0</v>
      </c>
      <c r="F13018" t="s">
        <v>7</v>
      </c>
      <c r="G13018" t="s">
        <v>11</v>
      </c>
      <c r="H13018" s="5">
        <f>MONTH(Tabela1[[#This Row],[data]])</f>
        <v>6</v>
      </c>
      <c r="I13018">
        <f>YEAR(Tabela1[[#This Row],[data]])</f>
        <v>2026</v>
      </c>
    </row>
    <row r="13019" spans="1:9" x14ac:dyDescent="0.25">
      <c r="A13019" t="s">
        <v>6</v>
      </c>
      <c r="B13019" s="1">
        <v>46200</v>
      </c>
      <c r="C13019">
        <v>10</v>
      </c>
      <c r="D13019">
        <v>399</v>
      </c>
      <c r="E13019">
        <v>3.36</v>
      </c>
      <c r="F13019" t="s">
        <v>7</v>
      </c>
      <c r="G13019" t="s">
        <v>11</v>
      </c>
      <c r="H13019" s="5">
        <f>MONTH(Tabela1[[#This Row],[data]])</f>
        <v>6</v>
      </c>
      <c r="I13019">
        <f>YEAR(Tabela1[[#This Row],[data]])</f>
        <v>2026</v>
      </c>
    </row>
    <row r="13020" spans="1:9" x14ac:dyDescent="0.25">
      <c r="A13020" t="s">
        <v>6</v>
      </c>
      <c r="B13020" s="1">
        <v>46200</v>
      </c>
      <c r="C13020">
        <v>11</v>
      </c>
      <c r="D13020">
        <v>526.67999999999995</v>
      </c>
      <c r="E13020">
        <v>25.2</v>
      </c>
      <c r="F13020" t="s">
        <v>7</v>
      </c>
      <c r="G13020" t="s">
        <v>11</v>
      </c>
      <c r="H13020" s="5">
        <f>MONTH(Tabela1[[#This Row],[data]])</f>
        <v>6</v>
      </c>
      <c r="I13020">
        <f>YEAR(Tabela1[[#This Row],[data]])</f>
        <v>2026</v>
      </c>
    </row>
    <row r="13021" spans="1:9" x14ac:dyDescent="0.25">
      <c r="A13021" t="s">
        <v>6</v>
      </c>
      <c r="B13021" s="1">
        <v>46200</v>
      </c>
      <c r="C13021">
        <v>12</v>
      </c>
      <c r="D13021">
        <v>575.82000000000005</v>
      </c>
      <c r="E13021">
        <v>50.82</v>
      </c>
      <c r="F13021" t="s">
        <v>7</v>
      </c>
      <c r="G13021" t="s">
        <v>11</v>
      </c>
      <c r="H13021" s="5">
        <f>MONTH(Tabela1[[#This Row],[data]])</f>
        <v>6</v>
      </c>
      <c r="I13021">
        <f>YEAR(Tabela1[[#This Row],[data]])</f>
        <v>2026</v>
      </c>
    </row>
    <row r="13022" spans="1:9" x14ac:dyDescent="0.25">
      <c r="A13022" t="s">
        <v>6</v>
      </c>
      <c r="B13022" s="1">
        <v>46200</v>
      </c>
      <c r="C13022">
        <v>13</v>
      </c>
      <c r="D13022">
        <v>592.20000000000005</v>
      </c>
      <c r="E13022">
        <v>55.02</v>
      </c>
      <c r="F13022" t="s">
        <v>7</v>
      </c>
      <c r="G13022" t="s">
        <v>11</v>
      </c>
      <c r="H13022" s="5">
        <f>MONTH(Tabela1[[#This Row],[data]])</f>
        <v>6</v>
      </c>
      <c r="I13022">
        <f>YEAR(Tabela1[[#This Row],[data]])</f>
        <v>2026</v>
      </c>
    </row>
    <row r="13023" spans="1:9" x14ac:dyDescent="0.25">
      <c r="A13023" t="s">
        <v>6</v>
      </c>
      <c r="B13023" s="1">
        <v>46200</v>
      </c>
      <c r="C13023">
        <v>14</v>
      </c>
      <c r="D13023">
        <v>603.12</v>
      </c>
      <c r="E13023">
        <v>51.24</v>
      </c>
      <c r="F13023" t="s">
        <v>7</v>
      </c>
      <c r="G13023" t="s">
        <v>11</v>
      </c>
      <c r="H13023" s="5">
        <f>MONTH(Tabela1[[#This Row],[data]])</f>
        <v>6</v>
      </c>
      <c r="I13023">
        <f>YEAR(Tabela1[[#This Row],[data]])</f>
        <v>2026</v>
      </c>
    </row>
    <row r="13024" spans="1:9" x14ac:dyDescent="0.25">
      <c r="A13024" t="s">
        <v>6</v>
      </c>
      <c r="B13024" s="1">
        <v>46200</v>
      </c>
      <c r="C13024">
        <v>15</v>
      </c>
      <c r="D13024">
        <v>614.88</v>
      </c>
      <c r="E13024">
        <v>56.28</v>
      </c>
      <c r="F13024" t="s">
        <v>7</v>
      </c>
      <c r="G13024" t="s">
        <v>11</v>
      </c>
      <c r="H13024" s="5">
        <f>MONTH(Tabela1[[#This Row],[data]])</f>
        <v>6</v>
      </c>
      <c r="I13024">
        <f>YEAR(Tabela1[[#This Row],[data]])</f>
        <v>2026</v>
      </c>
    </row>
    <row r="13025" spans="1:9" x14ac:dyDescent="0.25">
      <c r="A13025" t="s">
        <v>6</v>
      </c>
      <c r="B13025" s="1">
        <v>46200</v>
      </c>
      <c r="C13025">
        <v>16</v>
      </c>
      <c r="D13025">
        <v>874.86</v>
      </c>
      <c r="E13025">
        <v>192.36</v>
      </c>
      <c r="F13025" t="s">
        <v>7</v>
      </c>
      <c r="G13025" t="s">
        <v>11</v>
      </c>
      <c r="H13025" s="5">
        <f>MONTH(Tabela1[[#This Row],[data]])</f>
        <v>6</v>
      </c>
      <c r="I13025">
        <f>YEAR(Tabela1[[#This Row],[data]])</f>
        <v>2026</v>
      </c>
    </row>
    <row r="13026" spans="1:9" x14ac:dyDescent="0.25">
      <c r="A13026" t="s">
        <v>6</v>
      </c>
      <c r="B13026" s="1">
        <v>46200</v>
      </c>
      <c r="C13026">
        <v>17</v>
      </c>
      <c r="D13026">
        <v>720.3</v>
      </c>
      <c r="E13026">
        <v>139.86000000000001</v>
      </c>
      <c r="F13026" t="s">
        <v>7</v>
      </c>
      <c r="G13026" t="s">
        <v>11</v>
      </c>
      <c r="H13026" s="5">
        <f>MONTH(Tabela1[[#This Row],[data]])</f>
        <v>6</v>
      </c>
      <c r="I13026">
        <f>YEAR(Tabela1[[#This Row],[data]])</f>
        <v>2026</v>
      </c>
    </row>
    <row r="13027" spans="1:9" x14ac:dyDescent="0.25">
      <c r="A13027" t="s">
        <v>6</v>
      </c>
      <c r="B13027" s="1">
        <v>46200</v>
      </c>
      <c r="C13027">
        <v>18</v>
      </c>
      <c r="D13027">
        <v>695.94</v>
      </c>
      <c r="E13027">
        <v>108.78</v>
      </c>
      <c r="F13027" t="s">
        <v>7</v>
      </c>
      <c r="G13027" t="s">
        <v>11</v>
      </c>
      <c r="H13027" s="5">
        <f>MONTH(Tabela1[[#This Row],[data]])</f>
        <v>6</v>
      </c>
      <c r="I13027">
        <f>YEAR(Tabela1[[#This Row],[data]])</f>
        <v>2026</v>
      </c>
    </row>
    <row r="13028" spans="1:9" x14ac:dyDescent="0.25">
      <c r="A13028" t="s">
        <v>6</v>
      </c>
      <c r="B13028" s="1">
        <v>46200</v>
      </c>
      <c r="C13028">
        <v>19</v>
      </c>
      <c r="D13028">
        <v>624.12</v>
      </c>
      <c r="E13028">
        <v>40.32</v>
      </c>
      <c r="F13028" t="s">
        <v>7</v>
      </c>
      <c r="G13028" t="s">
        <v>11</v>
      </c>
      <c r="H13028" s="5">
        <f>MONTH(Tabela1[[#This Row],[data]])</f>
        <v>6</v>
      </c>
      <c r="I13028">
        <f>YEAR(Tabela1[[#This Row],[data]])</f>
        <v>2026</v>
      </c>
    </row>
    <row r="13029" spans="1:9" x14ac:dyDescent="0.25">
      <c r="A13029" t="s">
        <v>6</v>
      </c>
      <c r="B13029" s="1">
        <v>46200</v>
      </c>
      <c r="C13029">
        <v>20</v>
      </c>
      <c r="D13029">
        <v>621.17999999999995</v>
      </c>
      <c r="E13029">
        <v>63.84</v>
      </c>
      <c r="F13029" t="s">
        <v>7</v>
      </c>
      <c r="G13029" t="s">
        <v>11</v>
      </c>
      <c r="H13029" s="5">
        <f>MONTH(Tabela1[[#This Row],[data]])</f>
        <v>6</v>
      </c>
      <c r="I13029">
        <f>YEAR(Tabela1[[#This Row],[data]])</f>
        <v>2026</v>
      </c>
    </row>
    <row r="13030" spans="1:9" x14ac:dyDescent="0.25">
      <c r="A13030" t="s">
        <v>6</v>
      </c>
      <c r="B13030" s="1">
        <v>46200</v>
      </c>
      <c r="C13030">
        <v>21</v>
      </c>
      <c r="D13030">
        <v>625.38</v>
      </c>
      <c r="E13030">
        <v>51.66</v>
      </c>
      <c r="F13030" t="s">
        <v>7</v>
      </c>
      <c r="G13030" t="s">
        <v>11</v>
      </c>
      <c r="H13030" s="5">
        <f>MONTH(Tabela1[[#This Row],[data]])</f>
        <v>6</v>
      </c>
      <c r="I13030">
        <f>YEAR(Tabela1[[#This Row],[data]])</f>
        <v>2026</v>
      </c>
    </row>
    <row r="13031" spans="1:9" x14ac:dyDescent="0.25">
      <c r="A13031" t="s">
        <v>6</v>
      </c>
      <c r="B13031" s="1">
        <v>46200</v>
      </c>
      <c r="C13031">
        <v>22</v>
      </c>
      <c r="D13031">
        <v>579.17999999999995</v>
      </c>
      <c r="E13031">
        <v>39.9</v>
      </c>
      <c r="F13031" t="s">
        <v>7</v>
      </c>
      <c r="G13031" t="s">
        <v>11</v>
      </c>
      <c r="H13031" s="5">
        <f>MONTH(Tabela1[[#This Row],[data]])</f>
        <v>6</v>
      </c>
      <c r="I13031">
        <f>YEAR(Tabela1[[#This Row],[data]])</f>
        <v>2026</v>
      </c>
    </row>
    <row r="13032" spans="1:9" x14ac:dyDescent="0.25">
      <c r="A13032" t="s">
        <v>6</v>
      </c>
      <c r="B13032" s="1">
        <v>46200</v>
      </c>
      <c r="C13032">
        <v>23</v>
      </c>
      <c r="D13032">
        <v>400.26</v>
      </c>
      <c r="E13032">
        <v>0.84</v>
      </c>
      <c r="F13032" t="s">
        <v>7</v>
      </c>
      <c r="G13032" t="s">
        <v>11</v>
      </c>
      <c r="H13032" s="5">
        <f>MONTH(Tabela1[[#This Row],[data]])</f>
        <v>6</v>
      </c>
      <c r="I13032">
        <f>YEAR(Tabela1[[#This Row],[data]])</f>
        <v>2026</v>
      </c>
    </row>
    <row r="13033" spans="1:9" x14ac:dyDescent="0.25">
      <c r="A13033" t="s">
        <v>6</v>
      </c>
      <c r="B13033" s="1">
        <v>46200</v>
      </c>
      <c r="C13033">
        <v>24</v>
      </c>
      <c r="D13033">
        <v>283.92</v>
      </c>
      <c r="E13033">
        <v>0</v>
      </c>
      <c r="F13033" t="s">
        <v>7</v>
      </c>
      <c r="G13033" t="s">
        <v>11</v>
      </c>
      <c r="H13033" s="5">
        <f>MONTH(Tabela1[[#This Row],[data]])</f>
        <v>6</v>
      </c>
      <c r="I13033">
        <f>YEAR(Tabela1[[#This Row],[data]])</f>
        <v>2026</v>
      </c>
    </row>
    <row r="13034" spans="1:9" x14ac:dyDescent="0.25">
      <c r="A13034" t="s">
        <v>6</v>
      </c>
      <c r="B13034" s="1">
        <v>46201</v>
      </c>
      <c r="C13034">
        <v>1</v>
      </c>
      <c r="D13034">
        <v>246.54</v>
      </c>
      <c r="E13034">
        <v>0</v>
      </c>
      <c r="F13034" t="s">
        <v>7</v>
      </c>
      <c r="G13034" t="s">
        <v>11</v>
      </c>
      <c r="H13034" s="5">
        <f>MONTH(Tabela1[[#This Row],[data]])</f>
        <v>6</v>
      </c>
      <c r="I13034">
        <f>YEAR(Tabela1[[#This Row],[data]])</f>
        <v>2026</v>
      </c>
    </row>
    <row r="13035" spans="1:9" x14ac:dyDescent="0.25">
      <c r="A13035" t="s">
        <v>6</v>
      </c>
      <c r="B13035" s="1">
        <v>46201</v>
      </c>
      <c r="C13035">
        <v>2</v>
      </c>
      <c r="D13035">
        <v>233.94</v>
      </c>
      <c r="E13035">
        <v>0</v>
      </c>
      <c r="F13035" t="s">
        <v>7</v>
      </c>
      <c r="G13035" t="s">
        <v>11</v>
      </c>
      <c r="H13035" s="5">
        <f>MONTH(Tabela1[[#This Row],[data]])</f>
        <v>6</v>
      </c>
      <c r="I13035">
        <f>YEAR(Tabela1[[#This Row],[data]])</f>
        <v>2026</v>
      </c>
    </row>
    <row r="13036" spans="1:9" x14ac:dyDescent="0.25">
      <c r="A13036" t="s">
        <v>6</v>
      </c>
      <c r="B13036" s="1">
        <v>46201</v>
      </c>
      <c r="C13036">
        <v>3</v>
      </c>
      <c r="D13036">
        <v>226.38</v>
      </c>
      <c r="E13036">
        <v>0</v>
      </c>
      <c r="F13036" t="s">
        <v>7</v>
      </c>
      <c r="G13036" t="s">
        <v>11</v>
      </c>
      <c r="H13036" s="5">
        <f>MONTH(Tabela1[[#This Row],[data]])</f>
        <v>6</v>
      </c>
      <c r="I13036">
        <f>YEAR(Tabela1[[#This Row],[data]])</f>
        <v>2026</v>
      </c>
    </row>
    <row r="13037" spans="1:9" x14ac:dyDescent="0.25">
      <c r="A13037" t="s">
        <v>6</v>
      </c>
      <c r="B13037" s="1">
        <v>46201</v>
      </c>
      <c r="C13037">
        <v>4</v>
      </c>
      <c r="D13037">
        <v>233.94</v>
      </c>
      <c r="E13037">
        <v>0</v>
      </c>
      <c r="F13037" t="s">
        <v>7</v>
      </c>
      <c r="G13037" t="s">
        <v>11</v>
      </c>
      <c r="H13037" s="5">
        <f>MONTH(Tabela1[[#This Row],[data]])</f>
        <v>6</v>
      </c>
      <c r="I13037">
        <f>YEAR(Tabela1[[#This Row],[data]])</f>
        <v>2026</v>
      </c>
    </row>
    <row r="13038" spans="1:9" x14ac:dyDescent="0.25">
      <c r="A13038" t="s">
        <v>6</v>
      </c>
      <c r="B13038" s="1">
        <v>46201</v>
      </c>
      <c r="C13038">
        <v>5</v>
      </c>
      <c r="D13038">
        <v>233.94</v>
      </c>
      <c r="E13038">
        <v>0</v>
      </c>
      <c r="F13038" t="s">
        <v>7</v>
      </c>
      <c r="G13038" t="s">
        <v>11</v>
      </c>
      <c r="H13038" s="5">
        <f>MONTH(Tabela1[[#This Row],[data]])</f>
        <v>6</v>
      </c>
      <c r="I13038">
        <f>YEAR(Tabela1[[#This Row],[data]])</f>
        <v>2026</v>
      </c>
    </row>
    <row r="13039" spans="1:9" x14ac:dyDescent="0.25">
      <c r="A13039" t="s">
        <v>6</v>
      </c>
      <c r="B13039" s="1">
        <v>46201</v>
      </c>
      <c r="C13039">
        <v>6</v>
      </c>
      <c r="D13039">
        <v>228.9</v>
      </c>
      <c r="E13039">
        <v>0</v>
      </c>
      <c r="F13039" t="s">
        <v>7</v>
      </c>
      <c r="G13039" t="s">
        <v>11</v>
      </c>
      <c r="H13039" s="5">
        <f>MONTH(Tabela1[[#This Row],[data]])</f>
        <v>6</v>
      </c>
      <c r="I13039">
        <f>YEAR(Tabela1[[#This Row],[data]])</f>
        <v>2026</v>
      </c>
    </row>
    <row r="13040" spans="1:9" x14ac:dyDescent="0.25">
      <c r="A13040" t="s">
        <v>6</v>
      </c>
      <c r="B13040" s="1">
        <v>46201</v>
      </c>
      <c r="C13040">
        <v>7</v>
      </c>
      <c r="D13040">
        <v>222.18</v>
      </c>
      <c r="E13040">
        <v>0</v>
      </c>
      <c r="F13040" t="s">
        <v>7</v>
      </c>
      <c r="G13040" t="s">
        <v>11</v>
      </c>
      <c r="H13040" s="5">
        <f>MONTH(Tabela1[[#This Row],[data]])</f>
        <v>6</v>
      </c>
      <c r="I13040">
        <f>YEAR(Tabela1[[#This Row],[data]])</f>
        <v>2026</v>
      </c>
    </row>
    <row r="13041" spans="1:9" x14ac:dyDescent="0.25">
      <c r="A13041" t="s">
        <v>6</v>
      </c>
      <c r="B13041" s="1">
        <v>46201</v>
      </c>
      <c r="C13041">
        <v>8</v>
      </c>
      <c r="D13041">
        <v>212.94</v>
      </c>
      <c r="E13041">
        <v>0</v>
      </c>
      <c r="F13041" t="s">
        <v>7</v>
      </c>
      <c r="G13041" t="s">
        <v>11</v>
      </c>
      <c r="H13041" s="5">
        <f>MONTH(Tabela1[[#This Row],[data]])</f>
        <v>6</v>
      </c>
      <c r="I13041">
        <f>YEAR(Tabela1[[#This Row],[data]])</f>
        <v>2026</v>
      </c>
    </row>
    <row r="13042" spans="1:9" x14ac:dyDescent="0.25">
      <c r="A13042" t="s">
        <v>6</v>
      </c>
      <c r="B13042" s="1">
        <v>46201</v>
      </c>
      <c r="C13042">
        <v>9</v>
      </c>
      <c r="D13042">
        <v>251.58</v>
      </c>
      <c r="E13042">
        <v>0</v>
      </c>
      <c r="F13042" t="s">
        <v>7</v>
      </c>
      <c r="G13042" t="s">
        <v>11</v>
      </c>
      <c r="H13042" s="5">
        <f>MONTH(Tabela1[[#This Row],[data]])</f>
        <v>6</v>
      </c>
      <c r="I13042">
        <f>YEAR(Tabela1[[#This Row],[data]])</f>
        <v>2026</v>
      </c>
    </row>
    <row r="13043" spans="1:9" x14ac:dyDescent="0.25">
      <c r="A13043" t="s">
        <v>6</v>
      </c>
      <c r="B13043" s="1">
        <v>46201</v>
      </c>
      <c r="C13043">
        <v>10</v>
      </c>
      <c r="D13043">
        <v>305.33999999999997</v>
      </c>
      <c r="E13043">
        <v>0</v>
      </c>
      <c r="F13043" t="s">
        <v>7</v>
      </c>
      <c r="G13043" t="s">
        <v>11</v>
      </c>
      <c r="H13043" s="5">
        <f>MONTH(Tabela1[[#This Row],[data]])</f>
        <v>6</v>
      </c>
      <c r="I13043">
        <f>YEAR(Tabela1[[#This Row],[data]])</f>
        <v>2026</v>
      </c>
    </row>
    <row r="13044" spans="1:9" x14ac:dyDescent="0.25">
      <c r="A13044" t="s">
        <v>6</v>
      </c>
      <c r="B13044" s="1">
        <v>46201</v>
      </c>
      <c r="C13044">
        <v>11</v>
      </c>
      <c r="D13044">
        <v>393.54</v>
      </c>
      <c r="E13044">
        <v>10.08</v>
      </c>
      <c r="F13044" t="s">
        <v>7</v>
      </c>
      <c r="G13044" t="s">
        <v>11</v>
      </c>
      <c r="H13044" s="5">
        <f>MONTH(Tabela1[[#This Row],[data]])</f>
        <v>6</v>
      </c>
      <c r="I13044">
        <f>YEAR(Tabela1[[#This Row],[data]])</f>
        <v>2026</v>
      </c>
    </row>
    <row r="13045" spans="1:9" x14ac:dyDescent="0.25">
      <c r="A13045" t="s">
        <v>6</v>
      </c>
      <c r="B13045" s="1">
        <v>46201</v>
      </c>
      <c r="C13045">
        <v>12</v>
      </c>
      <c r="D13045">
        <v>487.62</v>
      </c>
      <c r="E13045">
        <v>30.24</v>
      </c>
      <c r="F13045" t="s">
        <v>7</v>
      </c>
      <c r="G13045" t="s">
        <v>11</v>
      </c>
      <c r="H13045" s="5">
        <f>MONTH(Tabela1[[#This Row],[data]])</f>
        <v>6</v>
      </c>
      <c r="I13045">
        <f>YEAR(Tabela1[[#This Row],[data]])</f>
        <v>2026</v>
      </c>
    </row>
    <row r="13046" spans="1:9" x14ac:dyDescent="0.25">
      <c r="A13046" t="s">
        <v>6</v>
      </c>
      <c r="B13046" s="1">
        <v>46201</v>
      </c>
      <c r="C13046">
        <v>13</v>
      </c>
      <c r="D13046">
        <v>532.98</v>
      </c>
      <c r="E13046">
        <v>29.82</v>
      </c>
      <c r="F13046" t="s">
        <v>7</v>
      </c>
      <c r="G13046" t="s">
        <v>11</v>
      </c>
      <c r="H13046" s="5">
        <f>MONTH(Tabela1[[#This Row],[data]])</f>
        <v>6</v>
      </c>
      <c r="I13046">
        <f>YEAR(Tabela1[[#This Row],[data]])</f>
        <v>2026</v>
      </c>
    </row>
    <row r="13047" spans="1:9" x14ac:dyDescent="0.25">
      <c r="A13047" t="s">
        <v>6</v>
      </c>
      <c r="B13047" s="1">
        <v>46201</v>
      </c>
      <c r="C13047">
        <v>14</v>
      </c>
      <c r="D13047">
        <v>573.72</v>
      </c>
      <c r="E13047">
        <v>40.32</v>
      </c>
      <c r="F13047" t="s">
        <v>7</v>
      </c>
      <c r="G13047" t="s">
        <v>11</v>
      </c>
      <c r="H13047" s="5">
        <f>MONTH(Tabela1[[#This Row],[data]])</f>
        <v>6</v>
      </c>
      <c r="I13047">
        <f>YEAR(Tabela1[[#This Row],[data]])</f>
        <v>2026</v>
      </c>
    </row>
    <row r="13048" spans="1:9" x14ac:dyDescent="0.25">
      <c r="A13048" t="s">
        <v>6</v>
      </c>
      <c r="B13048" s="1">
        <v>46201</v>
      </c>
      <c r="C13048">
        <v>15</v>
      </c>
      <c r="D13048">
        <v>590.1</v>
      </c>
      <c r="E13048">
        <v>39.06</v>
      </c>
      <c r="F13048" t="s">
        <v>7</v>
      </c>
      <c r="G13048" t="s">
        <v>11</v>
      </c>
      <c r="H13048" s="5">
        <f>MONTH(Tabela1[[#This Row],[data]])</f>
        <v>6</v>
      </c>
      <c r="I13048">
        <f>YEAR(Tabela1[[#This Row],[data]])</f>
        <v>2026</v>
      </c>
    </row>
    <row r="13049" spans="1:9" x14ac:dyDescent="0.25">
      <c r="A13049" t="s">
        <v>6</v>
      </c>
      <c r="B13049" s="1">
        <v>46201</v>
      </c>
      <c r="C13049">
        <v>16</v>
      </c>
      <c r="D13049">
        <v>596.82000000000005</v>
      </c>
      <c r="E13049">
        <v>42.84</v>
      </c>
      <c r="F13049" t="s">
        <v>7</v>
      </c>
      <c r="G13049" t="s">
        <v>11</v>
      </c>
      <c r="H13049" s="5">
        <f>MONTH(Tabela1[[#This Row],[data]])</f>
        <v>6</v>
      </c>
      <c r="I13049">
        <f>YEAR(Tabela1[[#This Row],[data]])</f>
        <v>2026</v>
      </c>
    </row>
    <row r="13050" spans="1:9" x14ac:dyDescent="0.25">
      <c r="A13050" t="s">
        <v>6</v>
      </c>
      <c r="B13050" s="1">
        <v>46201</v>
      </c>
      <c r="C13050">
        <v>17</v>
      </c>
      <c r="D13050">
        <v>594.29999999999995</v>
      </c>
      <c r="E13050">
        <v>42.42</v>
      </c>
      <c r="F13050" t="s">
        <v>7</v>
      </c>
      <c r="G13050" t="s">
        <v>11</v>
      </c>
      <c r="H13050" s="5">
        <f>MONTH(Tabela1[[#This Row],[data]])</f>
        <v>6</v>
      </c>
      <c r="I13050">
        <f>YEAR(Tabela1[[#This Row],[data]])</f>
        <v>2026</v>
      </c>
    </row>
    <row r="13051" spans="1:9" x14ac:dyDescent="0.25">
      <c r="A13051" t="s">
        <v>6</v>
      </c>
      <c r="B13051" s="1">
        <v>46201</v>
      </c>
      <c r="C13051">
        <v>18</v>
      </c>
      <c r="D13051">
        <v>598.91999999999996</v>
      </c>
      <c r="E13051">
        <v>48.3</v>
      </c>
      <c r="F13051" t="s">
        <v>7</v>
      </c>
      <c r="G13051" t="s">
        <v>11</v>
      </c>
      <c r="H13051" s="5">
        <f>MONTH(Tabela1[[#This Row],[data]])</f>
        <v>6</v>
      </c>
      <c r="I13051">
        <f>YEAR(Tabela1[[#This Row],[data]])</f>
        <v>2026</v>
      </c>
    </row>
    <row r="13052" spans="1:9" x14ac:dyDescent="0.25">
      <c r="A13052" t="s">
        <v>6</v>
      </c>
      <c r="B13052" s="1">
        <v>46201</v>
      </c>
      <c r="C13052">
        <v>19</v>
      </c>
      <c r="D13052">
        <v>625.38</v>
      </c>
      <c r="E13052">
        <v>42.42</v>
      </c>
      <c r="F13052" t="s">
        <v>7</v>
      </c>
      <c r="G13052" t="s">
        <v>11</v>
      </c>
      <c r="H13052" s="5">
        <f>MONTH(Tabela1[[#This Row],[data]])</f>
        <v>6</v>
      </c>
      <c r="I13052">
        <f>YEAR(Tabela1[[#This Row],[data]])</f>
        <v>2026</v>
      </c>
    </row>
    <row r="13053" spans="1:9" x14ac:dyDescent="0.25">
      <c r="A13053" t="s">
        <v>6</v>
      </c>
      <c r="B13053" s="1">
        <v>46201</v>
      </c>
      <c r="C13053">
        <v>20</v>
      </c>
      <c r="D13053">
        <v>622.44000000000005</v>
      </c>
      <c r="E13053">
        <v>48.3</v>
      </c>
      <c r="F13053" t="s">
        <v>7</v>
      </c>
      <c r="G13053" t="s">
        <v>11</v>
      </c>
      <c r="H13053" s="5">
        <f>MONTH(Tabela1[[#This Row],[data]])</f>
        <v>6</v>
      </c>
      <c r="I13053">
        <f>YEAR(Tabela1[[#This Row],[data]])</f>
        <v>2026</v>
      </c>
    </row>
    <row r="13054" spans="1:9" x14ac:dyDescent="0.25">
      <c r="A13054" t="s">
        <v>6</v>
      </c>
      <c r="B13054" s="1">
        <v>46201</v>
      </c>
      <c r="C13054">
        <v>21</v>
      </c>
      <c r="D13054">
        <v>577.08000000000004</v>
      </c>
      <c r="E13054">
        <v>39.9</v>
      </c>
      <c r="F13054" t="s">
        <v>7</v>
      </c>
      <c r="G13054" t="s">
        <v>11</v>
      </c>
      <c r="H13054" s="5">
        <f>MONTH(Tabela1[[#This Row],[data]])</f>
        <v>6</v>
      </c>
      <c r="I13054">
        <f>YEAR(Tabela1[[#This Row],[data]])</f>
        <v>2026</v>
      </c>
    </row>
    <row r="13055" spans="1:9" x14ac:dyDescent="0.25">
      <c r="A13055" t="s">
        <v>6</v>
      </c>
      <c r="B13055" s="1">
        <v>46201</v>
      </c>
      <c r="C13055">
        <v>22</v>
      </c>
      <c r="D13055">
        <v>474.18</v>
      </c>
      <c r="E13055">
        <v>25.2</v>
      </c>
      <c r="F13055" t="s">
        <v>7</v>
      </c>
      <c r="G13055" t="s">
        <v>11</v>
      </c>
      <c r="H13055" s="5">
        <f>MONTH(Tabela1[[#This Row],[data]])</f>
        <v>6</v>
      </c>
      <c r="I13055">
        <f>YEAR(Tabela1[[#This Row],[data]])</f>
        <v>2026</v>
      </c>
    </row>
    <row r="13056" spans="1:9" x14ac:dyDescent="0.25">
      <c r="A13056" t="s">
        <v>6</v>
      </c>
      <c r="B13056" s="1">
        <v>46201</v>
      </c>
      <c r="C13056">
        <v>23</v>
      </c>
      <c r="D13056">
        <v>336.42</v>
      </c>
      <c r="E13056">
        <v>0</v>
      </c>
      <c r="F13056" t="s">
        <v>7</v>
      </c>
      <c r="G13056" t="s">
        <v>11</v>
      </c>
      <c r="H13056" s="5">
        <f>MONTH(Tabela1[[#This Row],[data]])</f>
        <v>6</v>
      </c>
      <c r="I13056">
        <f>YEAR(Tabela1[[#This Row],[data]])</f>
        <v>2026</v>
      </c>
    </row>
    <row r="13057" spans="1:9" x14ac:dyDescent="0.25">
      <c r="A13057" t="s">
        <v>6</v>
      </c>
      <c r="B13057" s="1">
        <v>46201</v>
      </c>
      <c r="C13057">
        <v>24</v>
      </c>
      <c r="D13057">
        <v>286.44</v>
      </c>
      <c r="E13057">
        <v>0</v>
      </c>
      <c r="F13057" t="s">
        <v>7</v>
      </c>
      <c r="G13057" t="s">
        <v>11</v>
      </c>
      <c r="H13057" s="5">
        <f>MONTH(Tabela1[[#This Row],[data]])</f>
        <v>6</v>
      </c>
      <c r="I13057">
        <f>YEAR(Tabela1[[#This Row],[data]])</f>
        <v>2026</v>
      </c>
    </row>
    <row r="13058" spans="1:9" x14ac:dyDescent="0.25">
      <c r="A13058" t="s">
        <v>6</v>
      </c>
      <c r="B13058" s="1">
        <v>46202</v>
      </c>
      <c r="C13058">
        <v>1</v>
      </c>
      <c r="D13058">
        <v>265.86</v>
      </c>
      <c r="E13058">
        <v>0</v>
      </c>
      <c r="F13058" t="s">
        <v>7</v>
      </c>
      <c r="G13058" t="s">
        <v>12</v>
      </c>
      <c r="H13058" s="5">
        <f>MONTH(Tabela1[[#This Row],[data]])</f>
        <v>6</v>
      </c>
      <c r="I13058">
        <f>YEAR(Tabela1[[#This Row],[data]])</f>
        <v>2026</v>
      </c>
    </row>
    <row r="13059" spans="1:9" x14ac:dyDescent="0.25">
      <c r="A13059" t="s">
        <v>6</v>
      </c>
      <c r="B13059" s="1">
        <v>46202</v>
      </c>
      <c r="C13059">
        <v>2</v>
      </c>
      <c r="D13059">
        <v>241.08</v>
      </c>
      <c r="E13059">
        <v>0</v>
      </c>
      <c r="F13059" t="s">
        <v>7</v>
      </c>
      <c r="G13059" t="s">
        <v>12</v>
      </c>
      <c r="H13059" s="5">
        <f>MONTH(Tabela1[[#This Row],[data]])</f>
        <v>6</v>
      </c>
      <c r="I13059">
        <f>YEAR(Tabela1[[#This Row],[data]])</f>
        <v>2026</v>
      </c>
    </row>
    <row r="13060" spans="1:9" x14ac:dyDescent="0.25">
      <c r="A13060" t="s">
        <v>6</v>
      </c>
      <c r="B13060" s="1">
        <v>46202</v>
      </c>
      <c r="C13060">
        <v>3</v>
      </c>
      <c r="D13060">
        <v>239.82</v>
      </c>
      <c r="E13060">
        <v>0</v>
      </c>
      <c r="F13060" t="s">
        <v>7</v>
      </c>
      <c r="G13060" t="s">
        <v>12</v>
      </c>
      <c r="H13060" s="5">
        <f>MONTH(Tabela1[[#This Row],[data]])</f>
        <v>6</v>
      </c>
      <c r="I13060">
        <f>YEAR(Tabela1[[#This Row],[data]])</f>
        <v>2026</v>
      </c>
    </row>
    <row r="13061" spans="1:9" x14ac:dyDescent="0.25">
      <c r="A13061" t="s">
        <v>6</v>
      </c>
      <c r="B13061" s="1">
        <v>46202</v>
      </c>
      <c r="C13061">
        <v>4</v>
      </c>
      <c r="D13061">
        <v>246.54</v>
      </c>
      <c r="E13061">
        <v>0</v>
      </c>
      <c r="F13061" t="s">
        <v>7</v>
      </c>
      <c r="G13061" t="s">
        <v>12</v>
      </c>
      <c r="H13061" s="5">
        <f>MONTH(Tabela1[[#This Row],[data]])</f>
        <v>6</v>
      </c>
      <c r="I13061">
        <f>YEAR(Tabela1[[#This Row],[data]])</f>
        <v>2026</v>
      </c>
    </row>
    <row r="13062" spans="1:9" x14ac:dyDescent="0.25">
      <c r="A13062" t="s">
        <v>6</v>
      </c>
      <c r="B13062" s="1">
        <v>46202</v>
      </c>
      <c r="C13062">
        <v>5</v>
      </c>
      <c r="D13062">
        <v>246.96</v>
      </c>
      <c r="E13062">
        <v>0</v>
      </c>
      <c r="F13062" t="s">
        <v>7</v>
      </c>
      <c r="G13062" t="s">
        <v>12</v>
      </c>
      <c r="H13062" s="5">
        <f>MONTH(Tabela1[[#This Row],[data]])</f>
        <v>6</v>
      </c>
      <c r="I13062">
        <f>YEAR(Tabela1[[#This Row],[data]])</f>
        <v>2026</v>
      </c>
    </row>
    <row r="13063" spans="1:9" x14ac:dyDescent="0.25">
      <c r="A13063" t="s">
        <v>6</v>
      </c>
      <c r="B13063" s="1">
        <v>46202</v>
      </c>
      <c r="C13063">
        <v>6</v>
      </c>
      <c r="D13063">
        <v>239.82</v>
      </c>
      <c r="E13063">
        <v>0</v>
      </c>
      <c r="F13063" t="s">
        <v>7</v>
      </c>
      <c r="G13063" t="s">
        <v>12</v>
      </c>
      <c r="H13063" s="5">
        <f>MONTH(Tabela1[[#This Row],[data]])</f>
        <v>6</v>
      </c>
      <c r="I13063">
        <f>YEAR(Tabela1[[#This Row],[data]])</f>
        <v>2026</v>
      </c>
    </row>
    <row r="13064" spans="1:9" x14ac:dyDescent="0.25">
      <c r="A13064" t="s">
        <v>6</v>
      </c>
      <c r="B13064" s="1">
        <v>46202</v>
      </c>
      <c r="C13064">
        <v>7</v>
      </c>
      <c r="D13064">
        <v>237.72</v>
      </c>
      <c r="E13064">
        <v>0</v>
      </c>
      <c r="F13064" t="s">
        <v>7</v>
      </c>
      <c r="G13064" t="s">
        <v>12</v>
      </c>
      <c r="H13064" s="5">
        <f>MONTH(Tabela1[[#This Row],[data]])</f>
        <v>6</v>
      </c>
      <c r="I13064">
        <f>YEAR(Tabela1[[#This Row],[data]])</f>
        <v>2026</v>
      </c>
    </row>
    <row r="13065" spans="1:9" x14ac:dyDescent="0.25">
      <c r="A13065" t="s">
        <v>6</v>
      </c>
      <c r="B13065" s="1">
        <v>46202</v>
      </c>
      <c r="C13065">
        <v>8</v>
      </c>
      <c r="D13065">
        <v>255.36</v>
      </c>
      <c r="E13065">
        <v>0</v>
      </c>
      <c r="F13065" t="s">
        <v>7</v>
      </c>
      <c r="G13065" t="s">
        <v>12</v>
      </c>
      <c r="H13065" s="5">
        <f>MONTH(Tabela1[[#This Row],[data]])</f>
        <v>6</v>
      </c>
      <c r="I13065">
        <f>YEAR(Tabela1[[#This Row],[data]])</f>
        <v>2026</v>
      </c>
    </row>
    <row r="13066" spans="1:9" x14ac:dyDescent="0.25">
      <c r="A13066" t="s">
        <v>6</v>
      </c>
      <c r="B13066" s="1">
        <v>46202</v>
      </c>
      <c r="C13066">
        <v>9</v>
      </c>
      <c r="D13066">
        <v>320.45999999999998</v>
      </c>
      <c r="E13066">
        <v>0</v>
      </c>
      <c r="F13066" t="s">
        <v>7</v>
      </c>
      <c r="G13066" t="s">
        <v>12</v>
      </c>
      <c r="H13066" s="5">
        <f>MONTH(Tabela1[[#This Row],[data]])</f>
        <v>6</v>
      </c>
      <c r="I13066">
        <f>YEAR(Tabela1[[#This Row],[data]])</f>
        <v>2026</v>
      </c>
    </row>
    <row r="13067" spans="1:9" x14ac:dyDescent="0.25">
      <c r="A13067" t="s">
        <v>6</v>
      </c>
      <c r="B13067" s="1">
        <v>46202</v>
      </c>
      <c r="C13067">
        <v>10</v>
      </c>
      <c r="D13067">
        <v>402.78</v>
      </c>
      <c r="E13067">
        <v>0.84</v>
      </c>
      <c r="F13067" t="s">
        <v>7</v>
      </c>
      <c r="G13067" t="s">
        <v>12</v>
      </c>
      <c r="H13067" s="5">
        <f>MONTH(Tabela1[[#This Row],[data]])</f>
        <v>6</v>
      </c>
      <c r="I13067">
        <f>YEAR(Tabela1[[#This Row],[data]])</f>
        <v>2026</v>
      </c>
    </row>
    <row r="13068" spans="1:9" x14ac:dyDescent="0.25">
      <c r="A13068" t="s">
        <v>6</v>
      </c>
      <c r="B13068" s="1">
        <v>46202</v>
      </c>
      <c r="C13068">
        <v>11</v>
      </c>
      <c r="D13068">
        <v>523.32000000000005</v>
      </c>
      <c r="E13068">
        <v>21.84</v>
      </c>
      <c r="F13068" t="s">
        <v>7</v>
      </c>
      <c r="G13068" t="s">
        <v>12</v>
      </c>
      <c r="H13068" s="5">
        <f>MONTH(Tabela1[[#This Row],[data]])</f>
        <v>6</v>
      </c>
      <c r="I13068">
        <f>YEAR(Tabela1[[#This Row],[data]])</f>
        <v>2026</v>
      </c>
    </row>
    <row r="13069" spans="1:9" x14ac:dyDescent="0.25">
      <c r="A13069" t="s">
        <v>6</v>
      </c>
      <c r="B13069" s="1">
        <v>46202</v>
      </c>
      <c r="C13069">
        <v>12</v>
      </c>
      <c r="D13069">
        <v>567.84</v>
      </c>
      <c r="E13069">
        <v>55.02</v>
      </c>
      <c r="F13069" t="s">
        <v>7</v>
      </c>
      <c r="G13069" t="s">
        <v>12</v>
      </c>
      <c r="H13069" s="5">
        <f>MONTH(Tabela1[[#This Row],[data]])</f>
        <v>6</v>
      </c>
      <c r="I13069">
        <f>YEAR(Tabela1[[#This Row],[data]])</f>
        <v>2026</v>
      </c>
    </row>
    <row r="13070" spans="1:9" x14ac:dyDescent="0.25">
      <c r="A13070" t="s">
        <v>6</v>
      </c>
      <c r="B13070" s="1">
        <v>46202</v>
      </c>
      <c r="C13070">
        <v>13</v>
      </c>
      <c r="D13070">
        <v>562.38</v>
      </c>
      <c r="E13070">
        <v>42.42</v>
      </c>
      <c r="F13070" t="s">
        <v>7</v>
      </c>
      <c r="G13070" t="s">
        <v>12</v>
      </c>
      <c r="H13070" s="5">
        <f>MONTH(Tabela1[[#This Row],[data]])</f>
        <v>6</v>
      </c>
      <c r="I13070">
        <f>YEAR(Tabela1[[#This Row],[data]])</f>
        <v>2026</v>
      </c>
    </row>
    <row r="13071" spans="1:9" x14ac:dyDescent="0.25">
      <c r="A13071" t="s">
        <v>6</v>
      </c>
      <c r="B13071" s="1">
        <v>46202</v>
      </c>
      <c r="C13071">
        <v>14</v>
      </c>
      <c r="D13071">
        <v>553.14</v>
      </c>
      <c r="E13071">
        <v>49.98</v>
      </c>
      <c r="F13071" t="s">
        <v>7</v>
      </c>
      <c r="G13071" t="s">
        <v>12</v>
      </c>
      <c r="H13071" s="5">
        <f>MONTH(Tabela1[[#This Row],[data]])</f>
        <v>6</v>
      </c>
      <c r="I13071">
        <f>YEAR(Tabela1[[#This Row],[data]])</f>
        <v>2026</v>
      </c>
    </row>
    <row r="13072" spans="1:9" x14ac:dyDescent="0.25">
      <c r="A13072" t="s">
        <v>6</v>
      </c>
      <c r="B13072" s="1">
        <v>46202</v>
      </c>
      <c r="C13072">
        <v>15</v>
      </c>
      <c r="D13072">
        <v>486.36</v>
      </c>
      <c r="E13072">
        <v>30.24</v>
      </c>
      <c r="F13072" t="s">
        <v>7</v>
      </c>
      <c r="G13072" t="s">
        <v>12</v>
      </c>
      <c r="H13072" s="5">
        <f>MONTH(Tabela1[[#This Row],[data]])</f>
        <v>6</v>
      </c>
      <c r="I13072">
        <f>YEAR(Tabela1[[#This Row],[data]])</f>
        <v>2026</v>
      </c>
    </row>
    <row r="13073" spans="1:9" x14ac:dyDescent="0.25">
      <c r="A13073" t="s">
        <v>6</v>
      </c>
      <c r="B13073" s="1">
        <v>46202</v>
      </c>
      <c r="C13073">
        <v>16</v>
      </c>
      <c r="D13073">
        <v>496.44</v>
      </c>
      <c r="E13073">
        <v>46.62</v>
      </c>
      <c r="F13073" t="s">
        <v>7</v>
      </c>
      <c r="G13073" t="s">
        <v>12</v>
      </c>
      <c r="H13073" s="5">
        <f>MONTH(Tabela1[[#This Row],[data]])</f>
        <v>6</v>
      </c>
      <c r="I13073">
        <f>YEAR(Tabela1[[#This Row],[data]])</f>
        <v>2026</v>
      </c>
    </row>
    <row r="13074" spans="1:9" x14ac:dyDescent="0.25">
      <c r="A13074" t="s">
        <v>6</v>
      </c>
      <c r="B13074" s="1">
        <v>46202</v>
      </c>
      <c r="C13074">
        <v>17</v>
      </c>
      <c r="D13074">
        <v>533.82000000000005</v>
      </c>
      <c r="E13074">
        <v>38.22</v>
      </c>
      <c r="F13074" t="s">
        <v>7</v>
      </c>
      <c r="G13074" t="s">
        <v>12</v>
      </c>
      <c r="H13074" s="5">
        <f>MONTH(Tabela1[[#This Row],[data]])</f>
        <v>6</v>
      </c>
      <c r="I13074">
        <f>YEAR(Tabela1[[#This Row],[data]])</f>
        <v>2026</v>
      </c>
    </row>
    <row r="13075" spans="1:9" x14ac:dyDescent="0.25">
      <c r="A13075" t="s">
        <v>6</v>
      </c>
      <c r="B13075" s="1">
        <v>46202</v>
      </c>
      <c r="C13075">
        <v>18</v>
      </c>
      <c r="D13075">
        <v>557.34</v>
      </c>
      <c r="E13075">
        <v>39.06</v>
      </c>
      <c r="F13075" t="s">
        <v>7</v>
      </c>
      <c r="G13075" t="s">
        <v>12</v>
      </c>
      <c r="H13075" s="5">
        <f>MONTH(Tabela1[[#This Row],[data]])</f>
        <v>6</v>
      </c>
      <c r="I13075">
        <f>YEAR(Tabela1[[#This Row],[data]])</f>
        <v>2026</v>
      </c>
    </row>
    <row r="13076" spans="1:9" x14ac:dyDescent="0.25">
      <c r="A13076" t="s">
        <v>6</v>
      </c>
      <c r="B13076" s="1">
        <v>46202</v>
      </c>
      <c r="C13076">
        <v>19</v>
      </c>
      <c r="D13076">
        <v>585.05999999999995</v>
      </c>
      <c r="E13076">
        <v>29.4</v>
      </c>
      <c r="F13076" t="s">
        <v>7</v>
      </c>
      <c r="G13076" t="s">
        <v>12</v>
      </c>
      <c r="H13076" s="5">
        <f>MONTH(Tabela1[[#This Row],[data]])</f>
        <v>6</v>
      </c>
      <c r="I13076">
        <f>YEAR(Tabela1[[#This Row],[data]])</f>
        <v>2026</v>
      </c>
    </row>
    <row r="13077" spans="1:9" x14ac:dyDescent="0.25">
      <c r="A13077" t="s">
        <v>6</v>
      </c>
      <c r="B13077" s="1">
        <v>46202</v>
      </c>
      <c r="C13077">
        <v>20</v>
      </c>
      <c r="D13077">
        <v>585.48</v>
      </c>
      <c r="E13077">
        <v>37.799999999999997</v>
      </c>
      <c r="F13077" t="s">
        <v>7</v>
      </c>
      <c r="G13077" t="s">
        <v>12</v>
      </c>
      <c r="H13077" s="5">
        <f>MONTH(Tabela1[[#This Row],[data]])</f>
        <v>6</v>
      </c>
      <c r="I13077">
        <f>YEAR(Tabela1[[#This Row],[data]])</f>
        <v>2026</v>
      </c>
    </row>
    <row r="13078" spans="1:9" x14ac:dyDescent="0.25">
      <c r="A13078" t="s">
        <v>6</v>
      </c>
      <c r="B13078" s="1">
        <v>46202</v>
      </c>
      <c r="C13078">
        <v>21</v>
      </c>
      <c r="D13078">
        <v>579.17999999999995</v>
      </c>
      <c r="E13078">
        <v>37.799999999999997</v>
      </c>
      <c r="F13078" t="s">
        <v>7</v>
      </c>
      <c r="G13078" t="s">
        <v>12</v>
      </c>
      <c r="H13078" s="5">
        <f>MONTH(Tabela1[[#This Row],[data]])</f>
        <v>6</v>
      </c>
      <c r="I13078">
        <f>YEAR(Tabela1[[#This Row],[data]])</f>
        <v>2026</v>
      </c>
    </row>
    <row r="13079" spans="1:9" x14ac:dyDescent="0.25">
      <c r="A13079" t="s">
        <v>6</v>
      </c>
      <c r="B13079" s="1">
        <v>46202</v>
      </c>
      <c r="C13079">
        <v>22</v>
      </c>
      <c r="D13079">
        <v>554.82000000000005</v>
      </c>
      <c r="E13079">
        <v>28.56</v>
      </c>
      <c r="F13079" t="s">
        <v>7</v>
      </c>
      <c r="G13079" t="s">
        <v>12</v>
      </c>
      <c r="H13079" s="5">
        <f>MONTH(Tabela1[[#This Row],[data]])</f>
        <v>6</v>
      </c>
      <c r="I13079">
        <f>YEAR(Tabela1[[#This Row],[data]])</f>
        <v>2026</v>
      </c>
    </row>
    <row r="13080" spans="1:9" x14ac:dyDescent="0.25">
      <c r="A13080" t="s">
        <v>6</v>
      </c>
      <c r="B13080" s="1">
        <v>46202</v>
      </c>
      <c r="C13080">
        <v>23</v>
      </c>
      <c r="D13080">
        <v>366.24</v>
      </c>
      <c r="E13080">
        <v>0</v>
      </c>
      <c r="F13080" t="s">
        <v>7</v>
      </c>
      <c r="G13080" t="s">
        <v>12</v>
      </c>
      <c r="H13080" s="5">
        <f>MONTH(Tabela1[[#This Row],[data]])</f>
        <v>6</v>
      </c>
      <c r="I13080">
        <f>YEAR(Tabela1[[#This Row],[data]])</f>
        <v>2026</v>
      </c>
    </row>
    <row r="13081" spans="1:9" x14ac:dyDescent="0.25">
      <c r="A13081" t="s">
        <v>6</v>
      </c>
      <c r="B13081" s="1">
        <v>46202</v>
      </c>
      <c r="C13081">
        <v>24</v>
      </c>
      <c r="D13081">
        <v>283.08</v>
      </c>
      <c r="E13081">
        <v>0</v>
      </c>
      <c r="F13081" t="s">
        <v>7</v>
      </c>
      <c r="G13081" t="s">
        <v>12</v>
      </c>
      <c r="H13081" s="5">
        <f>MONTH(Tabela1[[#This Row],[data]])</f>
        <v>6</v>
      </c>
      <c r="I13081">
        <f>YEAR(Tabela1[[#This Row],[data]])</f>
        <v>2026</v>
      </c>
    </row>
    <row r="13082" spans="1:9" x14ac:dyDescent="0.25">
      <c r="A13082" t="s">
        <v>6</v>
      </c>
      <c r="B13082" s="1">
        <v>46203</v>
      </c>
      <c r="C13082">
        <v>1</v>
      </c>
      <c r="D13082">
        <v>276.36</v>
      </c>
      <c r="E13082">
        <v>0</v>
      </c>
      <c r="F13082" t="s">
        <v>7</v>
      </c>
      <c r="G13082" t="s">
        <v>12</v>
      </c>
      <c r="H13082" s="5">
        <f>MONTH(Tabela1[[#This Row],[data]])</f>
        <v>6</v>
      </c>
      <c r="I13082">
        <f>YEAR(Tabela1[[#This Row],[data]])</f>
        <v>2026</v>
      </c>
    </row>
    <row r="13083" spans="1:9" x14ac:dyDescent="0.25">
      <c r="A13083" t="s">
        <v>6</v>
      </c>
      <c r="B13083" s="1">
        <v>46203</v>
      </c>
      <c r="C13083">
        <v>2</v>
      </c>
      <c r="D13083">
        <v>255.78</v>
      </c>
      <c r="E13083">
        <v>0</v>
      </c>
      <c r="F13083" t="s">
        <v>7</v>
      </c>
      <c r="G13083" t="s">
        <v>12</v>
      </c>
      <c r="H13083" s="5">
        <f>MONTH(Tabela1[[#This Row],[data]])</f>
        <v>6</v>
      </c>
      <c r="I13083">
        <f>YEAR(Tabela1[[#This Row],[data]])</f>
        <v>2026</v>
      </c>
    </row>
    <row r="13084" spans="1:9" x14ac:dyDescent="0.25">
      <c r="A13084" t="s">
        <v>6</v>
      </c>
      <c r="B13084" s="1">
        <v>46203</v>
      </c>
      <c r="C13084">
        <v>3</v>
      </c>
      <c r="D13084">
        <v>248.22</v>
      </c>
      <c r="E13084">
        <v>0</v>
      </c>
      <c r="F13084" t="s">
        <v>7</v>
      </c>
      <c r="G13084" t="s">
        <v>12</v>
      </c>
      <c r="H13084" s="5">
        <f>MONTH(Tabela1[[#This Row],[data]])</f>
        <v>6</v>
      </c>
      <c r="I13084">
        <f>YEAR(Tabela1[[#This Row],[data]])</f>
        <v>2026</v>
      </c>
    </row>
    <row r="13085" spans="1:9" x14ac:dyDescent="0.25">
      <c r="A13085" t="s">
        <v>6</v>
      </c>
      <c r="B13085" s="1">
        <v>46203</v>
      </c>
      <c r="C13085">
        <v>4</v>
      </c>
      <c r="D13085">
        <v>244.86</v>
      </c>
      <c r="E13085">
        <v>0</v>
      </c>
      <c r="F13085" t="s">
        <v>7</v>
      </c>
      <c r="G13085" t="s">
        <v>12</v>
      </c>
      <c r="H13085" s="5">
        <f>MONTH(Tabela1[[#This Row],[data]])</f>
        <v>6</v>
      </c>
      <c r="I13085">
        <f>YEAR(Tabela1[[#This Row],[data]])</f>
        <v>2026</v>
      </c>
    </row>
    <row r="13086" spans="1:9" x14ac:dyDescent="0.25">
      <c r="A13086" t="s">
        <v>6</v>
      </c>
      <c r="B13086" s="1">
        <v>46203</v>
      </c>
      <c r="C13086">
        <v>5</v>
      </c>
      <c r="D13086">
        <v>249.48</v>
      </c>
      <c r="E13086">
        <v>0</v>
      </c>
      <c r="F13086" t="s">
        <v>7</v>
      </c>
      <c r="G13086" t="s">
        <v>12</v>
      </c>
      <c r="H13086" s="5">
        <f>MONTH(Tabela1[[#This Row],[data]])</f>
        <v>6</v>
      </c>
      <c r="I13086">
        <f>YEAR(Tabela1[[#This Row],[data]])</f>
        <v>2026</v>
      </c>
    </row>
    <row r="13087" spans="1:9" x14ac:dyDescent="0.25">
      <c r="A13087" t="s">
        <v>6</v>
      </c>
      <c r="B13087" s="1">
        <v>46203</v>
      </c>
      <c r="C13087">
        <v>6</v>
      </c>
      <c r="D13087">
        <v>243.6</v>
      </c>
      <c r="E13087">
        <v>0</v>
      </c>
      <c r="F13087" t="s">
        <v>7</v>
      </c>
      <c r="G13087" t="s">
        <v>12</v>
      </c>
      <c r="H13087" s="5">
        <f>MONTH(Tabela1[[#This Row],[data]])</f>
        <v>6</v>
      </c>
      <c r="I13087">
        <f>YEAR(Tabela1[[#This Row],[data]])</f>
        <v>2026</v>
      </c>
    </row>
    <row r="13088" spans="1:9" x14ac:dyDescent="0.25">
      <c r="A13088" t="s">
        <v>6</v>
      </c>
      <c r="B13088" s="1">
        <v>46203</v>
      </c>
      <c r="C13088">
        <v>7</v>
      </c>
      <c r="D13088">
        <v>249.9</v>
      </c>
      <c r="E13088">
        <v>0</v>
      </c>
      <c r="F13088" t="s">
        <v>7</v>
      </c>
      <c r="G13088" t="s">
        <v>12</v>
      </c>
      <c r="H13088" s="5">
        <f>MONTH(Tabela1[[#This Row],[data]])</f>
        <v>6</v>
      </c>
      <c r="I13088">
        <f>YEAR(Tabela1[[#This Row],[data]])</f>
        <v>2026</v>
      </c>
    </row>
    <row r="13089" spans="1:9" x14ac:dyDescent="0.25">
      <c r="A13089" t="s">
        <v>6</v>
      </c>
      <c r="B13089" s="1">
        <v>46203</v>
      </c>
      <c r="C13089">
        <v>8</v>
      </c>
      <c r="D13089">
        <v>246.54</v>
      </c>
      <c r="E13089">
        <v>0</v>
      </c>
      <c r="F13089" t="s">
        <v>7</v>
      </c>
      <c r="G13089" t="s">
        <v>12</v>
      </c>
      <c r="H13089" s="5">
        <f>MONTH(Tabela1[[#This Row],[data]])</f>
        <v>6</v>
      </c>
      <c r="I13089">
        <f>YEAR(Tabela1[[#This Row],[data]])</f>
        <v>2026</v>
      </c>
    </row>
    <row r="13090" spans="1:9" x14ac:dyDescent="0.25">
      <c r="A13090" t="s">
        <v>6</v>
      </c>
      <c r="B13090" s="1">
        <v>46203</v>
      </c>
      <c r="C13090">
        <v>9</v>
      </c>
      <c r="D13090">
        <v>303.24</v>
      </c>
      <c r="E13090">
        <v>0</v>
      </c>
      <c r="F13090" t="s">
        <v>7</v>
      </c>
      <c r="G13090" t="s">
        <v>12</v>
      </c>
      <c r="H13090" s="5">
        <f>MONTH(Tabela1[[#This Row],[data]])</f>
        <v>6</v>
      </c>
      <c r="I13090">
        <f>YEAR(Tabela1[[#This Row],[data]])</f>
        <v>2026</v>
      </c>
    </row>
    <row r="13091" spans="1:9" x14ac:dyDescent="0.25">
      <c r="A13091" t="s">
        <v>6</v>
      </c>
      <c r="B13091" s="1">
        <v>46203</v>
      </c>
      <c r="C13091">
        <v>10</v>
      </c>
      <c r="D13091">
        <v>403.62</v>
      </c>
      <c r="E13091">
        <v>2.52</v>
      </c>
      <c r="F13091" t="s">
        <v>7</v>
      </c>
      <c r="G13091" t="s">
        <v>12</v>
      </c>
      <c r="H13091" s="5">
        <f>MONTH(Tabela1[[#This Row],[data]])</f>
        <v>6</v>
      </c>
      <c r="I13091">
        <f>YEAR(Tabela1[[#This Row],[data]])</f>
        <v>2026</v>
      </c>
    </row>
    <row r="13092" spans="1:9" x14ac:dyDescent="0.25">
      <c r="A13092" t="s">
        <v>6</v>
      </c>
      <c r="B13092" s="1">
        <v>46203</v>
      </c>
      <c r="C13092">
        <v>11</v>
      </c>
      <c r="D13092">
        <v>540.12</v>
      </c>
      <c r="E13092">
        <v>36.96</v>
      </c>
      <c r="F13092" t="s">
        <v>7</v>
      </c>
      <c r="G13092" t="s">
        <v>12</v>
      </c>
      <c r="H13092" s="5">
        <f>MONTH(Tabela1[[#This Row],[data]])</f>
        <v>6</v>
      </c>
      <c r="I13092">
        <f>YEAR(Tabela1[[#This Row],[data]])</f>
        <v>2026</v>
      </c>
    </row>
    <row r="13093" spans="1:9" x14ac:dyDescent="0.25">
      <c r="A13093" t="s">
        <v>6</v>
      </c>
      <c r="B13093" s="1">
        <v>46203</v>
      </c>
      <c r="C13093">
        <v>12</v>
      </c>
      <c r="D13093">
        <v>592.62</v>
      </c>
      <c r="E13093">
        <v>57.12</v>
      </c>
      <c r="F13093" t="s">
        <v>7</v>
      </c>
      <c r="G13093" t="s">
        <v>12</v>
      </c>
      <c r="H13093" s="5">
        <f>MONTH(Tabela1[[#This Row],[data]])</f>
        <v>6</v>
      </c>
      <c r="I13093">
        <f>YEAR(Tabela1[[#This Row],[data]])</f>
        <v>2026</v>
      </c>
    </row>
    <row r="13094" spans="1:9" x14ac:dyDescent="0.25">
      <c r="A13094" t="s">
        <v>6</v>
      </c>
      <c r="B13094" s="1">
        <v>46203</v>
      </c>
      <c r="C13094">
        <v>13</v>
      </c>
      <c r="D13094">
        <v>723.24</v>
      </c>
      <c r="E13094">
        <v>126</v>
      </c>
      <c r="F13094" t="s">
        <v>7</v>
      </c>
      <c r="G13094" t="s">
        <v>12</v>
      </c>
      <c r="H13094" s="5">
        <f>MONTH(Tabela1[[#This Row],[data]])</f>
        <v>6</v>
      </c>
      <c r="I13094">
        <f>YEAR(Tabela1[[#This Row],[data]])</f>
        <v>2026</v>
      </c>
    </row>
    <row r="13095" spans="1:9" x14ac:dyDescent="0.25">
      <c r="A13095" t="s">
        <v>6</v>
      </c>
      <c r="B13095" s="1">
        <v>46203</v>
      </c>
      <c r="C13095">
        <v>14</v>
      </c>
      <c r="D13095">
        <v>806.4</v>
      </c>
      <c r="E13095">
        <v>168.84</v>
      </c>
      <c r="F13095" t="s">
        <v>7</v>
      </c>
      <c r="G13095" t="s">
        <v>12</v>
      </c>
      <c r="H13095" s="5">
        <f>MONTH(Tabela1[[#This Row],[data]])</f>
        <v>6</v>
      </c>
      <c r="I13095">
        <f>YEAR(Tabela1[[#This Row],[data]])</f>
        <v>2026</v>
      </c>
    </row>
    <row r="13096" spans="1:9" x14ac:dyDescent="0.25">
      <c r="A13096" t="s">
        <v>6</v>
      </c>
      <c r="B13096" s="1">
        <v>46203</v>
      </c>
      <c r="C13096">
        <v>15</v>
      </c>
      <c r="D13096">
        <v>793.38</v>
      </c>
      <c r="E13096">
        <v>165.48</v>
      </c>
      <c r="F13096" t="s">
        <v>7</v>
      </c>
      <c r="G13096" t="s">
        <v>12</v>
      </c>
      <c r="H13096" s="5">
        <f>MONTH(Tabela1[[#This Row],[data]])</f>
        <v>6</v>
      </c>
      <c r="I13096">
        <f>YEAR(Tabela1[[#This Row],[data]])</f>
        <v>2026</v>
      </c>
    </row>
    <row r="13097" spans="1:9" x14ac:dyDescent="0.25">
      <c r="A13097" t="s">
        <v>6</v>
      </c>
      <c r="B13097" s="1">
        <v>46203</v>
      </c>
      <c r="C13097">
        <v>16</v>
      </c>
      <c r="D13097">
        <v>801.78</v>
      </c>
      <c r="E13097">
        <v>171.36</v>
      </c>
      <c r="F13097" t="s">
        <v>7</v>
      </c>
      <c r="G13097" t="s">
        <v>12</v>
      </c>
      <c r="H13097" s="5">
        <f>MONTH(Tabela1[[#This Row],[data]])</f>
        <v>6</v>
      </c>
      <c r="I13097">
        <f>YEAR(Tabela1[[#This Row],[data]])</f>
        <v>2026</v>
      </c>
    </row>
    <row r="13098" spans="1:9" x14ac:dyDescent="0.25">
      <c r="A13098" t="s">
        <v>6</v>
      </c>
      <c r="B13098" s="1">
        <v>46203</v>
      </c>
      <c r="C13098">
        <v>17</v>
      </c>
      <c r="D13098">
        <v>785.82</v>
      </c>
      <c r="E13098">
        <v>173.04</v>
      </c>
      <c r="F13098" t="s">
        <v>7</v>
      </c>
      <c r="G13098" t="s">
        <v>12</v>
      </c>
      <c r="H13098" s="5">
        <f>MONTH(Tabela1[[#This Row],[data]])</f>
        <v>6</v>
      </c>
      <c r="I13098">
        <f>YEAR(Tabela1[[#This Row],[data]])</f>
        <v>2026</v>
      </c>
    </row>
    <row r="13099" spans="1:9" x14ac:dyDescent="0.25">
      <c r="A13099" t="s">
        <v>6</v>
      </c>
      <c r="B13099" s="1">
        <v>46203</v>
      </c>
      <c r="C13099">
        <v>18</v>
      </c>
      <c r="D13099">
        <v>770.28</v>
      </c>
      <c r="E13099">
        <v>176.4</v>
      </c>
      <c r="F13099" t="s">
        <v>7</v>
      </c>
      <c r="G13099" t="s">
        <v>12</v>
      </c>
      <c r="H13099" s="5">
        <f>MONTH(Tabela1[[#This Row],[data]])</f>
        <v>6</v>
      </c>
      <c r="I13099">
        <f>YEAR(Tabela1[[#This Row],[data]])</f>
        <v>2026</v>
      </c>
    </row>
    <row r="13100" spans="1:9" x14ac:dyDescent="0.25">
      <c r="A13100" t="s">
        <v>6</v>
      </c>
      <c r="B13100" s="1">
        <v>46203</v>
      </c>
      <c r="C13100">
        <v>19</v>
      </c>
      <c r="D13100">
        <v>646.38</v>
      </c>
      <c r="E13100">
        <v>69.72</v>
      </c>
      <c r="F13100" t="s">
        <v>7</v>
      </c>
      <c r="G13100" t="s">
        <v>12</v>
      </c>
      <c r="H13100" s="5">
        <f>MONTH(Tabela1[[#This Row],[data]])</f>
        <v>6</v>
      </c>
      <c r="I13100">
        <f>YEAR(Tabela1[[#This Row],[data]])</f>
        <v>2026</v>
      </c>
    </row>
    <row r="13101" spans="1:9" x14ac:dyDescent="0.25">
      <c r="A13101" t="s">
        <v>6</v>
      </c>
      <c r="B13101" s="1">
        <v>46203</v>
      </c>
      <c r="C13101">
        <v>20</v>
      </c>
      <c r="D13101">
        <v>600.17999999999995</v>
      </c>
      <c r="E13101">
        <v>53.76</v>
      </c>
      <c r="F13101" t="s">
        <v>7</v>
      </c>
      <c r="G13101" t="s">
        <v>11</v>
      </c>
      <c r="H13101" s="5">
        <f>MONTH(Tabela1[[#This Row],[data]])</f>
        <v>6</v>
      </c>
      <c r="I13101">
        <f>YEAR(Tabela1[[#This Row],[data]])</f>
        <v>2026</v>
      </c>
    </row>
    <row r="13102" spans="1:9" x14ac:dyDescent="0.25">
      <c r="A13102" t="s">
        <v>6</v>
      </c>
      <c r="B13102" s="1">
        <v>46203</v>
      </c>
      <c r="C13102">
        <v>21</v>
      </c>
      <c r="D13102">
        <v>602.70000000000005</v>
      </c>
      <c r="E13102">
        <v>62.58</v>
      </c>
      <c r="F13102" t="s">
        <v>7</v>
      </c>
      <c r="G13102" t="s">
        <v>11</v>
      </c>
      <c r="H13102" s="5">
        <f>MONTH(Tabela1[[#This Row],[data]])</f>
        <v>6</v>
      </c>
      <c r="I13102">
        <f>YEAR(Tabela1[[#This Row],[data]])</f>
        <v>2026</v>
      </c>
    </row>
    <row r="13103" spans="1:9" x14ac:dyDescent="0.25">
      <c r="A13103" t="s">
        <v>6</v>
      </c>
      <c r="B13103" s="1">
        <v>46203</v>
      </c>
      <c r="C13103">
        <v>22</v>
      </c>
      <c r="D13103">
        <v>569.94000000000005</v>
      </c>
      <c r="E13103">
        <v>46.2</v>
      </c>
      <c r="F13103" t="s">
        <v>7</v>
      </c>
      <c r="G13103" t="s">
        <v>11</v>
      </c>
      <c r="H13103" s="5">
        <f>MONTH(Tabela1[[#This Row],[data]])</f>
        <v>6</v>
      </c>
      <c r="I13103">
        <f>YEAR(Tabela1[[#This Row],[data]])</f>
        <v>2026</v>
      </c>
    </row>
    <row r="13104" spans="1:9" x14ac:dyDescent="0.25">
      <c r="A13104" t="s">
        <v>6</v>
      </c>
      <c r="B13104" s="1">
        <v>46203</v>
      </c>
      <c r="C13104">
        <v>23</v>
      </c>
      <c r="D13104">
        <v>384.3</v>
      </c>
      <c r="E13104">
        <v>0</v>
      </c>
      <c r="F13104" t="s">
        <v>7</v>
      </c>
      <c r="G13104" t="s">
        <v>11</v>
      </c>
      <c r="H13104" s="5">
        <f>MONTH(Tabela1[[#This Row],[data]])</f>
        <v>6</v>
      </c>
      <c r="I13104">
        <f>YEAR(Tabela1[[#This Row],[data]])</f>
        <v>2026</v>
      </c>
    </row>
    <row r="13105" spans="1:9" x14ac:dyDescent="0.25">
      <c r="A13105" t="s">
        <v>6</v>
      </c>
      <c r="B13105" s="1">
        <v>46203</v>
      </c>
      <c r="C13105">
        <v>24</v>
      </c>
      <c r="D13105">
        <v>291.48</v>
      </c>
      <c r="E13105">
        <v>0</v>
      </c>
      <c r="F13105" t="s">
        <v>7</v>
      </c>
      <c r="G13105" t="s">
        <v>11</v>
      </c>
      <c r="H13105" s="5">
        <f>MONTH(Tabela1[[#This Row],[data]])</f>
        <v>6</v>
      </c>
      <c r="I13105">
        <f>YEAR(Tabela1[[#This Row],[data]])</f>
        <v>2026</v>
      </c>
    </row>
    <row r="13106" spans="1:9" x14ac:dyDescent="0.25">
      <c r="A13106" t="s">
        <v>6</v>
      </c>
      <c r="B13106" s="1">
        <v>46204</v>
      </c>
      <c r="C13106">
        <v>1</v>
      </c>
      <c r="D13106">
        <v>269.22000000000003</v>
      </c>
      <c r="E13106">
        <v>0</v>
      </c>
      <c r="F13106" t="s">
        <v>7</v>
      </c>
      <c r="G13106" t="s">
        <v>12</v>
      </c>
      <c r="H13106" s="5">
        <f>MONTH(Tabela1[[#This Row],[data]])</f>
        <v>7</v>
      </c>
      <c r="I13106">
        <f>YEAR(Tabela1[[#This Row],[data]])</f>
        <v>2026</v>
      </c>
    </row>
    <row r="13107" spans="1:9" x14ac:dyDescent="0.25">
      <c r="A13107" t="s">
        <v>6</v>
      </c>
      <c r="B13107" s="1">
        <v>46204</v>
      </c>
      <c r="C13107">
        <v>2</v>
      </c>
      <c r="D13107">
        <v>251.58</v>
      </c>
      <c r="E13107">
        <v>0</v>
      </c>
      <c r="F13107" t="s">
        <v>7</v>
      </c>
      <c r="G13107" t="s">
        <v>12</v>
      </c>
      <c r="H13107" s="5">
        <f>MONTH(Tabela1[[#This Row],[data]])</f>
        <v>7</v>
      </c>
      <c r="I13107">
        <f>YEAR(Tabela1[[#This Row],[data]])</f>
        <v>2026</v>
      </c>
    </row>
    <row r="13108" spans="1:9" x14ac:dyDescent="0.25">
      <c r="A13108" t="s">
        <v>6</v>
      </c>
      <c r="B13108" s="1">
        <v>46204</v>
      </c>
      <c r="C13108">
        <v>3</v>
      </c>
      <c r="D13108">
        <v>243.6</v>
      </c>
      <c r="E13108">
        <v>0</v>
      </c>
      <c r="F13108" t="s">
        <v>7</v>
      </c>
      <c r="G13108" t="s">
        <v>12</v>
      </c>
      <c r="H13108" s="5">
        <f>MONTH(Tabela1[[#This Row],[data]])</f>
        <v>7</v>
      </c>
      <c r="I13108">
        <f>YEAR(Tabela1[[#This Row],[data]])</f>
        <v>2026</v>
      </c>
    </row>
    <row r="13109" spans="1:9" x14ac:dyDescent="0.25">
      <c r="A13109" t="s">
        <v>6</v>
      </c>
      <c r="B13109" s="1">
        <v>46204</v>
      </c>
      <c r="C13109">
        <v>4</v>
      </c>
      <c r="D13109">
        <v>244.44</v>
      </c>
      <c r="E13109">
        <v>0</v>
      </c>
      <c r="F13109" t="s">
        <v>7</v>
      </c>
      <c r="G13109" t="s">
        <v>12</v>
      </c>
      <c r="H13109" s="5">
        <f>MONTH(Tabela1[[#This Row],[data]])</f>
        <v>7</v>
      </c>
      <c r="I13109">
        <f>YEAR(Tabela1[[#This Row],[data]])</f>
        <v>2026</v>
      </c>
    </row>
    <row r="13110" spans="1:9" x14ac:dyDescent="0.25">
      <c r="A13110" t="s">
        <v>6</v>
      </c>
      <c r="B13110" s="1">
        <v>46204</v>
      </c>
      <c r="C13110">
        <v>5</v>
      </c>
      <c r="D13110">
        <v>243.6</v>
      </c>
      <c r="E13110">
        <v>0</v>
      </c>
      <c r="F13110" t="s">
        <v>7</v>
      </c>
      <c r="G13110" t="s">
        <v>12</v>
      </c>
      <c r="H13110" s="5">
        <f>MONTH(Tabela1[[#This Row],[data]])</f>
        <v>7</v>
      </c>
      <c r="I13110">
        <f>YEAR(Tabela1[[#This Row],[data]])</f>
        <v>2026</v>
      </c>
    </row>
    <row r="13111" spans="1:9" x14ac:dyDescent="0.25">
      <c r="A13111" t="s">
        <v>6</v>
      </c>
      <c r="B13111" s="1">
        <v>46204</v>
      </c>
      <c r="C13111">
        <v>6</v>
      </c>
      <c r="D13111">
        <v>239.82</v>
      </c>
      <c r="E13111">
        <v>0</v>
      </c>
      <c r="F13111" t="s">
        <v>7</v>
      </c>
      <c r="G13111" t="s">
        <v>12</v>
      </c>
      <c r="H13111" s="5">
        <f>MONTH(Tabela1[[#This Row],[data]])</f>
        <v>7</v>
      </c>
      <c r="I13111">
        <f>YEAR(Tabela1[[#This Row],[data]])</f>
        <v>2026</v>
      </c>
    </row>
    <row r="13112" spans="1:9" x14ac:dyDescent="0.25">
      <c r="A13112" t="s">
        <v>6</v>
      </c>
      <c r="B13112" s="1">
        <v>46204</v>
      </c>
      <c r="C13112">
        <v>7</v>
      </c>
      <c r="D13112">
        <v>236.46</v>
      </c>
      <c r="E13112">
        <v>0</v>
      </c>
      <c r="F13112" t="s">
        <v>7</v>
      </c>
      <c r="G13112" t="s">
        <v>12</v>
      </c>
      <c r="H13112" s="5">
        <f>MONTH(Tabela1[[#This Row],[data]])</f>
        <v>7</v>
      </c>
      <c r="I13112">
        <f>YEAR(Tabela1[[#This Row],[data]])</f>
        <v>2026</v>
      </c>
    </row>
    <row r="13113" spans="1:9" x14ac:dyDescent="0.25">
      <c r="A13113" t="s">
        <v>6</v>
      </c>
      <c r="B13113" s="1">
        <v>46204</v>
      </c>
      <c r="C13113">
        <v>8</v>
      </c>
      <c r="D13113">
        <v>270.06</v>
      </c>
      <c r="E13113">
        <v>0</v>
      </c>
      <c r="F13113" t="s">
        <v>7</v>
      </c>
      <c r="G13113" t="s">
        <v>12</v>
      </c>
      <c r="H13113" s="5">
        <f>MONTH(Tabela1[[#This Row],[data]])</f>
        <v>7</v>
      </c>
      <c r="I13113">
        <f>YEAR(Tabela1[[#This Row],[data]])</f>
        <v>2026</v>
      </c>
    </row>
    <row r="13114" spans="1:9" x14ac:dyDescent="0.25">
      <c r="A13114" t="s">
        <v>6</v>
      </c>
      <c r="B13114" s="1">
        <v>46204</v>
      </c>
      <c r="C13114">
        <v>9</v>
      </c>
      <c r="D13114">
        <v>324.24</v>
      </c>
      <c r="E13114">
        <v>0</v>
      </c>
      <c r="F13114" t="s">
        <v>7</v>
      </c>
      <c r="G13114" t="s">
        <v>12</v>
      </c>
      <c r="H13114" s="5">
        <f>MONTH(Tabela1[[#This Row],[data]])</f>
        <v>7</v>
      </c>
      <c r="I13114">
        <f>YEAR(Tabela1[[#This Row],[data]])</f>
        <v>2026</v>
      </c>
    </row>
    <row r="13115" spans="1:9" x14ac:dyDescent="0.25">
      <c r="A13115" t="s">
        <v>6</v>
      </c>
      <c r="B13115" s="1">
        <v>46204</v>
      </c>
      <c r="C13115">
        <v>10</v>
      </c>
      <c r="D13115">
        <v>409.08</v>
      </c>
      <c r="E13115">
        <v>0.84</v>
      </c>
      <c r="F13115" t="s">
        <v>7</v>
      </c>
      <c r="G13115" t="s">
        <v>12</v>
      </c>
      <c r="H13115" s="5">
        <f>MONTH(Tabela1[[#This Row],[data]])</f>
        <v>7</v>
      </c>
      <c r="I13115">
        <f>YEAR(Tabela1[[#This Row],[data]])</f>
        <v>2026</v>
      </c>
    </row>
    <row r="13116" spans="1:9" x14ac:dyDescent="0.25">
      <c r="A13116" t="s">
        <v>6</v>
      </c>
      <c r="B13116" s="1">
        <v>46204</v>
      </c>
      <c r="C13116">
        <v>11</v>
      </c>
      <c r="D13116">
        <v>531.72</v>
      </c>
      <c r="E13116">
        <v>23.52</v>
      </c>
      <c r="F13116" t="s">
        <v>7</v>
      </c>
      <c r="G13116" t="s">
        <v>12</v>
      </c>
      <c r="H13116" s="5">
        <f>MONTH(Tabela1[[#This Row],[data]])</f>
        <v>7</v>
      </c>
      <c r="I13116">
        <f>YEAR(Tabela1[[#This Row],[data]])</f>
        <v>2026</v>
      </c>
    </row>
    <row r="13117" spans="1:9" x14ac:dyDescent="0.25">
      <c r="A13117" t="s">
        <v>6</v>
      </c>
      <c r="B13117" s="1">
        <v>46204</v>
      </c>
      <c r="C13117">
        <v>12</v>
      </c>
      <c r="D13117">
        <v>712.74</v>
      </c>
      <c r="E13117">
        <v>93.24</v>
      </c>
      <c r="F13117" t="s">
        <v>7</v>
      </c>
      <c r="G13117" t="s">
        <v>12</v>
      </c>
      <c r="H13117" s="5">
        <f>MONTH(Tabela1[[#This Row],[data]])</f>
        <v>7</v>
      </c>
      <c r="I13117">
        <f>YEAR(Tabela1[[#This Row],[data]])</f>
        <v>2026</v>
      </c>
    </row>
    <row r="13118" spans="1:9" x14ac:dyDescent="0.25">
      <c r="A13118" t="s">
        <v>6</v>
      </c>
      <c r="B13118" s="1">
        <v>46204</v>
      </c>
      <c r="C13118">
        <v>13</v>
      </c>
      <c r="D13118">
        <v>932.4</v>
      </c>
      <c r="E13118">
        <v>196.56</v>
      </c>
      <c r="F13118" t="s">
        <v>7</v>
      </c>
      <c r="G13118" t="s">
        <v>12</v>
      </c>
      <c r="H13118" s="5">
        <f>MONTH(Tabela1[[#This Row],[data]])</f>
        <v>7</v>
      </c>
      <c r="I13118">
        <f>YEAR(Tabela1[[#This Row],[data]])</f>
        <v>2026</v>
      </c>
    </row>
    <row r="13119" spans="1:9" x14ac:dyDescent="0.25">
      <c r="A13119" t="s">
        <v>6</v>
      </c>
      <c r="B13119" s="1">
        <v>46204</v>
      </c>
      <c r="C13119">
        <v>14</v>
      </c>
      <c r="D13119">
        <v>840</v>
      </c>
      <c r="E13119">
        <v>164.64</v>
      </c>
      <c r="F13119" t="s">
        <v>7</v>
      </c>
      <c r="G13119" t="s">
        <v>12</v>
      </c>
      <c r="H13119" s="5">
        <f>MONTH(Tabela1[[#This Row],[data]])</f>
        <v>7</v>
      </c>
      <c r="I13119">
        <f>YEAR(Tabela1[[#This Row],[data]])</f>
        <v>2026</v>
      </c>
    </row>
    <row r="13120" spans="1:9" x14ac:dyDescent="0.25">
      <c r="A13120" t="s">
        <v>6</v>
      </c>
      <c r="B13120" s="1">
        <v>46204</v>
      </c>
      <c r="C13120">
        <v>15</v>
      </c>
      <c r="D13120">
        <v>836.22</v>
      </c>
      <c r="E13120">
        <v>160.02000000000001</v>
      </c>
      <c r="F13120" t="s">
        <v>7</v>
      </c>
      <c r="G13120" t="s">
        <v>12</v>
      </c>
      <c r="H13120" s="5">
        <f>MONTH(Tabela1[[#This Row],[data]])</f>
        <v>7</v>
      </c>
      <c r="I13120">
        <f>YEAR(Tabela1[[#This Row],[data]])</f>
        <v>2026</v>
      </c>
    </row>
    <row r="13121" spans="1:9" x14ac:dyDescent="0.25">
      <c r="A13121" t="s">
        <v>6</v>
      </c>
      <c r="B13121" s="1">
        <v>46204</v>
      </c>
      <c r="C13121">
        <v>16</v>
      </c>
      <c r="D13121">
        <v>853.02</v>
      </c>
      <c r="E13121">
        <v>169.68</v>
      </c>
      <c r="F13121" t="s">
        <v>7</v>
      </c>
      <c r="G13121" t="s">
        <v>12</v>
      </c>
      <c r="H13121" s="5">
        <f>MONTH(Tabela1[[#This Row],[data]])</f>
        <v>7</v>
      </c>
      <c r="I13121">
        <f>YEAR(Tabela1[[#This Row],[data]])</f>
        <v>2026</v>
      </c>
    </row>
    <row r="13122" spans="1:9" x14ac:dyDescent="0.25">
      <c r="A13122" t="s">
        <v>6</v>
      </c>
      <c r="B13122" s="1">
        <v>46204</v>
      </c>
      <c r="C13122">
        <v>17</v>
      </c>
      <c r="D13122">
        <v>843.36</v>
      </c>
      <c r="E13122">
        <v>185.22</v>
      </c>
      <c r="F13122" t="s">
        <v>7</v>
      </c>
      <c r="G13122" t="s">
        <v>12</v>
      </c>
      <c r="H13122" s="5">
        <f>MONTH(Tabela1[[#This Row],[data]])</f>
        <v>7</v>
      </c>
      <c r="I13122">
        <f>YEAR(Tabela1[[#This Row],[data]])</f>
        <v>2026</v>
      </c>
    </row>
    <row r="13123" spans="1:9" x14ac:dyDescent="0.25">
      <c r="A13123" t="s">
        <v>6</v>
      </c>
      <c r="B13123" s="1">
        <v>46204</v>
      </c>
      <c r="C13123">
        <v>18</v>
      </c>
      <c r="D13123">
        <v>815.22</v>
      </c>
      <c r="E13123">
        <v>163.38</v>
      </c>
      <c r="F13123" t="s">
        <v>7</v>
      </c>
      <c r="G13123" t="s">
        <v>12</v>
      </c>
      <c r="H13123" s="5">
        <f>MONTH(Tabela1[[#This Row],[data]])</f>
        <v>7</v>
      </c>
      <c r="I13123">
        <f>YEAR(Tabela1[[#This Row],[data]])</f>
        <v>2026</v>
      </c>
    </row>
    <row r="13124" spans="1:9" x14ac:dyDescent="0.25">
      <c r="A13124" t="s">
        <v>6</v>
      </c>
      <c r="B13124" s="1">
        <v>46204</v>
      </c>
      <c r="C13124">
        <v>19</v>
      </c>
      <c r="D13124">
        <v>808.92</v>
      </c>
      <c r="E13124">
        <v>143.22</v>
      </c>
      <c r="F13124" t="s">
        <v>7</v>
      </c>
      <c r="G13124" t="s">
        <v>12</v>
      </c>
      <c r="H13124" s="5">
        <f>MONTH(Tabela1[[#This Row],[data]])</f>
        <v>7</v>
      </c>
      <c r="I13124">
        <f>YEAR(Tabela1[[#This Row],[data]])</f>
        <v>2026</v>
      </c>
    </row>
    <row r="13125" spans="1:9" x14ac:dyDescent="0.25">
      <c r="A13125" t="s">
        <v>6</v>
      </c>
      <c r="B13125" s="1">
        <v>46204</v>
      </c>
      <c r="C13125">
        <v>20</v>
      </c>
      <c r="D13125">
        <v>746.76</v>
      </c>
      <c r="E13125">
        <v>125.16</v>
      </c>
      <c r="F13125" t="s">
        <v>7</v>
      </c>
      <c r="G13125" t="s">
        <v>12</v>
      </c>
      <c r="H13125" s="5">
        <f>MONTH(Tabela1[[#This Row],[data]])</f>
        <v>7</v>
      </c>
      <c r="I13125">
        <f>YEAR(Tabela1[[#This Row],[data]])</f>
        <v>2026</v>
      </c>
    </row>
    <row r="13126" spans="1:9" x14ac:dyDescent="0.25">
      <c r="A13126" t="s">
        <v>6</v>
      </c>
      <c r="B13126" s="1">
        <v>46204</v>
      </c>
      <c r="C13126">
        <v>21</v>
      </c>
      <c r="D13126">
        <v>576.24</v>
      </c>
      <c r="E13126">
        <v>26.46</v>
      </c>
      <c r="F13126" t="s">
        <v>7</v>
      </c>
      <c r="G13126" t="s">
        <v>12</v>
      </c>
      <c r="H13126" s="5">
        <f>MONTH(Tabela1[[#This Row],[data]])</f>
        <v>7</v>
      </c>
      <c r="I13126">
        <f>YEAR(Tabela1[[#This Row],[data]])</f>
        <v>2026</v>
      </c>
    </row>
    <row r="13127" spans="1:9" x14ac:dyDescent="0.25">
      <c r="A13127" t="s">
        <v>6</v>
      </c>
      <c r="B13127" s="1">
        <v>46204</v>
      </c>
      <c r="C13127">
        <v>22</v>
      </c>
      <c r="D13127">
        <v>557.34</v>
      </c>
      <c r="E13127">
        <v>27.72</v>
      </c>
      <c r="F13127" t="s">
        <v>7</v>
      </c>
      <c r="G13127" t="s">
        <v>12</v>
      </c>
      <c r="H13127" s="5">
        <f>MONTH(Tabela1[[#This Row],[data]])</f>
        <v>7</v>
      </c>
      <c r="I13127">
        <f>YEAR(Tabela1[[#This Row],[data]])</f>
        <v>2026</v>
      </c>
    </row>
    <row r="13128" spans="1:9" x14ac:dyDescent="0.25">
      <c r="A13128" t="s">
        <v>6</v>
      </c>
      <c r="B13128" s="1">
        <v>46204</v>
      </c>
      <c r="C13128">
        <v>23</v>
      </c>
      <c r="D13128">
        <v>365.4</v>
      </c>
      <c r="E13128">
        <v>0</v>
      </c>
      <c r="F13128" t="s">
        <v>7</v>
      </c>
      <c r="G13128" t="s">
        <v>12</v>
      </c>
      <c r="H13128" s="5">
        <f>MONTH(Tabela1[[#This Row],[data]])</f>
        <v>7</v>
      </c>
      <c r="I13128">
        <f>YEAR(Tabela1[[#This Row],[data]])</f>
        <v>2026</v>
      </c>
    </row>
    <row r="13129" spans="1:9" x14ac:dyDescent="0.25">
      <c r="A13129" t="s">
        <v>6</v>
      </c>
      <c r="B13129" s="1">
        <v>46204</v>
      </c>
      <c r="C13129">
        <v>24</v>
      </c>
      <c r="D13129">
        <v>278.04000000000002</v>
      </c>
      <c r="E13129">
        <v>0</v>
      </c>
      <c r="F13129" t="s">
        <v>7</v>
      </c>
      <c r="G13129" t="s">
        <v>12</v>
      </c>
      <c r="H13129" s="5">
        <f>MONTH(Tabela1[[#This Row],[data]])</f>
        <v>7</v>
      </c>
      <c r="I13129">
        <f>YEAR(Tabela1[[#This Row],[data]])</f>
        <v>2026</v>
      </c>
    </row>
    <row r="13130" spans="1:9" x14ac:dyDescent="0.25">
      <c r="A13130" t="s">
        <v>6</v>
      </c>
      <c r="B13130" s="1">
        <v>46205</v>
      </c>
      <c r="C13130">
        <v>1</v>
      </c>
      <c r="D13130">
        <v>240.52</v>
      </c>
      <c r="E13130">
        <v>0</v>
      </c>
      <c r="F13130" t="s">
        <v>7</v>
      </c>
      <c r="G13130" t="s">
        <v>44</v>
      </c>
      <c r="H13130" s="5">
        <f>MONTH(Tabela1[[#This Row],[data]])</f>
        <v>7</v>
      </c>
      <c r="I13130">
        <f>YEAR(Tabela1[[#This Row],[data]])</f>
        <v>2026</v>
      </c>
    </row>
    <row r="13131" spans="1:9" x14ac:dyDescent="0.25">
      <c r="A13131" t="s">
        <v>6</v>
      </c>
      <c r="B13131" s="1">
        <v>46205</v>
      </c>
      <c r="C13131">
        <v>2</v>
      </c>
      <c r="D13131">
        <v>228.30500000000001</v>
      </c>
      <c r="E13131">
        <v>0</v>
      </c>
      <c r="F13131" t="s">
        <v>7</v>
      </c>
      <c r="G13131" t="s">
        <v>44</v>
      </c>
      <c r="H13131" s="5">
        <f>MONTH(Tabela1[[#This Row],[data]])</f>
        <v>7</v>
      </c>
      <c r="I13131">
        <f>YEAR(Tabela1[[#This Row],[data]])</f>
        <v>2026</v>
      </c>
    </row>
    <row r="13132" spans="1:9" x14ac:dyDescent="0.25">
      <c r="A13132" t="s">
        <v>6</v>
      </c>
      <c r="B13132" s="1">
        <v>46205</v>
      </c>
      <c r="C13132">
        <v>3</v>
      </c>
      <c r="D13132">
        <v>225.64500000000001</v>
      </c>
      <c r="E13132">
        <v>0</v>
      </c>
      <c r="F13132" t="s">
        <v>7</v>
      </c>
      <c r="G13132" t="s">
        <v>44</v>
      </c>
      <c r="H13132" s="5">
        <f>MONTH(Tabela1[[#This Row],[data]])</f>
        <v>7</v>
      </c>
      <c r="I13132">
        <f>YEAR(Tabela1[[#This Row],[data]])</f>
        <v>2026</v>
      </c>
    </row>
    <row r="13133" spans="1:9" x14ac:dyDescent="0.25">
      <c r="A13133" t="s">
        <v>6</v>
      </c>
      <c r="B13133" s="1">
        <v>46205</v>
      </c>
      <c r="C13133">
        <v>4</v>
      </c>
      <c r="D13133">
        <v>225.08500000000001</v>
      </c>
      <c r="E13133">
        <v>0</v>
      </c>
      <c r="F13133" t="s">
        <v>7</v>
      </c>
      <c r="G13133" t="s">
        <v>44</v>
      </c>
      <c r="H13133" s="5">
        <f>MONTH(Tabela1[[#This Row],[data]])</f>
        <v>7</v>
      </c>
      <c r="I13133">
        <f>YEAR(Tabela1[[#This Row],[data]])</f>
        <v>2026</v>
      </c>
    </row>
    <row r="13134" spans="1:9" x14ac:dyDescent="0.25">
      <c r="A13134" t="s">
        <v>6</v>
      </c>
      <c r="B13134" s="1">
        <v>46205</v>
      </c>
      <c r="C13134">
        <v>5</v>
      </c>
      <c r="D13134">
        <v>232.61</v>
      </c>
      <c r="E13134">
        <v>0</v>
      </c>
      <c r="F13134" t="s">
        <v>7</v>
      </c>
      <c r="G13134" t="s">
        <v>44</v>
      </c>
      <c r="H13134" s="5">
        <f>MONTH(Tabela1[[#This Row],[data]])</f>
        <v>7</v>
      </c>
      <c r="I13134">
        <f>YEAR(Tabela1[[#This Row],[data]])</f>
        <v>2026</v>
      </c>
    </row>
    <row r="13135" spans="1:9" x14ac:dyDescent="0.25">
      <c r="A13135" t="s">
        <v>6</v>
      </c>
      <c r="B13135" s="1">
        <v>46205</v>
      </c>
      <c r="C13135">
        <v>6</v>
      </c>
      <c r="D13135">
        <v>227.88499999999999</v>
      </c>
      <c r="E13135">
        <v>0</v>
      </c>
      <c r="F13135" t="s">
        <v>7</v>
      </c>
      <c r="G13135" t="s">
        <v>44</v>
      </c>
      <c r="H13135" s="5">
        <f>MONTH(Tabela1[[#This Row],[data]])</f>
        <v>7</v>
      </c>
      <c r="I13135">
        <f>YEAR(Tabela1[[#This Row],[data]])</f>
        <v>2026</v>
      </c>
    </row>
    <row r="13136" spans="1:9" x14ac:dyDescent="0.25">
      <c r="A13136" t="s">
        <v>6</v>
      </c>
      <c r="B13136" s="1">
        <v>46205</v>
      </c>
      <c r="C13136">
        <v>7</v>
      </c>
      <c r="D13136">
        <v>228.34</v>
      </c>
      <c r="E13136">
        <v>0</v>
      </c>
      <c r="F13136" t="s">
        <v>7</v>
      </c>
      <c r="G13136" t="s">
        <v>44</v>
      </c>
      <c r="H13136" s="5">
        <f>MONTH(Tabela1[[#This Row],[data]])</f>
        <v>7</v>
      </c>
      <c r="I13136">
        <f>YEAR(Tabela1[[#This Row],[data]])</f>
        <v>2026</v>
      </c>
    </row>
    <row r="13137" spans="1:9" x14ac:dyDescent="0.25">
      <c r="A13137" t="s">
        <v>6</v>
      </c>
      <c r="B13137" s="1">
        <v>46205</v>
      </c>
      <c r="C13137">
        <v>8</v>
      </c>
      <c r="D13137">
        <v>252.91</v>
      </c>
      <c r="E13137">
        <v>0</v>
      </c>
      <c r="F13137" t="s">
        <v>7</v>
      </c>
      <c r="G13137" t="s">
        <v>44</v>
      </c>
      <c r="H13137" s="5">
        <f>MONTH(Tabela1[[#This Row],[data]])</f>
        <v>7</v>
      </c>
      <c r="I13137">
        <f>YEAR(Tabela1[[#This Row],[data]])</f>
        <v>2026</v>
      </c>
    </row>
    <row r="13138" spans="1:9" x14ac:dyDescent="0.25">
      <c r="A13138" t="s">
        <v>6</v>
      </c>
      <c r="B13138" s="1">
        <v>46205</v>
      </c>
      <c r="C13138">
        <v>9</v>
      </c>
      <c r="D13138">
        <v>338.45</v>
      </c>
      <c r="E13138">
        <v>0</v>
      </c>
      <c r="F13138" t="s">
        <v>7</v>
      </c>
      <c r="G13138" t="s">
        <v>44</v>
      </c>
      <c r="H13138" s="5">
        <f>MONTH(Tabela1[[#This Row],[data]])</f>
        <v>7</v>
      </c>
      <c r="I13138">
        <f>YEAR(Tabela1[[#This Row],[data]])</f>
        <v>2026</v>
      </c>
    </row>
    <row r="13139" spans="1:9" x14ac:dyDescent="0.25">
      <c r="A13139" t="s">
        <v>6</v>
      </c>
      <c r="B13139" s="1">
        <v>46205</v>
      </c>
      <c r="C13139">
        <v>10</v>
      </c>
      <c r="D13139">
        <v>438.48</v>
      </c>
      <c r="E13139">
        <v>0</v>
      </c>
      <c r="F13139" t="s">
        <v>7</v>
      </c>
      <c r="G13139" t="s">
        <v>44</v>
      </c>
      <c r="H13139" s="5">
        <f>MONTH(Tabela1[[#This Row],[data]])</f>
        <v>7</v>
      </c>
      <c r="I13139">
        <f>YEAR(Tabela1[[#This Row],[data]])</f>
        <v>2026</v>
      </c>
    </row>
    <row r="13140" spans="1:9" x14ac:dyDescent="0.25">
      <c r="A13140" t="s">
        <v>6</v>
      </c>
      <c r="B13140" s="1">
        <v>46205</v>
      </c>
      <c r="C13140">
        <v>11</v>
      </c>
      <c r="D13140">
        <v>688.97500000000002</v>
      </c>
      <c r="E13140">
        <v>0</v>
      </c>
      <c r="F13140" t="s">
        <v>7</v>
      </c>
      <c r="G13140" t="s">
        <v>44</v>
      </c>
      <c r="H13140" s="5">
        <f>MONTH(Tabela1[[#This Row],[data]])</f>
        <v>7</v>
      </c>
      <c r="I13140">
        <f>YEAR(Tabela1[[#This Row],[data]])</f>
        <v>2026</v>
      </c>
    </row>
    <row r="13141" spans="1:9" x14ac:dyDescent="0.25">
      <c r="A13141" t="s">
        <v>6</v>
      </c>
      <c r="B13141" s="1">
        <v>46205</v>
      </c>
      <c r="C13141">
        <v>12</v>
      </c>
      <c r="D13141">
        <v>818.755</v>
      </c>
      <c r="E13141">
        <v>0</v>
      </c>
      <c r="F13141" t="s">
        <v>7</v>
      </c>
      <c r="G13141" t="s">
        <v>44</v>
      </c>
      <c r="H13141" s="5">
        <f>MONTH(Tabela1[[#This Row],[data]])</f>
        <v>7</v>
      </c>
      <c r="I13141">
        <f>YEAR(Tabela1[[#This Row],[data]])</f>
        <v>2026</v>
      </c>
    </row>
    <row r="13142" spans="1:9" x14ac:dyDescent="0.25">
      <c r="A13142" t="s">
        <v>6</v>
      </c>
      <c r="B13142" s="1">
        <v>46205</v>
      </c>
      <c r="C13142">
        <v>13</v>
      </c>
      <c r="D13142">
        <v>873.6</v>
      </c>
      <c r="E13142">
        <v>0</v>
      </c>
      <c r="F13142" t="s">
        <v>7</v>
      </c>
      <c r="G13142" t="s">
        <v>44</v>
      </c>
      <c r="H13142" s="5">
        <f>MONTH(Tabela1[[#This Row],[data]])</f>
        <v>7</v>
      </c>
      <c r="I13142">
        <f>YEAR(Tabela1[[#This Row],[data]])</f>
        <v>2026</v>
      </c>
    </row>
    <row r="13143" spans="1:9" x14ac:dyDescent="0.25">
      <c r="A13143" t="s">
        <v>6</v>
      </c>
      <c r="B13143" s="1">
        <v>46205</v>
      </c>
      <c r="C13143">
        <v>14</v>
      </c>
      <c r="D13143">
        <v>865.27</v>
      </c>
      <c r="E13143">
        <v>0</v>
      </c>
      <c r="F13143" t="s">
        <v>7</v>
      </c>
      <c r="G13143" t="s">
        <v>44</v>
      </c>
      <c r="H13143" s="5">
        <f>MONTH(Tabela1[[#This Row],[data]])</f>
        <v>7</v>
      </c>
      <c r="I13143">
        <f>YEAR(Tabela1[[#This Row],[data]])</f>
        <v>2026</v>
      </c>
    </row>
    <row r="13144" spans="1:9" x14ac:dyDescent="0.25">
      <c r="A13144" t="s">
        <v>6</v>
      </c>
      <c r="B13144" s="1">
        <v>46205</v>
      </c>
      <c r="C13144">
        <v>15</v>
      </c>
      <c r="D13144">
        <v>800.94</v>
      </c>
      <c r="E13144">
        <v>0</v>
      </c>
      <c r="F13144" t="s">
        <v>7</v>
      </c>
      <c r="G13144" t="s">
        <v>44</v>
      </c>
      <c r="H13144" s="5">
        <f>MONTH(Tabela1[[#This Row],[data]])</f>
        <v>7</v>
      </c>
      <c r="I13144">
        <f>YEAR(Tabela1[[#This Row],[data]])</f>
        <v>2026</v>
      </c>
    </row>
    <row r="13145" spans="1:9" x14ac:dyDescent="0.25">
      <c r="A13145" t="s">
        <v>6</v>
      </c>
      <c r="B13145" s="1">
        <v>46205</v>
      </c>
      <c r="C13145">
        <v>16</v>
      </c>
      <c r="D13145">
        <v>765.8</v>
      </c>
      <c r="E13145">
        <v>0</v>
      </c>
      <c r="F13145" t="s">
        <v>7</v>
      </c>
      <c r="G13145" t="s">
        <v>44</v>
      </c>
      <c r="H13145" s="5">
        <f>MONTH(Tabela1[[#This Row],[data]])</f>
        <v>7</v>
      </c>
      <c r="I13145">
        <f>YEAR(Tabela1[[#This Row],[data]])</f>
        <v>2026</v>
      </c>
    </row>
    <row r="13146" spans="1:9" x14ac:dyDescent="0.25">
      <c r="A13146" t="s">
        <v>6</v>
      </c>
      <c r="B13146" s="1">
        <v>46205</v>
      </c>
      <c r="C13146">
        <v>17</v>
      </c>
      <c r="D13146">
        <v>780.29</v>
      </c>
      <c r="E13146">
        <v>0</v>
      </c>
      <c r="F13146" t="s">
        <v>7</v>
      </c>
      <c r="G13146" t="s">
        <v>44</v>
      </c>
      <c r="H13146" s="5">
        <f>MONTH(Tabela1[[#This Row],[data]])</f>
        <v>7</v>
      </c>
      <c r="I13146">
        <f>YEAR(Tabela1[[#This Row],[data]])</f>
        <v>2026</v>
      </c>
    </row>
    <row r="13147" spans="1:9" x14ac:dyDescent="0.25">
      <c r="A13147" t="s">
        <v>6</v>
      </c>
      <c r="B13147" s="1">
        <v>46205</v>
      </c>
      <c r="C13147">
        <v>18</v>
      </c>
      <c r="D13147">
        <v>771.92499999999995</v>
      </c>
      <c r="E13147">
        <v>0</v>
      </c>
      <c r="F13147" t="s">
        <v>7</v>
      </c>
      <c r="G13147" t="s">
        <v>44</v>
      </c>
      <c r="H13147" s="5">
        <f>MONTH(Tabela1[[#This Row],[data]])</f>
        <v>7</v>
      </c>
      <c r="I13147">
        <f>YEAR(Tabela1[[#This Row],[data]])</f>
        <v>2026</v>
      </c>
    </row>
    <row r="13148" spans="1:9" x14ac:dyDescent="0.25">
      <c r="A13148" t="s">
        <v>6</v>
      </c>
      <c r="B13148" s="1">
        <v>46205</v>
      </c>
      <c r="C13148">
        <v>19</v>
      </c>
      <c r="D13148">
        <v>719.14499999999998</v>
      </c>
      <c r="E13148">
        <v>0</v>
      </c>
      <c r="F13148" t="s">
        <v>7</v>
      </c>
      <c r="G13148" t="s">
        <v>44</v>
      </c>
      <c r="H13148" s="5">
        <f>MONTH(Tabela1[[#This Row],[data]])</f>
        <v>7</v>
      </c>
      <c r="I13148">
        <f>YEAR(Tabela1[[#This Row],[data]])</f>
        <v>2026</v>
      </c>
    </row>
    <row r="13149" spans="1:9" x14ac:dyDescent="0.25">
      <c r="A13149" t="s">
        <v>6</v>
      </c>
      <c r="B13149" s="1">
        <v>46205</v>
      </c>
      <c r="C13149">
        <v>20</v>
      </c>
      <c r="D13149">
        <v>697.30499999999995</v>
      </c>
      <c r="E13149">
        <v>0</v>
      </c>
      <c r="F13149" t="s">
        <v>7</v>
      </c>
      <c r="G13149" t="s">
        <v>44</v>
      </c>
      <c r="H13149" s="5">
        <f>MONTH(Tabela1[[#This Row],[data]])</f>
        <v>7</v>
      </c>
      <c r="I13149">
        <f>YEAR(Tabela1[[#This Row],[data]])</f>
        <v>2026</v>
      </c>
    </row>
    <row r="13150" spans="1:9" x14ac:dyDescent="0.25">
      <c r="A13150" t="s">
        <v>6</v>
      </c>
      <c r="B13150" s="1">
        <v>46205</v>
      </c>
      <c r="C13150">
        <v>21</v>
      </c>
      <c r="D13150">
        <v>672.07</v>
      </c>
      <c r="E13150">
        <v>0</v>
      </c>
      <c r="F13150" t="s">
        <v>7</v>
      </c>
      <c r="G13150" t="s">
        <v>44</v>
      </c>
      <c r="H13150" s="5">
        <f>MONTH(Tabela1[[#This Row],[data]])</f>
        <v>7</v>
      </c>
      <c r="I13150">
        <f>YEAR(Tabela1[[#This Row],[data]])</f>
        <v>2026</v>
      </c>
    </row>
    <row r="13151" spans="1:9" x14ac:dyDescent="0.25">
      <c r="A13151" t="s">
        <v>6</v>
      </c>
      <c r="B13151" s="1">
        <v>46205</v>
      </c>
      <c r="C13151">
        <v>22</v>
      </c>
      <c r="D13151">
        <v>600.005</v>
      </c>
      <c r="E13151">
        <v>0</v>
      </c>
      <c r="F13151" t="s">
        <v>7</v>
      </c>
      <c r="G13151" t="s">
        <v>44</v>
      </c>
      <c r="H13151" s="5">
        <f>MONTH(Tabela1[[#This Row],[data]])</f>
        <v>7</v>
      </c>
      <c r="I13151">
        <f>YEAR(Tabela1[[#This Row],[data]])</f>
        <v>2026</v>
      </c>
    </row>
    <row r="13152" spans="1:9" x14ac:dyDescent="0.25">
      <c r="A13152" t="s">
        <v>6</v>
      </c>
      <c r="B13152" s="1">
        <v>46205</v>
      </c>
      <c r="C13152">
        <v>23</v>
      </c>
      <c r="D13152">
        <v>384.19499999999999</v>
      </c>
      <c r="E13152">
        <v>0</v>
      </c>
      <c r="F13152" t="s">
        <v>7</v>
      </c>
      <c r="G13152" t="s">
        <v>44</v>
      </c>
      <c r="H13152" s="5">
        <f>MONTH(Tabela1[[#This Row],[data]])</f>
        <v>7</v>
      </c>
      <c r="I13152">
        <f>YEAR(Tabela1[[#This Row],[data]])</f>
        <v>2026</v>
      </c>
    </row>
    <row r="13153" spans="1:9" x14ac:dyDescent="0.25">
      <c r="A13153" t="s">
        <v>6</v>
      </c>
      <c r="B13153" s="1">
        <v>46205</v>
      </c>
      <c r="C13153">
        <v>24</v>
      </c>
      <c r="D13153">
        <v>271.52999999999997</v>
      </c>
      <c r="E13153">
        <v>0</v>
      </c>
      <c r="F13153" t="s">
        <v>7</v>
      </c>
      <c r="G13153" t="s">
        <v>44</v>
      </c>
      <c r="H13153" s="5">
        <f>MONTH(Tabela1[[#This Row],[data]])</f>
        <v>7</v>
      </c>
      <c r="I13153">
        <f>YEAR(Tabela1[[#This Row],[data]])</f>
        <v>2026</v>
      </c>
    </row>
    <row r="13154" spans="1:9" x14ac:dyDescent="0.25">
      <c r="A13154" t="s">
        <v>6</v>
      </c>
      <c r="B13154" s="1">
        <v>46204</v>
      </c>
      <c r="C13154">
        <v>1</v>
      </c>
      <c r="D13154">
        <v>269.22000000000003</v>
      </c>
      <c r="E13154">
        <v>0</v>
      </c>
      <c r="F13154" t="s">
        <v>7</v>
      </c>
      <c r="G13154" t="s">
        <v>12</v>
      </c>
      <c r="H13154" s="5">
        <f>MONTH(Tabela1[[#This Row],[data]])</f>
        <v>7</v>
      </c>
      <c r="I13154" s="6">
        <f>YEAR(Tabela1[[#This Row],[data]])</f>
        <v>2026</v>
      </c>
    </row>
    <row r="13155" spans="1:9" x14ac:dyDescent="0.25">
      <c r="A13155" t="s">
        <v>6</v>
      </c>
      <c r="B13155" s="1">
        <v>46204</v>
      </c>
      <c r="C13155">
        <v>2</v>
      </c>
      <c r="D13155">
        <v>251.58</v>
      </c>
      <c r="E13155">
        <v>0</v>
      </c>
      <c r="F13155" t="s">
        <v>7</v>
      </c>
      <c r="G13155" t="s">
        <v>12</v>
      </c>
      <c r="H13155" s="5">
        <f>MONTH(Tabela1[[#This Row],[data]])</f>
        <v>7</v>
      </c>
      <c r="I13155" s="6">
        <f>YEAR(Tabela1[[#This Row],[data]])</f>
        <v>2026</v>
      </c>
    </row>
    <row r="13156" spans="1:9" x14ac:dyDescent="0.25">
      <c r="A13156" t="s">
        <v>6</v>
      </c>
      <c r="B13156" s="1">
        <v>46204</v>
      </c>
      <c r="C13156">
        <v>3</v>
      </c>
      <c r="D13156">
        <v>243.6</v>
      </c>
      <c r="E13156">
        <v>0</v>
      </c>
      <c r="F13156" t="s">
        <v>7</v>
      </c>
      <c r="G13156" t="s">
        <v>12</v>
      </c>
      <c r="H13156" s="5">
        <f>MONTH(Tabela1[[#This Row],[data]])</f>
        <v>7</v>
      </c>
      <c r="I13156" s="6">
        <f>YEAR(Tabela1[[#This Row],[data]])</f>
        <v>2026</v>
      </c>
    </row>
    <row r="13157" spans="1:9" x14ac:dyDescent="0.25">
      <c r="A13157" t="s">
        <v>6</v>
      </c>
      <c r="B13157" s="1">
        <v>46204</v>
      </c>
      <c r="C13157">
        <v>4</v>
      </c>
      <c r="D13157">
        <v>244.44</v>
      </c>
      <c r="E13157">
        <v>0</v>
      </c>
      <c r="F13157" t="s">
        <v>7</v>
      </c>
      <c r="G13157" t="s">
        <v>12</v>
      </c>
      <c r="H13157" s="5">
        <f>MONTH(Tabela1[[#This Row],[data]])</f>
        <v>7</v>
      </c>
      <c r="I13157" s="6">
        <f>YEAR(Tabela1[[#This Row],[data]])</f>
        <v>2026</v>
      </c>
    </row>
    <row r="13158" spans="1:9" x14ac:dyDescent="0.25">
      <c r="A13158" t="s">
        <v>6</v>
      </c>
      <c r="B13158" s="1">
        <v>46204</v>
      </c>
      <c r="C13158">
        <v>5</v>
      </c>
      <c r="D13158">
        <v>243.6</v>
      </c>
      <c r="E13158">
        <v>0</v>
      </c>
      <c r="F13158" t="s">
        <v>7</v>
      </c>
      <c r="G13158" t="s">
        <v>12</v>
      </c>
      <c r="H13158" s="5">
        <f>MONTH(Tabela1[[#This Row],[data]])</f>
        <v>7</v>
      </c>
      <c r="I13158" s="6">
        <f>YEAR(Tabela1[[#This Row],[data]])</f>
        <v>2026</v>
      </c>
    </row>
    <row r="13159" spans="1:9" x14ac:dyDescent="0.25">
      <c r="A13159" t="s">
        <v>6</v>
      </c>
      <c r="B13159" s="1">
        <v>46204</v>
      </c>
      <c r="C13159">
        <v>6</v>
      </c>
      <c r="D13159">
        <v>239.82</v>
      </c>
      <c r="E13159">
        <v>0</v>
      </c>
      <c r="F13159" t="s">
        <v>7</v>
      </c>
      <c r="G13159" t="s">
        <v>12</v>
      </c>
      <c r="H13159" s="5">
        <f>MONTH(Tabela1[[#This Row],[data]])</f>
        <v>7</v>
      </c>
      <c r="I13159" s="6">
        <f>YEAR(Tabela1[[#This Row],[data]])</f>
        <v>2026</v>
      </c>
    </row>
    <row r="13160" spans="1:9" x14ac:dyDescent="0.25">
      <c r="A13160" t="s">
        <v>6</v>
      </c>
      <c r="B13160" s="1">
        <v>46204</v>
      </c>
      <c r="C13160">
        <v>7</v>
      </c>
      <c r="D13160">
        <v>236.46</v>
      </c>
      <c r="E13160">
        <v>0</v>
      </c>
      <c r="F13160" t="s">
        <v>7</v>
      </c>
      <c r="G13160" t="s">
        <v>12</v>
      </c>
      <c r="H13160" s="5">
        <f>MONTH(Tabela1[[#This Row],[data]])</f>
        <v>7</v>
      </c>
      <c r="I13160" s="6">
        <f>YEAR(Tabela1[[#This Row],[data]])</f>
        <v>2026</v>
      </c>
    </row>
    <row r="13161" spans="1:9" x14ac:dyDescent="0.25">
      <c r="A13161" t="s">
        <v>6</v>
      </c>
      <c r="B13161" s="1">
        <v>46204</v>
      </c>
      <c r="C13161">
        <v>8</v>
      </c>
      <c r="D13161">
        <v>270.06</v>
      </c>
      <c r="E13161">
        <v>0</v>
      </c>
      <c r="F13161" t="s">
        <v>7</v>
      </c>
      <c r="G13161" t="s">
        <v>12</v>
      </c>
      <c r="H13161" s="5">
        <f>MONTH(Tabela1[[#This Row],[data]])</f>
        <v>7</v>
      </c>
      <c r="I13161" s="6">
        <f>YEAR(Tabela1[[#This Row],[data]])</f>
        <v>2026</v>
      </c>
    </row>
    <row r="13162" spans="1:9" x14ac:dyDescent="0.25">
      <c r="A13162" t="s">
        <v>6</v>
      </c>
      <c r="B13162" s="1">
        <v>46204</v>
      </c>
      <c r="C13162">
        <v>9</v>
      </c>
      <c r="D13162">
        <v>324.24</v>
      </c>
      <c r="E13162">
        <v>0</v>
      </c>
      <c r="F13162" t="s">
        <v>7</v>
      </c>
      <c r="G13162" t="s">
        <v>12</v>
      </c>
      <c r="H13162" s="5">
        <f>MONTH(Tabela1[[#This Row],[data]])</f>
        <v>7</v>
      </c>
      <c r="I13162" s="6">
        <f>YEAR(Tabela1[[#This Row],[data]])</f>
        <v>2026</v>
      </c>
    </row>
    <row r="13163" spans="1:9" x14ac:dyDescent="0.25">
      <c r="A13163" t="s">
        <v>6</v>
      </c>
      <c r="B13163" s="1">
        <v>46204</v>
      </c>
      <c r="C13163">
        <v>10</v>
      </c>
      <c r="D13163">
        <v>409.08</v>
      </c>
      <c r="E13163">
        <v>0.84</v>
      </c>
      <c r="F13163" t="s">
        <v>7</v>
      </c>
      <c r="G13163" t="s">
        <v>12</v>
      </c>
      <c r="H13163" s="5">
        <f>MONTH(Tabela1[[#This Row],[data]])</f>
        <v>7</v>
      </c>
      <c r="I13163" s="6">
        <f>YEAR(Tabela1[[#This Row],[data]])</f>
        <v>2026</v>
      </c>
    </row>
    <row r="13164" spans="1:9" x14ac:dyDescent="0.25">
      <c r="A13164" t="s">
        <v>6</v>
      </c>
      <c r="B13164" s="1">
        <v>46204</v>
      </c>
      <c r="C13164">
        <v>11</v>
      </c>
      <c r="D13164">
        <v>531.72</v>
      </c>
      <c r="E13164">
        <v>23.52</v>
      </c>
      <c r="F13164" t="s">
        <v>7</v>
      </c>
      <c r="G13164" t="s">
        <v>12</v>
      </c>
      <c r="H13164" s="5">
        <f>MONTH(Tabela1[[#This Row],[data]])</f>
        <v>7</v>
      </c>
      <c r="I13164" s="6">
        <f>YEAR(Tabela1[[#This Row],[data]])</f>
        <v>2026</v>
      </c>
    </row>
    <row r="13165" spans="1:9" x14ac:dyDescent="0.25">
      <c r="A13165" t="s">
        <v>6</v>
      </c>
      <c r="B13165" s="1">
        <v>46204</v>
      </c>
      <c r="C13165">
        <v>12</v>
      </c>
      <c r="D13165">
        <v>712.74</v>
      </c>
      <c r="E13165">
        <v>93.24</v>
      </c>
      <c r="F13165" t="s">
        <v>7</v>
      </c>
      <c r="G13165" t="s">
        <v>12</v>
      </c>
      <c r="H13165" s="5">
        <f>MONTH(Tabela1[[#This Row],[data]])</f>
        <v>7</v>
      </c>
      <c r="I13165" s="6">
        <f>YEAR(Tabela1[[#This Row],[data]])</f>
        <v>2026</v>
      </c>
    </row>
    <row r="13166" spans="1:9" x14ac:dyDescent="0.25">
      <c r="A13166" t="s">
        <v>6</v>
      </c>
      <c r="B13166" s="1">
        <v>46204</v>
      </c>
      <c r="C13166">
        <v>13</v>
      </c>
      <c r="D13166">
        <v>932.4</v>
      </c>
      <c r="E13166">
        <v>196.56</v>
      </c>
      <c r="F13166" t="s">
        <v>7</v>
      </c>
      <c r="G13166" t="s">
        <v>12</v>
      </c>
      <c r="H13166" s="5">
        <f>MONTH(Tabela1[[#This Row],[data]])</f>
        <v>7</v>
      </c>
      <c r="I13166" s="6">
        <f>YEAR(Tabela1[[#This Row],[data]])</f>
        <v>2026</v>
      </c>
    </row>
    <row r="13167" spans="1:9" x14ac:dyDescent="0.25">
      <c r="A13167" t="s">
        <v>6</v>
      </c>
      <c r="B13167" s="1">
        <v>46204</v>
      </c>
      <c r="C13167">
        <v>14</v>
      </c>
      <c r="D13167">
        <v>840</v>
      </c>
      <c r="E13167">
        <v>164.64</v>
      </c>
      <c r="F13167" t="s">
        <v>7</v>
      </c>
      <c r="G13167" t="s">
        <v>12</v>
      </c>
      <c r="H13167" s="5">
        <f>MONTH(Tabela1[[#This Row],[data]])</f>
        <v>7</v>
      </c>
      <c r="I13167" s="6">
        <f>YEAR(Tabela1[[#This Row],[data]])</f>
        <v>2026</v>
      </c>
    </row>
    <row r="13168" spans="1:9" x14ac:dyDescent="0.25">
      <c r="A13168" t="s">
        <v>6</v>
      </c>
      <c r="B13168" s="1">
        <v>46204</v>
      </c>
      <c r="C13168">
        <v>15</v>
      </c>
      <c r="D13168">
        <v>836.22</v>
      </c>
      <c r="E13168">
        <v>160.02000000000001</v>
      </c>
      <c r="F13168" t="s">
        <v>7</v>
      </c>
      <c r="G13168" t="s">
        <v>12</v>
      </c>
      <c r="H13168" s="5">
        <f>MONTH(Tabela1[[#This Row],[data]])</f>
        <v>7</v>
      </c>
      <c r="I13168" s="6">
        <f>YEAR(Tabela1[[#This Row],[data]])</f>
        <v>2026</v>
      </c>
    </row>
    <row r="13169" spans="1:9" x14ac:dyDescent="0.25">
      <c r="A13169" t="s">
        <v>6</v>
      </c>
      <c r="B13169" s="1">
        <v>46204</v>
      </c>
      <c r="C13169">
        <v>16</v>
      </c>
      <c r="D13169">
        <v>853.02</v>
      </c>
      <c r="E13169">
        <v>169.68</v>
      </c>
      <c r="F13169" t="s">
        <v>7</v>
      </c>
      <c r="G13169" t="s">
        <v>12</v>
      </c>
      <c r="H13169" s="5">
        <f>MONTH(Tabela1[[#This Row],[data]])</f>
        <v>7</v>
      </c>
      <c r="I13169" s="6">
        <f>YEAR(Tabela1[[#This Row],[data]])</f>
        <v>2026</v>
      </c>
    </row>
    <row r="13170" spans="1:9" x14ac:dyDescent="0.25">
      <c r="A13170" t="s">
        <v>6</v>
      </c>
      <c r="B13170" s="1">
        <v>46204</v>
      </c>
      <c r="C13170">
        <v>17</v>
      </c>
      <c r="D13170">
        <v>843.36</v>
      </c>
      <c r="E13170">
        <v>185.22</v>
      </c>
      <c r="F13170" t="s">
        <v>7</v>
      </c>
      <c r="G13170" t="s">
        <v>12</v>
      </c>
      <c r="H13170" s="5">
        <f>MONTH(Tabela1[[#This Row],[data]])</f>
        <v>7</v>
      </c>
      <c r="I13170" s="6">
        <f>YEAR(Tabela1[[#This Row],[data]])</f>
        <v>2026</v>
      </c>
    </row>
    <row r="13171" spans="1:9" x14ac:dyDescent="0.25">
      <c r="A13171" t="s">
        <v>6</v>
      </c>
      <c r="B13171" s="1">
        <v>46204</v>
      </c>
      <c r="C13171">
        <v>18</v>
      </c>
      <c r="D13171">
        <v>815.22</v>
      </c>
      <c r="E13171">
        <v>163.38</v>
      </c>
      <c r="F13171" t="s">
        <v>7</v>
      </c>
      <c r="G13171" t="s">
        <v>12</v>
      </c>
      <c r="H13171" s="5">
        <f>MONTH(Tabela1[[#This Row],[data]])</f>
        <v>7</v>
      </c>
      <c r="I13171" s="6">
        <f>YEAR(Tabela1[[#This Row],[data]])</f>
        <v>2026</v>
      </c>
    </row>
    <row r="13172" spans="1:9" x14ac:dyDescent="0.25">
      <c r="A13172" t="s">
        <v>6</v>
      </c>
      <c r="B13172" s="1">
        <v>46204</v>
      </c>
      <c r="C13172">
        <v>19</v>
      </c>
      <c r="D13172">
        <v>808.92</v>
      </c>
      <c r="E13172">
        <v>143.22</v>
      </c>
      <c r="F13172" t="s">
        <v>7</v>
      </c>
      <c r="G13172" t="s">
        <v>12</v>
      </c>
      <c r="H13172" s="5">
        <f>MONTH(Tabela1[[#This Row],[data]])</f>
        <v>7</v>
      </c>
      <c r="I13172" s="6">
        <f>YEAR(Tabela1[[#This Row],[data]])</f>
        <v>2026</v>
      </c>
    </row>
    <row r="13173" spans="1:9" x14ac:dyDescent="0.25">
      <c r="A13173" t="s">
        <v>6</v>
      </c>
      <c r="B13173" s="1">
        <v>46204</v>
      </c>
      <c r="C13173">
        <v>20</v>
      </c>
      <c r="D13173">
        <v>746.76</v>
      </c>
      <c r="E13173">
        <v>125.16</v>
      </c>
      <c r="F13173" t="s">
        <v>7</v>
      </c>
      <c r="G13173" t="s">
        <v>12</v>
      </c>
      <c r="H13173" s="5">
        <f>MONTH(Tabela1[[#This Row],[data]])</f>
        <v>7</v>
      </c>
      <c r="I13173" s="6">
        <f>YEAR(Tabela1[[#This Row],[data]])</f>
        <v>2026</v>
      </c>
    </row>
    <row r="13174" spans="1:9" x14ac:dyDescent="0.25">
      <c r="A13174" t="s">
        <v>6</v>
      </c>
      <c r="B13174" s="1">
        <v>46204</v>
      </c>
      <c r="C13174">
        <v>21</v>
      </c>
      <c r="D13174">
        <v>576.24</v>
      </c>
      <c r="E13174">
        <v>26.46</v>
      </c>
      <c r="F13174" t="s">
        <v>7</v>
      </c>
      <c r="G13174" t="s">
        <v>12</v>
      </c>
      <c r="H13174" s="5">
        <f>MONTH(Tabela1[[#This Row],[data]])</f>
        <v>7</v>
      </c>
      <c r="I13174" s="6">
        <f>YEAR(Tabela1[[#This Row],[data]])</f>
        <v>2026</v>
      </c>
    </row>
    <row r="13175" spans="1:9" x14ac:dyDescent="0.25">
      <c r="A13175" t="s">
        <v>6</v>
      </c>
      <c r="B13175" s="1">
        <v>46204</v>
      </c>
      <c r="C13175">
        <v>22</v>
      </c>
      <c r="D13175">
        <v>557.34</v>
      </c>
      <c r="E13175">
        <v>27.72</v>
      </c>
      <c r="F13175" t="s">
        <v>7</v>
      </c>
      <c r="G13175" t="s">
        <v>12</v>
      </c>
      <c r="H13175" s="5">
        <f>MONTH(Tabela1[[#This Row],[data]])</f>
        <v>7</v>
      </c>
      <c r="I13175" s="6">
        <f>YEAR(Tabela1[[#This Row],[data]])</f>
        <v>2026</v>
      </c>
    </row>
    <row r="13176" spans="1:9" x14ac:dyDescent="0.25">
      <c r="A13176" t="s">
        <v>6</v>
      </c>
      <c r="B13176" s="1">
        <v>46204</v>
      </c>
      <c r="C13176">
        <v>23</v>
      </c>
      <c r="D13176">
        <v>365.4</v>
      </c>
      <c r="E13176">
        <v>0</v>
      </c>
      <c r="F13176" t="s">
        <v>7</v>
      </c>
      <c r="G13176" t="s">
        <v>12</v>
      </c>
      <c r="H13176" s="5">
        <f>MONTH(Tabela1[[#This Row],[data]])</f>
        <v>7</v>
      </c>
      <c r="I13176" s="6">
        <f>YEAR(Tabela1[[#This Row],[data]])</f>
        <v>2026</v>
      </c>
    </row>
    <row r="13177" spans="1:9" x14ac:dyDescent="0.25">
      <c r="A13177" t="s">
        <v>6</v>
      </c>
      <c r="B13177" s="1">
        <v>46204</v>
      </c>
      <c r="C13177">
        <v>24</v>
      </c>
      <c r="D13177">
        <v>278.04000000000002</v>
      </c>
      <c r="E13177">
        <v>0</v>
      </c>
      <c r="F13177" t="s">
        <v>7</v>
      </c>
      <c r="G13177" t="s">
        <v>12</v>
      </c>
      <c r="H13177" s="5">
        <f>MONTH(Tabela1[[#This Row],[data]])</f>
        <v>7</v>
      </c>
      <c r="I13177" s="6">
        <f>YEAR(Tabela1[[#This Row],[data]])</f>
        <v>2026</v>
      </c>
    </row>
    <row r="13178" spans="1:9" x14ac:dyDescent="0.25">
      <c r="A13178" t="s">
        <v>6</v>
      </c>
      <c r="B13178" s="1">
        <v>46205</v>
      </c>
      <c r="C13178">
        <v>1</v>
      </c>
      <c r="D13178">
        <v>249.9</v>
      </c>
      <c r="E13178">
        <v>0</v>
      </c>
      <c r="F13178" t="s">
        <v>7</v>
      </c>
      <c r="G13178" t="s">
        <v>12</v>
      </c>
      <c r="H13178" s="5">
        <f>MONTH(Tabela1[[#This Row],[data]])</f>
        <v>7</v>
      </c>
      <c r="I13178" s="6">
        <f>YEAR(Tabela1[[#This Row],[data]])</f>
        <v>2026</v>
      </c>
    </row>
    <row r="13179" spans="1:9" x14ac:dyDescent="0.25">
      <c r="A13179" t="s">
        <v>6</v>
      </c>
      <c r="B13179" s="1">
        <v>46205</v>
      </c>
      <c r="C13179">
        <v>2</v>
      </c>
      <c r="D13179">
        <v>243.6</v>
      </c>
      <c r="E13179">
        <v>0</v>
      </c>
      <c r="F13179" t="s">
        <v>7</v>
      </c>
      <c r="G13179" t="s">
        <v>12</v>
      </c>
      <c r="H13179" s="5">
        <f>MONTH(Tabela1[[#This Row],[data]])</f>
        <v>7</v>
      </c>
      <c r="I13179" s="6">
        <f>YEAR(Tabela1[[#This Row],[data]])</f>
        <v>2026</v>
      </c>
    </row>
    <row r="13180" spans="1:9" x14ac:dyDescent="0.25">
      <c r="A13180" t="s">
        <v>6</v>
      </c>
      <c r="B13180" s="1">
        <v>46205</v>
      </c>
      <c r="C13180">
        <v>3</v>
      </c>
      <c r="D13180">
        <v>238.98</v>
      </c>
      <c r="E13180">
        <v>0</v>
      </c>
      <c r="F13180" t="s">
        <v>7</v>
      </c>
      <c r="G13180" t="s">
        <v>12</v>
      </c>
      <c r="H13180" s="5">
        <f>MONTH(Tabela1[[#This Row],[data]])</f>
        <v>7</v>
      </c>
      <c r="I13180" s="6">
        <f>YEAR(Tabela1[[#This Row],[data]])</f>
        <v>2026</v>
      </c>
    </row>
    <row r="13181" spans="1:9" x14ac:dyDescent="0.25">
      <c r="A13181" t="s">
        <v>6</v>
      </c>
      <c r="B13181" s="1">
        <v>46205</v>
      </c>
      <c r="C13181">
        <v>4</v>
      </c>
      <c r="D13181">
        <v>242.76</v>
      </c>
      <c r="E13181">
        <v>0</v>
      </c>
      <c r="F13181" t="s">
        <v>7</v>
      </c>
      <c r="G13181" t="s">
        <v>12</v>
      </c>
      <c r="H13181" s="5">
        <f>MONTH(Tabela1[[#This Row],[data]])</f>
        <v>7</v>
      </c>
      <c r="I13181" s="6">
        <f>YEAR(Tabela1[[#This Row],[data]])</f>
        <v>2026</v>
      </c>
    </row>
    <row r="13182" spans="1:9" x14ac:dyDescent="0.25">
      <c r="A13182" t="s">
        <v>6</v>
      </c>
      <c r="B13182" s="1">
        <v>46205</v>
      </c>
      <c r="C13182">
        <v>5</v>
      </c>
      <c r="D13182">
        <v>241.5</v>
      </c>
      <c r="E13182">
        <v>0</v>
      </c>
      <c r="F13182" t="s">
        <v>7</v>
      </c>
      <c r="G13182" t="s">
        <v>12</v>
      </c>
      <c r="H13182" s="5">
        <f>MONTH(Tabela1[[#This Row],[data]])</f>
        <v>7</v>
      </c>
      <c r="I13182" s="6">
        <f>YEAR(Tabela1[[#This Row],[data]])</f>
        <v>2026</v>
      </c>
    </row>
    <row r="13183" spans="1:9" x14ac:dyDescent="0.25">
      <c r="A13183" t="s">
        <v>6</v>
      </c>
      <c r="B13183" s="1">
        <v>46205</v>
      </c>
      <c r="C13183">
        <v>6</v>
      </c>
      <c r="D13183">
        <v>236.46</v>
      </c>
      <c r="E13183">
        <v>0</v>
      </c>
      <c r="F13183" t="s">
        <v>7</v>
      </c>
      <c r="G13183" t="s">
        <v>12</v>
      </c>
      <c r="H13183" s="5">
        <f>MONTH(Tabela1[[#This Row],[data]])</f>
        <v>7</v>
      </c>
      <c r="I13183" s="6">
        <f>YEAR(Tabela1[[#This Row],[data]])</f>
        <v>2026</v>
      </c>
    </row>
    <row r="13184" spans="1:9" x14ac:dyDescent="0.25">
      <c r="A13184" t="s">
        <v>6</v>
      </c>
      <c r="B13184" s="1">
        <v>46205</v>
      </c>
      <c r="C13184">
        <v>7</v>
      </c>
      <c r="D13184">
        <v>251.58</v>
      </c>
      <c r="E13184">
        <v>0</v>
      </c>
      <c r="F13184" t="s">
        <v>7</v>
      </c>
      <c r="G13184" t="s">
        <v>12</v>
      </c>
      <c r="H13184" s="5">
        <f>MONTH(Tabela1[[#This Row],[data]])</f>
        <v>7</v>
      </c>
      <c r="I13184" s="6">
        <f>YEAR(Tabela1[[#This Row],[data]])</f>
        <v>2026</v>
      </c>
    </row>
    <row r="13185" spans="1:9" x14ac:dyDescent="0.25">
      <c r="A13185" t="s">
        <v>6</v>
      </c>
      <c r="B13185" s="1">
        <v>46205</v>
      </c>
      <c r="C13185">
        <v>8</v>
      </c>
      <c r="D13185">
        <v>259.56</v>
      </c>
      <c r="E13185">
        <v>0</v>
      </c>
      <c r="F13185" t="s">
        <v>7</v>
      </c>
      <c r="G13185" t="s">
        <v>12</v>
      </c>
      <c r="H13185" s="5">
        <f>MONTH(Tabela1[[#This Row],[data]])</f>
        <v>7</v>
      </c>
      <c r="I13185" s="6">
        <f>YEAR(Tabela1[[#This Row],[data]])</f>
        <v>2026</v>
      </c>
    </row>
    <row r="13186" spans="1:9" x14ac:dyDescent="0.25">
      <c r="A13186" t="s">
        <v>6</v>
      </c>
      <c r="B13186" s="1">
        <v>46205</v>
      </c>
      <c r="C13186">
        <v>9</v>
      </c>
      <c r="D13186">
        <v>308.27999999999997</v>
      </c>
      <c r="E13186">
        <v>0</v>
      </c>
      <c r="F13186" t="s">
        <v>7</v>
      </c>
      <c r="G13186" t="s">
        <v>12</v>
      </c>
      <c r="H13186" s="5">
        <f>MONTH(Tabela1[[#This Row],[data]])</f>
        <v>7</v>
      </c>
      <c r="I13186" s="6">
        <f>YEAR(Tabela1[[#This Row],[data]])</f>
        <v>2026</v>
      </c>
    </row>
    <row r="13187" spans="1:9" x14ac:dyDescent="0.25">
      <c r="A13187" t="s">
        <v>6</v>
      </c>
      <c r="B13187" s="1">
        <v>46205</v>
      </c>
      <c r="C13187">
        <v>10</v>
      </c>
      <c r="D13187">
        <v>395.22</v>
      </c>
      <c r="E13187">
        <v>2.94</v>
      </c>
      <c r="F13187" t="s">
        <v>7</v>
      </c>
      <c r="G13187" t="s">
        <v>12</v>
      </c>
      <c r="H13187" s="5">
        <f>MONTH(Tabela1[[#This Row],[data]])</f>
        <v>7</v>
      </c>
      <c r="I13187" s="6">
        <f>YEAR(Tabela1[[#This Row],[data]])</f>
        <v>2026</v>
      </c>
    </row>
    <row r="13188" spans="1:9" x14ac:dyDescent="0.25">
      <c r="A13188" t="s">
        <v>6</v>
      </c>
      <c r="B13188" s="1">
        <v>46205</v>
      </c>
      <c r="C13188">
        <v>11</v>
      </c>
      <c r="D13188">
        <v>545.58000000000004</v>
      </c>
      <c r="E13188">
        <v>31.92</v>
      </c>
      <c r="F13188" t="s">
        <v>7</v>
      </c>
      <c r="G13188" t="s">
        <v>12</v>
      </c>
      <c r="H13188" s="5">
        <f>MONTH(Tabela1[[#This Row],[data]])</f>
        <v>7</v>
      </c>
      <c r="I13188" s="6">
        <f>YEAR(Tabela1[[#This Row],[data]])</f>
        <v>2026</v>
      </c>
    </row>
    <row r="13189" spans="1:9" x14ac:dyDescent="0.25">
      <c r="A13189" t="s">
        <v>6</v>
      </c>
      <c r="B13189" s="1">
        <v>46205</v>
      </c>
      <c r="C13189">
        <v>12</v>
      </c>
      <c r="D13189">
        <v>748.02</v>
      </c>
      <c r="E13189">
        <v>109.2</v>
      </c>
      <c r="F13189" t="s">
        <v>7</v>
      </c>
      <c r="G13189" t="s">
        <v>12</v>
      </c>
      <c r="H13189" s="5">
        <f>MONTH(Tabela1[[#This Row],[data]])</f>
        <v>7</v>
      </c>
      <c r="I13189" s="6">
        <f>YEAR(Tabela1[[#This Row],[data]])</f>
        <v>2026</v>
      </c>
    </row>
    <row r="13190" spans="1:9" x14ac:dyDescent="0.25">
      <c r="A13190" t="s">
        <v>6</v>
      </c>
      <c r="B13190" s="1">
        <v>46205</v>
      </c>
      <c r="C13190">
        <v>13</v>
      </c>
      <c r="D13190">
        <v>894.18</v>
      </c>
      <c r="E13190">
        <v>199.08</v>
      </c>
      <c r="F13190" t="s">
        <v>7</v>
      </c>
      <c r="G13190" t="s">
        <v>12</v>
      </c>
      <c r="H13190" s="5">
        <f>MONTH(Tabela1[[#This Row],[data]])</f>
        <v>7</v>
      </c>
      <c r="I13190" s="6">
        <f>YEAR(Tabela1[[#This Row],[data]])</f>
        <v>2026</v>
      </c>
    </row>
    <row r="13191" spans="1:9" x14ac:dyDescent="0.25">
      <c r="A13191" t="s">
        <v>6</v>
      </c>
      <c r="B13191" s="1">
        <v>46205</v>
      </c>
      <c r="C13191">
        <v>14</v>
      </c>
      <c r="D13191">
        <v>844.62</v>
      </c>
      <c r="E13191">
        <v>161.69999999999999</v>
      </c>
      <c r="F13191" t="s">
        <v>7</v>
      </c>
      <c r="G13191" t="s">
        <v>12</v>
      </c>
      <c r="H13191" s="5">
        <f>MONTH(Tabela1[[#This Row],[data]])</f>
        <v>7</v>
      </c>
      <c r="I13191" s="6">
        <f>YEAR(Tabela1[[#This Row],[data]])</f>
        <v>2026</v>
      </c>
    </row>
    <row r="13192" spans="1:9" x14ac:dyDescent="0.25">
      <c r="A13192" t="s">
        <v>6</v>
      </c>
      <c r="B13192" s="1">
        <v>46205</v>
      </c>
      <c r="C13192">
        <v>15</v>
      </c>
      <c r="D13192">
        <v>851.34</v>
      </c>
      <c r="E13192">
        <v>170.52</v>
      </c>
      <c r="F13192" t="s">
        <v>7</v>
      </c>
      <c r="G13192" t="s">
        <v>12</v>
      </c>
      <c r="H13192" s="5">
        <f>MONTH(Tabela1[[#This Row],[data]])</f>
        <v>7</v>
      </c>
      <c r="I13192" s="6">
        <f>YEAR(Tabela1[[#This Row],[data]])</f>
        <v>2026</v>
      </c>
    </row>
    <row r="13193" spans="1:9" x14ac:dyDescent="0.25">
      <c r="A13193" t="s">
        <v>6</v>
      </c>
      <c r="B13193" s="1">
        <v>46205</v>
      </c>
      <c r="C13193">
        <v>16</v>
      </c>
      <c r="D13193">
        <v>850.92</v>
      </c>
      <c r="E13193">
        <v>195.3</v>
      </c>
      <c r="F13193" t="s">
        <v>7</v>
      </c>
      <c r="G13193" t="s">
        <v>12</v>
      </c>
      <c r="H13193" s="5">
        <f>MONTH(Tabela1[[#This Row],[data]])</f>
        <v>7</v>
      </c>
      <c r="I13193" s="6">
        <f>YEAR(Tabela1[[#This Row],[data]])</f>
        <v>2026</v>
      </c>
    </row>
    <row r="13194" spans="1:9" x14ac:dyDescent="0.25">
      <c r="A13194" t="s">
        <v>6</v>
      </c>
      <c r="B13194" s="1">
        <v>46205</v>
      </c>
      <c r="C13194">
        <v>17</v>
      </c>
      <c r="D13194">
        <v>844.2</v>
      </c>
      <c r="E13194">
        <v>191.94</v>
      </c>
      <c r="F13194" t="s">
        <v>7</v>
      </c>
      <c r="G13194" t="s">
        <v>12</v>
      </c>
      <c r="H13194" s="5">
        <f>MONTH(Tabela1[[#This Row],[data]])</f>
        <v>7</v>
      </c>
      <c r="I13194" s="6">
        <f>YEAR(Tabela1[[#This Row],[data]])</f>
        <v>2026</v>
      </c>
    </row>
    <row r="13195" spans="1:9" x14ac:dyDescent="0.25">
      <c r="A13195" t="s">
        <v>6</v>
      </c>
      <c r="B13195" s="1">
        <v>46205</v>
      </c>
      <c r="C13195">
        <v>18</v>
      </c>
      <c r="D13195">
        <v>821.52</v>
      </c>
      <c r="E13195">
        <v>171.36</v>
      </c>
      <c r="F13195" t="s">
        <v>7</v>
      </c>
      <c r="G13195" t="s">
        <v>12</v>
      </c>
      <c r="H13195" s="5">
        <f>MONTH(Tabela1[[#This Row],[data]])</f>
        <v>7</v>
      </c>
      <c r="I13195" s="6">
        <f>YEAR(Tabela1[[#This Row],[data]])</f>
        <v>2026</v>
      </c>
    </row>
    <row r="13196" spans="1:9" x14ac:dyDescent="0.25">
      <c r="A13196" t="s">
        <v>6</v>
      </c>
      <c r="B13196" s="1">
        <v>46205</v>
      </c>
      <c r="C13196">
        <v>19</v>
      </c>
      <c r="D13196">
        <v>651.84</v>
      </c>
      <c r="E13196">
        <v>58.38</v>
      </c>
      <c r="F13196" t="s">
        <v>7</v>
      </c>
      <c r="G13196" t="s">
        <v>12</v>
      </c>
      <c r="H13196" s="5">
        <f>MONTH(Tabela1[[#This Row],[data]])</f>
        <v>7</v>
      </c>
      <c r="I13196" s="6">
        <f>YEAR(Tabela1[[#This Row],[data]])</f>
        <v>2026</v>
      </c>
    </row>
    <row r="13197" spans="1:9" x14ac:dyDescent="0.25">
      <c r="A13197" t="s">
        <v>6</v>
      </c>
      <c r="B13197" s="1">
        <v>46205</v>
      </c>
      <c r="C13197">
        <v>20</v>
      </c>
      <c r="D13197">
        <v>595.98</v>
      </c>
      <c r="E13197">
        <v>39.06</v>
      </c>
      <c r="F13197" t="s">
        <v>7</v>
      </c>
      <c r="G13197" t="s">
        <v>12</v>
      </c>
      <c r="H13197" s="5">
        <f>MONTH(Tabela1[[#This Row],[data]])</f>
        <v>7</v>
      </c>
      <c r="I13197" s="6">
        <f>YEAR(Tabela1[[#This Row],[data]])</f>
        <v>2026</v>
      </c>
    </row>
    <row r="13198" spans="1:9" x14ac:dyDescent="0.25">
      <c r="A13198" t="s">
        <v>6</v>
      </c>
      <c r="B13198" s="1">
        <v>46205</v>
      </c>
      <c r="C13198">
        <v>21</v>
      </c>
      <c r="D13198">
        <v>591.36</v>
      </c>
      <c r="E13198">
        <v>47.88</v>
      </c>
      <c r="F13198" t="s">
        <v>7</v>
      </c>
      <c r="G13198" t="s">
        <v>12</v>
      </c>
      <c r="H13198" s="5">
        <f>MONTH(Tabela1[[#This Row],[data]])</f>
        <v>7</v>
      </c>
      <c r="I13198" s="6">
        <f>YEAR(Tabela1[[#This Row],[data]])</f>
        <v>2026</v>
      </c>
    </row>
    <row r="13199" spans="1:9" x14ac:dyDescent="0.25">
      <c r="A13199" t="s">
        <v>6</v>
      </c>
      <c r="B13199" s="1">
        <v>46205</v>
      </c>
      <c r="C13199">
        <v>22</v>
      </c>
      <c r="D13199">
        <v>559.44000000000005</v>
      </c>
      <c r="E13199">
        <v>34.86</v>
      </c>
      <c r="F13199" t="s">
        <v>7</v>
      </c>
      <c r="G13199" t="s">
        <v>12</v>
      </c>
      <c r="H13199" s="5">
        <f>MONTH(Tabela1[[#This Row],[data]])</f>
        <v>7</v>
      </c>
      <c r="I13199" s="6">
        <f>YEAR(Tabela1[[#This Row],[data]])</f>
        <v>2026</v>
      </c>
    </row>
    <row r="13200" spans="1:9" x14ac:dyDescent="0.25">
      <c r="A13200" t="s">
        <v>6</v>
      </c>
      <c r="B13200" s="1">
        <v>46205</v>
      </c>
      <c r="C13200">
        <v>23</v>
      </c>
      <c r="D13200">
        <v>366.24</v>
      </c>
      <c r="E13200">
        <v>0</v>
      </c>
      <c r="F13200" t="s">
        <v>7</v>
      </c>
      <c r="G13200" t="s">
        <v>12</v>
      </c>
      <c r="H13200" s="5">
        <f>MONTH(Tabela1[[#This Row],[data]])</f>
        <v>7</v>
      </c>
      <c r="I13200" s="6">
        <f>YEAR(Tabela1[[#This Row],[data]])</f>
        <v>2026</v>
      </c>
    </row>
    <row r="13201" spans="1:9" x14ac:dyDescent="0.25">
      <c r="A13201" t="s">
        <v>6</v>
      </c>
      <c r="B13201" s="1">
        <v>46205</v>
      </c>
      <c r="C13201">
        <v>24</v>
      </c>
      <c r="D13201">
        <v>276.77999999999997</v>
      </c>
      <c r="E13201">
        <v>0</v>
      </c>
      <c r="F13201" t="s">
        <v>7</v>
      </c>
      <c r="G13201" t="s">
        <v>12</v>
      </c>
      <c r="H13201" s="5">
        <f>MONTH(Tabela1[[#This Row],[data]])</f>
        <v>7</v>
      </c>
      <c r="I13201" s="6">
        <f>YEAR(Tabela1[[#This Row],[data]])</f>
        <v>2026</v>
      </c>
    </row>
    <row r="13202" spans="1:9" x14ac:dyDescent="0.25">
      <c r="A13202" t="s">
        <v>6</v>
      </c>
      <c r="B13202" s="1">
        <v>46206</v>
      </c>
      <c r="C13202">
        <v>1</v>
      </c>
      <c r="D13202">
        <v>240.66</v>
      </c>
      <c r="E13202">
        <v>0</v>
      </c>
      <c r="F13202" t="s">
        <v>7</v>
      </c>
      <c r="G13202" t="s">
        <v>11</v>
      </c>
      <c r="H13202" s="5">
        <f>MONTH(Tabela1[[#This Row],[data]])</f>
        <v>7</v>
      </c>
      <c r="I13202" s="6">
        <f>YEAR(Tabela1[[#This Row],[data]])</f>
        <v>2026</v>
      </c>
    </row>
    <row r="13203" spans="1:9" x14ac:dyDescent="0.25">
      <c r="A13203" t="s">
        <v>6</v>
      </c>
      <c r="B13203" s="1">
        <v>46206</v>
      </c>
      <c r="C13203">
        <v>2</v>
      </c>
      <c r="D13203">
        <v>236.88</v>
      </c>
      <c r="E13203">
        <v>0</v>
      </c>
      <c r="F13203" t="s">
        <v>7</v>
      </c>
      <c r="G13203" t="s">
        <v>11</v>
      </c>
      <c r="H13203" s="5">
        <f>MONTH(Tabela1[[#This Row],[data]])</f>
        <v>7</v>
      </c>
      <c r="I13203" s="6">
        <f>YEAR(Tabela1[[#This Row],[data]])</f>
        <v>2026</v>
      </c>
    </row>
    <row r="13204" spans="1:9" x14ac:dyDescent="0.25">
      <c r="A13204" t="s">
        <v>6</v>
      </c>
      <c r="B13204" s="1">
        <v>46206</v>
      </c>
      <c r="C13204">
        <v>3</v>
      </c>
      <c r="D13204">
        <v>233.94</v>
      </c>
      <c r="E13204">
        <v>0</v>
      </c>
      <c r="F13204" t="s">
        <v>7</v>
      </c>
      <c r="G13204" t="s">
        <v>11</v>
      </c>
      <c r="H13204" s="5">
        <f>MONTH(Tabela1[[#This Row],[data]])</f>
        <v>7</v>
      </c>
      <c r="I13204" s="6">
        <f>YEAR(Tabela1[[#This Row],[data]])</f>
        <v>2026</v>
      </c>
    </row>
    <row r="13205" spans="1:9" x14ac:dyDescent="0.25">
      <c r="A13205" t="s">
        <v>6</v>
      </c>
      <c r="B13205" s="1">
        <v>46206</v>
      </c>
      <c r="C13205">
        <v>4</v>
      </c>
      <c r="D13205">
        <v>241.08</v>
      </c>
      <c r="E13205">
        <v>0</v>
      </c>
      <c r="F13205" t="s">
        <v>7</v>
      </c>
      <c r="G13205" t="s">
        <v>11</v>
      </c>
      <c r="H13205" s="5">
        <f>MONTH(Tabela1[[#This Row],[data]])</f>
        <v>7</v>
      </c>
      <c r="I13205" s="6">
        <f>YEAR(Tabela1[[#This Row],[data]])</f>
        <v>2026</v>
      </c>
    </row>
    <row r="13206" spans="1:9" x14ac:dyDescent="0.25">
      <c r="A13206" t="s">
        <v>6</v>
      </c>
      <c r="B13206" s="1">
        <v>46206</v>
      </c>
      <c r="C13206">
        <v>5</v>
      </c>
      <c r="D13206">
        <v>236.46</v>
      </c>
      <c r="E13206">
        <v>0</v>
      </c>
      <c r="F13206" t="s">
        <v>7</v>
      </c>
      <c r="G13206" t="s">
        <v>11</v>
      </c>
      <c r="H13206" s="5">
        <f>MONTH(Tabela1[[#This Row],[data]])</f>
        <v>7</v>
      </c>
      <c r="I13206" s="6">
        <f>YEAR(Tabela1[[#This Row],[data]])</f>
        <v>2026</v>
      </c>
    </row>
    <row r="13207" spans="1:9" x14ac:dyDescent="0.25">
      <c r="A13207" t="s">
        <v>6</v>
      </c>
      <c r="B13207" s="1">
        <v>46206</v>
      </c>
      <c r="C13207">
        <v>6</v>
      </c>
      <c r="D13207">
        <v>231</v>
      </c>
      <c r="E13207">
        <v>0</v>
      </c>
      <c r="F13207" t="s">
        <v>7</v>
      </c>
      <c r="G13207" t="s">
        <v>11</v>
      </c>
      <c r="H13207" s="5">
        <f>MONTH(Tabela1[[#This Row],[data]])</f>
        <v>7</v>
      </c>
      <c r="I13207" s="6">
        <f>YEAR(Tabela1[[#This Row],[data]])</f>
        <v>2026</v>
      </c>
    </row>
    <row r="13208" spans="1:9" x14ac:dyDescent="0.25">
      <c r="A13208" t="s">
        <v>6</v>
      </c>
      <c r="B13208" s="1">
        <v>46206</v>
      </c>
      <c r="C13208">
        <v>7</v>
      </c>
      <c r="D13208">
        <v>233.52</v>
      </c>
      <c r="E13208">
        <v>0</v>
      </c>
      <c r="F13208" t="s">
        <v>7</v>
      </c>
      <c r="G13208" t="s">
        <v>11</v>
      </c>
      <c r="H13208" s="5">
        <f>MONTH(Tabela1[[#This Row],[data]])</f>
        <v>7</v>
      </c>
      <c r="I13208" s="6">
        <f>YEAR(Tabela1[[#This Row],[data]])</f>
        <v>2026</v>
      </c>
    </row>
    <row r="13209" spans="1:9" x14ac:dyDescent="0.25">
      <c r="A13209" t="s">
        <v>6</v>
      </c>
      <c r="B13209" s="1">
        <v>46206</v>
      </c>
      <c r="C13209">
        <v>8</v>
      </c>
      <c r="D13209">
        <v>226.38</v>
      </c>
      <c r="E13209">
        <v>0</v>
      </c>
      <c r="F13209" t="s">
        <v>7</v>
      </c>
      <c r="G13209" t="s">
        <v>11</v>
      </c>
      <c r="H13209" s="5">
        <f>MONTH(Tabela1[[#This Row],[data]])</f>
        <v>7</v>
      </c>
      <c r="I13209" s="6">
        <f>YEAR(Tabela1[[#This Row],[data]])</f>
        <v>2026</v>
      </c>
    </row>
    <row r="13210" spans="1:9" x14ac:dyDescent="0.25">
      <c r="A13210" t="s">
        <v>6</v>
      </c>
      <c r="B13210" s="1">
        <v>46206</v>
      </c>
      <c r="C13210">
        <v>9</v>
      </c>
      <c r="D13210">
        <v>315.42</v>
      </c>
      <c r="E13210">
        <v>0</v>
      </c>
      <c r="F13210" t="s">
        <v>7</v>
      </c>
      <c r="G13210" t="s">
        <v>11</v>
      </c>
      <c r="H13210" s="5">
        <f>MONTH(Tabela1[[#This Row],[data]])</f>
        <v>7</v>
      </c>
      <c r="I13210" s="6">
        <f>YEAR(Tabela1[[#This Row],[data]])</f>
        <v>2026</v>
      </c>
    </row>
    <row r="13211" spans="1:9" x14ac:dyDescent="0.25">
      <c r="A13211" t="s">
        <v>6</v>
      </c>
      <c r="B13211" s="1">
        <v>46206</v>
      </c>
      <c r="C13211">
        <v>10</v>
      </c>
      <c r="D13211">
        <v>387.66</v>
      </c>
      <c r="E13211">
        <v>2.1</v>
      </c>
      <c r="F13211" t="s">
        <v>7</v>
      </c>
      <c r="G13211" t="s">
        <v>11</v>
      </c>
      <c r="H13211" s="5">
        <f>MONTH(Tabela1[[#This Row],[data]])</f>
        <v>7</v>
      </c>
      <c r="I13211" s="6">
        <f>YEAR(Tabela1[[#This Row],[data]])</f>
        <v>2026</v>
      </c>
    </row>
    <row r="13212" spans="1:9" x14ac:dyDescent="0.25">
      <c r="A13212" t="s">
        <v>6</v>
      </c>
      <c r="B13212" s="1">
        <v>46206</v>
      </c>
      <c r="C13212">
        <v>11</v>
      </c>
      <c r="D13212">
        <v>543.48</v>
      </c>
      <c r="E13212">
        <v>31.5</v>
      </c>
      <c r="F13212" t="s">
        <v>7</v>
      </c>
      <c r="G13212" t="s">
        <v>11</v>
      </c>
      <c r="H13212" s="5">
        <f>MONTH(Tabela1[[#This Row],[data]])</f>
        <v>7</v>
      </c>
      <c r="I13212" s="6">
        <f>YEAR(Tabela1[[#This Row],[data]])</f>
        <v>2026</v>
      </c>
    </row>
    <row r="13213" spans="1:9" x14ac:dyDescent="0.25">
      <c r="A13213" t="s">
        <v>6</v>
      </c>
      <c r="B13213" s="1">
        <v>46206</v>
      </c>
      <c r="C13213">
        <v>12</v>
      </c>
      <c r="D13213">
        <v>721.14</v>
      </c>
      <c r="E13213">
        <v>109.62</v>
      </c>
      <c r="F13213" t="s">
        <v>7</v>
      </c>
      <c r="G13213" t="s">
        <v>11</v>
      </c>
      <c r="H13213" s="5">
        <f>MONTH(Tabela1[[#This Row],[data]])</f>
        <v>7</v>
      </c>
      <c r="I13213" s="6">
        <f>YEAR(Tabela1[[#This Row],[data]])</f>
        <v>2026</v>
      </c>
    </row>
    <row r="13214" spans="1:9" x14ac:dyDescent="0.25">
      <c r="A13214" t="s">
        <v>6</v>
      </c>
      <c r="B13214" s="1">
        <v>46206</v>
      </c>
      <c r="C13214">
        <v>13</v>
      </c>
      <c r="D13214">
        <v>773.22</v>
      </c>
      <c r="E13214">
        <v>153.30000000000001</v>
      </c>
      <c r="F13214" t="s">
        <v>7</v>
      </c>
      <c r="G13214" t="s">
        <v>11</v>
      </c>
      <c r="H13214" s="5">
        <f>MONTH(Tabela1[[#This Row],[data]])</f>
        <v>7</v>
      </c>
      <c r="I13214" s="6">
        <f>YEAR(Tabela1[[#This Row],[data]])</f>
        <v>2026</v>
      </c>
    </row>
    <row r="13215" spans="1:9" x14ac:dyDescent="0.25">
      <c r="A13215" t="s">
        <v>6</v>
      </c>
      <c r="B13215" s="1">
        <v>46206</v>
      </c>
      <c r="C13215">
        <v>14</v>
      </c>
      <c r="D13215">
        <v>723.24</v>
      </c>
      <c r="E13215">
        <v>110.88</v>
      </c>
      <c r="F13215" t="s">
        <v>7</v>
      </c>
      <c r="G13215" t="s">
        <v>11</v>
      </c>
      <c r="H13215" s="5">
        <f>MONTH(Tabela1[[#This Row],[data]])</f>
        <v>7</v>
      </c>
      <c r="I13215" s="6">
        <f>YEAR(Tabela1[[#This Row],[data]])</f>
        <v>2026</v>
      </c>
    </row>
    <row r="13216" spans="1:9" x14ac:dyDescent="0.25">
      <c r="A13216" t="s">
        <v>6</v>
      </c>
      <c r="B13216" s="1">
        <v>46206</v>
      </c>
      <c r="C13216">
        <v>15</v>
      </c>
      <c r="D13216">
        <v>712.32</v>
      </c>
      <c r="E13216">
        <v>114.24</v>
      </c>
      <c r="F13216" t="s">
        <v>7</v>
      </c>
      <c r="G13216" t="s">
        <v>11</v>
      </c>
      <c r="H13216" s="5">
        <f>MONTH(Tabela1[[#This Row],[data]])</f>
        <v>7</v>
      </c>
      <c r="I13216" s="6">
        <f>YEAR(Tabela1[[#This Row],[data]])</f>
        <v>2026</v>
      </c>
    </row>
    <row r="13217" spans="1:9" x14ac:dyDescent="0.25">
      <c r="A13217" t="s">
        <v>6</v>
      </c>
      <c r="B13217" s="1">
        <v>46206</v>
      </c>
      <c r="C13217">
        <v>16</v>
      </c>
      <c r="D13217">
        <v>687.96</v>
      </c>
      <c r="E13217">
        <v>121.38</v>
      </c>
      <c r="F13217" t="s">
        <v>7</v>
      </c>
      <c r="G13217" t="s">
        <v>11</v>
      </c>
      <c r="H13217" s="5">
        <f>MONTH(Tabela1[[#This Row],[data]])</f>
        <v>7</v>
      </c>
      <c r="I13217" s="6">
        <f>YEAR(Tabela1[[#This Row],[data]])</f>
        <v>2026</v>
      </c>
    </row>
    <row r="13218" spans="1:9" x14ac:dyDescent="0.25">
      <c r="A13218" t="s">
        <v>6</v>
      </c>
      <c r="B13218" s="1">
        <v>46206</v>
      </c>
      <c r="C13218">
        <v>17</v>
      </c>
      <c r="D13218">
        <v>679.98</v>
      </c>
      <c r="E13218">
        <v>119.28</v>
      </c>
      <c r="F13218" t="s">
        <v>7</v>
      </c>
      <c r="G13218" t="s">
        <v>11</v>
      </c>
      <c r="H13218" s="5">
        <f>MONTH(Tabela1[[#This Row],[data]])</f>
        <v>7</v>
      </c>
      <c r="I13218" s="6">
        <f>YEAR(Tabela1[[#This Row],[data]])</f>
        <v>2026</v>
      </c>
    </row>
    <row r="13219" spans="1:9" x14ac:dyDescent="0.25">
      <c r="A13219" t="s">
        <v>6</v>
      </c>
      <c r="B13219" s="1">
        <v>46206</v>
      </c>
      <c r="C13219">
        <v>18</v>
      </c>
      <c r="D13219">
        <v>681.24</v>
      </c>
      <c r="E13219">
        <v>97.02</v>
      </c>
      <c r="F13219" t="s">
        <v>7</v>
      </c>
      <c r="G13219" t="s">
        <v>11</v>
      </c>
      <c r="H13219" s="5">
        <f>MONTH(Tabela1[[#This Row],[data]])</f>
        <v>7</v>
      </c>
      <c r="I13219" s="6">
        <f>YEAR(Tabela1[[#This Row],[data]])</f>
        <v>2026</v>
      </c>
    </row>
    <row r="13220" spans="1:9" x14ac:dyDescent="0.25">
      <c r="A13220" t="s">
        <v>6</v>
      </c>
      <c r="B13220" s="1">
        <v>46206</v>
      </c>
      <c r="C13220">
        <v>19</v>
      </c>
      <c r="D13220">
        <v>625.79999999999995</v>
      </c>
      <c r="E13220">
        <v>52.08</v>
      </c>
      <c r="F13220" t="s">
        <v>7</v>
      </c>
      <c r="G13220" t="s">
        <v>11</v>
      </c>
      <c r="H13220" s="5">
        <f>MONTH(Tabela1[[#This Row],[data]])</f>
        <v>7</v>
      </c>
      <c r="I13220" s="6">
        <f>YEAR(Tabela1[[#This Row],[data]])</f>
        <v>2026</v>
      </c>
    </row>
    <row r="13221" spans="1:9" x14ac:dyDescent="0.25">
      <c r="A13221" t="s">
        <v>6</v>
      </c>
      <c r="B13221" s="1">
        <v>46206</v>
      </c>
      <c r="C13221">
        <v>20</v>
      </c>
      <c r="D13221">
        <v>616.98</v>
      </c>
      <c r="E13221">
        <v>39.479999999999997</v>
      </c>
      <c r="F13221" t="s">
        <v>7</v>
      </c>
      <c r="G13221" t="s">
        <v>11</v>
      </c>
      <c r="H13221" s="5">
        <f>MONTH(Tabela1[[#This Row],[data]])</f>
        <v>7</v>
      </c>
      <c r="I13221" s="6">
        <f>YEAR(Tabela1[[#This Row],[data]])</f>
        <v>2026</v>
      </c>
    </row>
    <row r="13222" spans="1:9" x14ac:dyDescent="0.25">
      <c r="A13222" t="s">
        <v>6</v>
      </c>
      <c r="B13222" s="1">
        <v>46206</v>
      </c>
      <c r="C13222">
        <v>21</v>
      </c>
      <c r="D13222">
        <v>616.55999999999995</v>
      </c>
      <c r="E13222">
        <v>31.92</v>
      </c>
      <c r="F13222" t="s">
        <v>7</v>
      </c>
      <c r="G13222" t="s">
        <v>11</v>
      </c>
      <c r="H13222" s="5">
        <f>MONTH(Tabela1[[#This Row],[data]])</f>
        <v>7</v>
      </c>
      <c r="I13222" s="6">
        <f>YEAR(Tabela1[[#This Row],[data]])</f>
        <v>2026</v>
      </c>
    </row>
    <row r="13223" spans="1:9" x14ac:dyDescent="0.25">
      <c r="A13223" t="s">
        <v>6</v>
      </c>
      <c r="B13223" s="1">
        <v>46206</v>
      </c>
      <c r="C13223">
        <v>22</v>
      </c>
      <c r="D13223">
        <v>583.38</v>
      </c>
      <c r="E13223">
        <v>20.16</v>
      </c>
      <c r="F13223" t="s">
        <v>7</v>
      </c>
      <c r="G13223" t="s">
        <v>11</v>
      </c>
      <c r="H13223" s="5">
        <f>MONTH(Tabela1[[#This Row],[data]])</f>
        <v>7</v>
      </c>
      <c r="I13223" s="6">
        <f>YEAR(Tabela1[[#This Row],[data]])</f>
        <v>2026</v>
      </c>
    </row>
    <row r="13224" spans="1:9" x14ac:dyDescent="0.25">
      <c r="A13224" t="s">
        <v>6</v>
      </c>
      <c r="B13224" s="1">
        <v>46206</v>
      </c>
      <c r="C13224">
        <v>23</v>
      </c>
      <c r="D13224">
        <v>394.38</v>
      </c>
      <c r="E13224">
        <v>0</v>
      </c>
      <c r="F13224" t="s">
        <v>7</v>
      </c>
      <c r="G13224" t="s">
        <v>11</v>
      </c>
      <c r="H13224" s="5">
        <f>MONTH(Tabela1[[#This Row],[data]])</f>
        <v>7</v>
      </c>
      <c r="I13224" s="6">
        <f>YEAR(Tabela1[[#This Row],[data]])</f>
        <v>2026</v>
      </c>
    </row>
    <row r="13225" spans="1:9" x14ac:dyDescent="0.25">
      <c r="A13225" t="s">
        <v>6</v>
      </c>
      <c r="B13225" s="1">
        <v>46206</v>
      </c>
      <c r="C13225">
        <v>24</v>
      </c>
      <c r="D13225">
        <v>294</v>
      </c>
      <c r="E13225">
        <v>0</v>
      </c>
      <c r="F13225" t="s">
        <v>7</v>
      </c>
      <c r="G13225" t="s">
        <v>11</v>
      </c>
      <c r="H13225" s="5">
        <f>MONTH(Tabela1[[#This Row],[data]])</f>
        <v>7</v>
      </c>
      <c r="I13225" s="6">
        <f>YEAR(Tabela1[[#This Row],[data]])</f>
        <v>2026</v>
      </c>
    </row>
    <row r="13226" spans="1:9" x14ac:dyDescent="0.25">
      <c r="A13226" t="s">
        <v>6</v>
      </c>
      <c r="B13226" s="1">
        <v>46207</v>
      </c>
      <c r="C13226">
        <v>1</v>
      </c>
      <c r="D13226">
        <v>263.33999999999997</v>
      </c>
      <c r="E13226">
        <v>0</v>
      </c>
      <c r="F13226" t="s">
        <v>7</v>
      </c>
      <c r="G13226" t="s">
        <v>11</v>
      </c>
      <c r="H13226" s="5">
        <f>MONTH(Tabela1[[#This Row],[data]])</f>
        <v>7</v>
      </c>
      <c r="I13226" s="6">
        <f>YEAR(Tabela1[[#This Row],[data]])</f>
        <v>2026</v>
      </c>
    </row>
    <row r="13227" spans="1:9" x14ac:dyDescent="0.25">
      <c r="A13227" t="s">
        <v>6</v>
      </c>
      <c r="B13227" s="1">
        <v>46207</v>
      </c>
      <c r="C13227">
        <v>2</v>
      </c>
      <c r="D13227">
        <v>254.94</v>
      </c>
      <c r="E13227">
        <v>0</v>
      </c>
      <c r="F13227" t="s">
        <v>7</v>
      </c>
      <c r="G13227" t="s">
        <v>11</v>
      </c>
      <c r="H13227" s="5">
        <f>MONTH(Tabela1[[#This Row],[data]])</f>
        <v>7</v>
      </c>
      <c r="I13227" s="6">
        <f>YEAR(Tabela1[[#This Row],[data]])</f>
        <v>2026</v>
      </c>
    </row>
    <row r="13228" spans="1:9" x14ac:dyDescent="0.25">
      <c r="A13228" t="s">
        <v>6</v>
      </c>
      <c r="B13228" s="1">
        <v>46207</v>
      </c>
      <c r="C13228">
        <v>3</v>
      </c>
      <c r="D13228">
        <v>244.44</v>
      </c>
      <c r="E13228">
        <v>0</v>
      </c>
      <c r="F13228" t="s">
        <v>7</v>
      </c>
      <c r="G13228" t="s">
        <v>11</v>
      </c>
      <c r="H13228" s="5">
        <f>MONTH(Tabela1[[#This Row],[data]])</f>
        <v>7</v>
      </c>
      <c r="I13228" s="6">
        <f>YEAR(Tabela1[[#This Row],[data]])</f>
        <v>2026</v>
      </c>
    </row>
    <row r="13229" spans="1:9" x14ac:dyDescent="0.25">
      <c r="A13229" t="s">
        <v>6</v>
      </c>
      <c r="B13229" s="1">
        <v>46207</v>
      </c>
      <c r="C13229">
        <v>4</v>
      </c>
      <c r="D13229">
        <v>245.7</v>
      </c>
      <c r="E13229">
        <v>0</v>
      </c>
      <c r="F13229" t="s">
        <v>7</v>
      </c>
      <c r="G13229" t="s">
        <v>11</v>
      </c>
      <c r="H13229" s="5">
        <f>MONTH(Tabela1[[#This Row],[data]])</f>
        <v>7</v>
      </c>
      <c r="I13229" s="6">
        <f>YEAR(Tabela1[[#This Row],[data]])</f>
        <v>2026</v>
      </c>
    </row>
    <row r="13230" spans="1:9" x14ac:dyDescent="0.25">
      <c r="A13230" t="s">
        <v>6</v>
      </c>
      <c r="B13230" s="1">
        <v>46207</v>
      </c>
      <c r="C13230">
        <v>5</v>
      </c>
      <c r="D13230">
        <v>247.38</v>
      </c>
      <c r="E13230">
        <v>0</v>
      </c>
      <c r="F13230" t="s">
        <v>7</v>
      </c>
      <c r="G13230" t="s">
        <v>11</v>
      </c>
      <c r="H13230" s="5">
        <f>MONTH(Tabela1[[#This Row],[data]])</f>
        <v>7</v>
      </c>
      <c r="I13230" s="6">
        <f>YEAR(Tabela1[[#This Row],[data]])</f>
        <v>2026</v>
      </c>
    </row>
    <row r="13231" spans="1:9" x14ac:dyDescent="0.25">
      <c r="A13231" t="s">
        <v>6</v>
      </c>
      <c r="B13231" s="1">
        <v>46207</v>
      </c>
      <c r="C13231">
        <v>6</v>
      </c>
      <c r="D13231">
        <v>245.28</v>
      </c>
      <c r="E13231">
        <v>0</v>
      </c>
      <c r="F13231" t="s">
        <v>7</v>
      </c>
      <c r="G13231" t="s">
        <v>11</v>
      </c>
      <c r="H13231" s="5">
        <f>MONTH(Tabela1[[#This Row],[data]])</f>
        <v>7</v>
      </c>
      <c r="I13231" s="6">
        <f>YEAR(Tabela1[[#This Row],[data]])</f>
        <v>2026</v>
      </c>
    </row>
    <row r="13232" spans="1:9" x14ac:dyDescent="0.25">
      <c r="A13232" t="s">
        <v>6</v>
      </c>
      <c r="B13232" s="1">
        <v>46207</v>
      </c>
      <c r="C13232">
        <v>7</v>
      </c>
      <c r="D13232">
        <v>254.1</v>
      </c>
      <c r="E13232">
        <v>0</v>
      </c>
      <c r="F13232" t="s">
        <v>7</v>
      </c>
      <c r="G13232" t="s">
        <v>11</v>
      </c>
      <c r="H13232" s="5">
        <f>MONTH(Tabela1[[#This Row],[data]])</f>
        <v>7</v>
      </c>
      <c r="I13232" s="6">
        <f>YEAR(Tabela1[[#This Row],[data]])</f>
        <v>2026</v>
      </c>
    </row>
    <row r="13233" spans="1:9" x14ac:dyDescent="0.25">
      <c r="A13233" t="s">
        <v>6</v>
      </c>
      <c r="B13233" s="1">
        <v>46207</v>
      </c>
      <c r="C13233">
        <v>8</v>
      </c>
      <c r="D13233">
        <v>240.24</v>
      </c>
      <c r="E13233">
        <v>0</v>
      </c>
      <c r="F13233" t="s">
        <v>7</v>
      </c>
      <c r="G13233" t="s">
        <v>11</v>
      </c>
      <c r="H13233" s="5">
        <f>MONTH(Tabela1[[#This Row],[data]])</f>
        <v>7</v>
      </c>
      <c r="I13233" s="6">
        <f>YEAR(Tabela1[[#This Row],[data]])</f>
        <v>2026</v>
      </c>
    </row>
    <row r="13234" spans="1:9" x14ac:dyDescent="0.25">
      <c r="A13234" t="s">
        <v>6</v>
      </c>
      <c r="B13234" s="1">
        <v>46207</v>
      </c>
      <c r="C13234">
        <v>9</v>
      </c>
      <c r="D13234">
        <v>313.74</v>
      </c>
      <c r="E13234">
        <v>0</v>
      </c>
      <c r="F13234" t="s">
        <v>7</v>
      </c>
      <c r="G13234" t="s">
        <v>11</v>
      </c>
      <c r="H13234" s="5">
        <f>MONTH(Tabela1[[#This Row],[data]])</f>
        <v>7</v>
      </c>
      <c r="I13234" s="6">
        <f>YEAR(Tabela1[[#This Row],[data]])</f>
        <v>2026</v>
      </c>
    </row>
    <row r="13235" spans="1:9" x14ac:dyDescent="0.25">
      <c r="A13235" t="s">
        <v>6</v>
      </c>
      <c r="B13235" s="1">
        <v>46207</v>
      </c>
      <c r="C13235">
        <v>10</v>
      </c>
      <c r="D13235">
        <v>394.38</v>
      </c>
      <c r="E13235">
        <v>0</v>
      </c>
      <c r="F13235" t="s">
        <v>7</v>
      </c>
      <c r="G13235" t="s">
        <v>11</v>
      </c>
      <c r="H13235" s="5">
        <f>MONTH(Tabela1[[#This Row],[data]])</f>
        <v>7</v>
      </c>
      <c r="I13235" s="6">
        <f>YEAR(Tabela1[[#This Row],[data]])</f>
        <v>2026</v>
      </c>
    </row>
    <row r="13236" spans="1:9" x14ac:dyDescent="0.25">
      <c r="A13236" t="s">
        <v>6</v>
      </c>
      <c r="B13236" s="1">
        <v>46207</v>
      </c>
      <c r="C13236">
        <v>11</v>
      </c>
      <c r="D13236">
        <v>653.1</v>
      </c>
      <c r="E13236">
        <v>95.76</v>
      </c>
      <c r="F13236" t="s">
        <v>7</v>
      </c>
      <c r="G13236" t="s">
        <v>11</v>
      </c>
      <c r="H13236" s="5">
        <f>MONTH(Tabela1[[#This Row],[data]])</f>
        <v>7</v>
      </c>
      <c r="I13236" s="6">
        <f>YEAR(Tabela1[[#This Row],[data]])</f>
        <v>2026</v>
      </c>
    </row>
    <row r="13237" spans="1:9" x14ac:dyDescent="0.25">
      <c r="A13237" t="s">
        <v>6</v>
      </c>
      <c r="B13237" s="1">
        <v>46207</v>
      </c>
      <c r="C13237">
        <v>12</v>
      </c>
      <c r="D13237">
        <v>635.46</v>
      </c>
      <c r="E13237">
        <v>93.24</v>
      </c>
      <c r="F13237" t="s">
        <v>7</v>
      </c>
      <c r="G13237" t="s">
        <v>11</v>
      </c>
      <c r="H13237" s="5">
        <f>MONTH(Tabela1[[#This Row],[data]])</f>
        <v>7</v>
      </c>
      <c r="I13237" s="6">
        <f>YEAR(Tabela1[[#This Row],[data]])</f>
        <v>2026</v>
      </c>
    </row>
    <row r="13238" spans="1:9" x14ac:dyDescent="0.25">
      <c r="A13238" t="s">
        <v>6</v>
      </c>
      <c r="B13238" s="1">
        <v>46207</v>
      </c>
      <c r="C13238">
        <v>13</v>
      </c>
      <c r="D13238">
        <v>659.82</v>
      </c>
      <c r="E13238">
        <v>94.5</v>
      </c>
      <c r="F13238" t="s">
        <v>7</v>
      </c>
      <c r="G13238" t="s">
        <v>11</v>
      </c>
      <c r="H13238" s="5">
        <f>MONTH(Tabela1[[#This Row],[data]])</f>
        <v>7</v>
      </c>
      <c r="I13238" s="6">
        <f>YEAR(Tabela1[[#This Row],[data]])</f>
        <v>2026</v>
      </c>
    </row>
    <row r="13239" spans="1:9" x14ac:dyDescent="0.25">
      <c r="A13239" t="s">
        <v>6</v>
      </c>
      <c r="B13239" s="1">
        <v>46207</v>
      </c>
      <c r="C13239">
        <v>14</v>
      </c>
      <c r="D13239">
        <v>658.14</v>
      </c>
      <c r="E13239">
        <v>94.5</v>
      </c>
      <c r="F13239" t="s">
        <v>7</v>
      </c>
      <c r="G13239" t="s">
        <v>11</v>
      </c>
      <c r="H13239" s="5">
        <f>MONTH(Tabela1[[#This Row],[data]])</f>
        <v>7</v>
      </c>
      <c r="I13239" s="6">
        <f>YEAR(Tabela1[[#This Row],[data]])</f>
        <v>2026</v>
      </c>
    </row>
    <row r="13240" spans="1:9" x14ac:dyDescent="0.25">
      <c r="A13240" t="s">
        <v>6</v>
      </c>
      <c r="B13240" s="1">
        <v>46207</v>
      </c>
      <c r="C13240">
        <v>15</v>
      </c>
      <c r="D13240">
        <v>664.02</v>
      </c>
      <c r="E13240">
        <v>94.92</v>
      </c>
      <c r="F13240" t="s">
        <v>7</v>
      </c>
      <c r="G13240" t="s">
        <v>11</v>
      </c>
      <c r="H13240" s="5">
        <f>MONTH(Tabela1[[#This Row],[data]])</f>
        <v>7</v>
      </c>
      <c r="I13240" s="6">
        <f>YEAR(Tabela1[[#This Row],[data]])</f>
        <v>2026</v>
      </c>
    </row>
    <row r="13241" spans="1:9" x14ac:dyDescent="0.25">
      <c r="A13241" t="s">
        <v>6</v>
      </c>
      <c r="B13241" s="1">
        <v>46207</v>
      </c>
      <c r="C13241">
        <v>16</v>
      </c>
      <c r="D13241">
        <v>668.64</v>
      </c>
      <c r="E13241">
        <v>97.44</v>
      </c>
      <c r="F13241" t="s">
        <v>7</v>
      </c>
      <c r="G13241" t="s">
        <v>11</v>
      </c>
      <c r="H13241" s="5">
        <f>MONTH(Tabela1[[#This Row],[data]])</f>
        <v>7</v>
      </c>
      <c r="I13241" s="6">
        <f>YEAR(Tabela1[[#This Row],[data]])</f>
        <v>2026</v>
      </c>
    </row>
    <row r="13242" spans="1:9" x14ac:dyDescent="0.25">
      <c r="A13242" t="s">
        <v>6</v>
      </c>
      <c r="B13242" s="1">
        <v>46207</v>
      </c>
      <c r="C13242">
        <v>17</v>
      </c>
      <c r="D13242">
        <v>673.26</v>
      </c>
      <c r="E13242">
        <v>97.02</v>
      </c>
      <c r="F13242" t="s">
        <v>7</v>
      </c>
      <c r="G13242" t="s">
        <v>11</v>
      </c>
      <c r="H13242" s="5">
        <f>MONTH(Tabela1[[#This Row],[data]])</f>
        <v>7</v>
      </c>
      <c r="I13242" s="6">
        <f>YEAR(Tabela1[[#This Row],[data]])</f>
        <v>2026</v>
      </c>
    </row>
    <row r="13243" spans="1:9" x14ac:dyDescent="0.25">
      <c r="A13243" t="s">
        <v>6</v>
      </c>
      <c r="B13243" s="1">
        <v>46207</v>
      </c>
      <c r="C13243">
        <v>18</v>
      </c>
      <c r="D13243">
        <v>679.14</v>
      </c>
      <c r="E13243">
        <v>88.2</v>
      </c>
      <c r="F13243" t="s">
        <v>7</v>
      </c>
      <c r="G13243" t="s">
        <v>11</v>
      </c>
      <c r="H13243" s="5">
        <f>MONTH(Tabela1[[#This Row],[data]])</f>
        <v>7</v>
      </c>
      <c r="I13243" s="6">
        <f>YEAR(Tabela1[[#This Row],[data]])</f>
        <v>2026</v>
      </c>
    </row>
    <row r="13244" spans="1:9" x14ac:dyDescent="0.25">
      <c r="A13244" t="s">
        <v>6</v>
      </c>
      <c r="B13244" s="1">
        <v>46207</v>
      </c>
      <c r="C13244">
        <v>19</v>
      </c>
      <c r="D13244">
        <v>699.72</v>
      </c>
      <c r="E13244">
        <v>79.8</v>
      </c>
      <c r="F13244" t="s">
        <v>7</v>
      </c>
      <c r="G13244" t="s">
        <v>11</v>
      </c>
      <c r="H13244" s="5">
        <f>MONTH(Tabela1[[#This Row],[data]])</f>
        <v>7</v>
      </c>
      <c r="I13244" s="6">
        <f>YEAR(Tabela1[[#This Row],[data]])</f>
        <v>2026</v>
      </c>
    </row>
    <row r="13245" spans="1:9" x14ac:dyDescent="0.25">
      <c r="A13245" t="s">
        <v>6</v>
      </c>
      <c r="B13245" s="1">
        <v>46207</v>
      </c>
      <c r="C13245">
        <v>20</v>
      </c>
      <c r="D13245">
        <v>697.62</v>
      </c>
      <c r="E13245">
        <v>90.72</v>
      </c>
      <c r="F13245" t="s">
        <v>7</v>
      </c>
      <c r="G13245" t="s">
        <v>11</v>
      </c>
      <c r="H13245" s="5">
        <f>MONTH(Tabela1[[#This Row],[data]])</f>
        <v>7</v>
      </c>
      <c r="I13245" s="6">
        <f>YEAR(Tabela1[[#This Row],[data]])</f>
        <v>2026</v>
      </c>
    </row>
    <row r="13246" spans="1:9" x14ac:dyDescent="0.25">
      <c r="A13246" t="s">
        <v>6</v>
      </c>
      <c r="B13246" s="1">
        <v>46207</v>
      </c>
      <c r="C13246">
        <v>21</v>
      </c>
      <c r="D13246">
        <v>641.34</v>
      </c>
      <c r="E13246">
        <v>40.32</v>
      </c>
      <c r="F13246" t="s">
        <v>7</v>
      </c>
      <c r="G13246" t="s">
        <v>11</v>
      </c>
      <c r="H13246" s="5">
        <f>MONTH(Tabela1[[#This Row],[data]])</f>
        <v>7</v>
      </c>
      <c r="I13246" s="6">
        <f>YEAR(Tabela1[[#This Row],[data]])</f>
        <v>2026</v>
      </c>
    </row>
    <row r="13247" spans="1:9" x14ac:dyDescent="0.25">
      <c r="A13247" t="s">
        <v>6</v>
      </c>
      <c r="B13247" s="1">
        <v>46207</v>
      </c>
      <c r="C13247">
        <v>22</v>
      </c>
      <c r="D13247">
        <v>598.91999999999996</v>
      </c>
      <c r="E13247">
        <v>37.799999999999997</v>
      </c>
      <c r="F13247" t="s">
        <v>7</v>
      </c>
      <c r="G13247" t="s">
        <v>11</v>
      </c>
      <c r="H13247" s="5">
        <f>MONTH(Tabela1[[#This Row],[data]])</f>
        <v>7</v>
      </c>
      <c r="I13247" s="6">
        <f>YEAR(Tabela1[[#This Row],[data]])</f>
        <v>2026</v>
      </c>
    </row>
    <row r="13248" spans="1:9" x14ac:dyDescent="0.25">
      <c r="A13248" t="s">
        <v>6</v>
      </c>
      <c r="B13248" s="1">
        <v>46207</v>
      </c>
      <c r="C13248">
        <v>23</v>
      </c>
      <c r="D13248">
        <v>403.62</v>
      </c>
      <c r="E13248">
        <v>0</v>
      </c>
      <c r="F13248" t="s">
        <v>7</v>
      </c>
      <c r="G13248" t="s">
        <v>11</v>
      </c>
      <c r="H13248" s="5">
        <f>MONTH(Tabela1[[#This Row],[data]])</f>
        <v>7</v>
      </c>
      <c r="I13248" s="6">
        <f>YEAR(Tabela1[[#This Row],[data]])</f>
        <v>2026</v>
      </c>
    </row>
    <row r="13249" spans="1:9" x14ac:dyDescent="0.25">
      <c r="A13249" t="s">
        <v>6</v>
      </c>
      <c r="B13249" s="1">
        <v>46207</v>
      </c>
      <c r="C13249">
        <v>24</v>
      </c>
      <c r="D13249">
        <v>294.83999999999997</v>
      </c>
      <c r="E13249">
        <v>0</v>
      </c>
      <c r="F13249" t="s">
        <v>7</v>
      </c>
      <c r="G13249" t="s">
        <v>11</v>
      </c>
      <c r="H13249" s="5">
        <f>MONTH(Tabela1[[#This Row],[data]])</f>
        <v>7</v>
      </c>
      <c r="I13249" s="6">
        <f>YEAR(Tabela1[[#This Row],[data]])</f>
        <v>2026</v>
      </c>
    </row>
    <row r="13250" spans="1:9" x14ac:dyDescent="0.25">
      <c r="A13250" t="s">
        <v>6</v>
      </c>
      <c r="B13250" s="1">
        <v>46208</v>
      </c>
      <c r="C13250">
        <v>1</v>
      </c>
      <c r="D13250">
        <v>274.26</v>
      </c>
      <c r="E13250">
        <v>0</v>
      </c>
      <c r="F13250" t="s">
        <v>7</v>
      </c>
      <c r="G13250" t="s">
        <v>11</v>
      </c>
      <c r="H13250" s="5">
        <f>MONTH(Tabela1[[#This Row],[data]])</f>
        <v>7</v>
      </c>
      <c r="I13250" s="6">
        <f>YEAR(Tabela1[[#This Row],[data]])</f>
        <v>2026</v>
      </c>
    </row>
    <row r="13251" spans="1:9" x14ac:dyDescent="0.25">
      <c r="A13251" t="s">
        <v>6</v>
      </c>
      <c r="B13251" s="1">
        <v>46208</v>
      </c>
      <c r="C13251">
        <v>2</v>
      </c>
      <c r="D13251">
        <v>250.74</v>
      </c>
      <c r="E13251">
        <v>0</v>
      </c>
      <c r="F13251" t="s">
        <v>7</v>
      </c>
      <c r="G13251" t="s">
        <v>11</v>
      </c>
      <c r="H13251" s="5">
        <f>MONTH(Tabela1[[#This Row],[data]])</f>
        <v>7</v>
      </c>
      <c r="I13251" s="6">
        <f>YEAR(Tabela1[[#This Row],[data]])</f>
        <v>2026</v>
      </c>
    </row>
    <row r="13252" spans="1:9" x14ac:dyDescent="0.25">
      <c r="A13252" t="s">
        <v>6</v>
      </c>
      <c r="B13252" s="1">
        <v>46208</v>
      </c>
      <c r="C13252">
        <v>3</v>
      </c>
      <c r="D13252">
        <v>249.48</v>
      </c>
      <c r="E13252">
        <v>0</v>
      </c>
      <c r="F13252" t="s">
        <v>7</v>
      </c>
      <c r="G13252" t="s">
        <v>11</v>
      </c>
      <c r="H13252" s="5">
        <f>MONTH(Tabela1[[#This Row],[data]])</f>
        <v>7</v>
      </c>
      <c r="I13252" s="6">
        <f>YEAR(Tabela1[[#This Row],[data]])</f>
        <v>2026</v>
      </c>
    </row>
    <row r="13253" spans="1:9" x14ac:dyDescent="0.25">
      <c r="A13253" t="s">
        <v>6</v>
      </c>
      <c r="B13253" s="1">
        <v>46208</v>
      </c>
      <c r="C13253">
        <v>4</v>
      </c>
      <c r="D13253">
        <v>249.06</v>
      </c>
      <c r="E13253">
        <v>0</v>
      </c>
      <c r="F13253" t="s">
        <v>7</v>
      </c>
      <c r="G13253" t="s">
        <v>11</v>
      </c>
      <c r="H13253" s="5">
        <f>MONTH(Tabela1[[#This Row],[data]])</f>
        <v>7</v>
      </c>
      <c r="I13253" s="6">
        <f>YEAR(Tabela1[[#This Row],[data]])</f>
        <v>2026</v>
      </c>
    </row>
    <row r="13254" spans="1:9" x14ac:dyDescent="0.25">
      <c r="A13254" t="s">
        <v>6</v>
      </c>
      <c r="B13254" s="1">
        <v>46208</v>
      </c>
      <c r="C13254">
        <v>5</v>
      </c>
      <c r="D13254">
        <v>252</v>
      </c>
      <c r="E13254">
        <v>0</v>
      </c>
      <c r="F13254" t="s">
        <v>7</v>
      </c>
      <c r="G13254" t="s">
        <v>11</v>
      </c>
      <c r="H13254" s="5">
        <f>MONTH(Tabela1[[#This Row],[data]])</f>
        <v>7</v>
      </c>
      <c r="I13254" s="6">
        <f>YEAR(Tabela1[[#This Row],[data]])</f>
        <v>2026</v>
      </c>
    </row>
    <row r="13255" spans="1:9" x14ac:dyDescent="0.25">
      <c r="A13255" t="s">
        <v>6</v>
      </c>
      <c r="B13255" s="1">
        <v>46208</v>
      </c>
      <c r="C13255">
        <v>6</v>
      </c>
      <c r="D13255">
        <v>247.8</v>
      </c>
      <c r="E13255">
        <v>0</v>
      </c>
      <c r="F13255" t="s">
        <v>7</v>
      </c>
      <c r="G13255" t="s">
        <v>11</v>
      </c>
      <c r="H13255" s="5">
        <f>MONTH(Tabela1[[#This Row],[data]])</f>
        <v>7</v>
      </c>
      <c r="I13255" s="6">
        <f>YEAR(Tabela1[[#This Row],[data]])</f>
        <v>2026</v>
      </c>
    </row>
    <row r="13256" spans="1:9" x14ac:dyDescent="0.25">
      <c r="A13256" t="s">
        <v>6</v>
      </c>
      <c r="B13256" s="1">
        <v>46208</v>
      </c>
      <c r="C13256">
        <v>7</v>
      </c>
      <c r="D13256">
        <v>241.92</v>
      </c>
      <c r="E13256">
        <v>0</v>
      </c>
      <c r="F13256" t="s">
        <v>7</v>
      </c>
      <c r="G13256" t="s">
        <v>11</v>
      </c>
      <c r="H13256" s="5">
        <f>MONTH(Tabela1[[#This Row],[data]])</f>
        <v>7</v>
      </c>
      <c r="I13256" s="6">
        <f>YEAR(Tabela1[[#This Row],[data]])</f>
        <v>2026</v>
      </c>
    </row>
    <row r="13257" spans="1:9" x14ac:dyDescent="0.25">
      <c r="A13257" t="s">
        <v>6</v>
      </c>
      <c r="B13257" s="1">
        <v>46208</v>
      </c>
      <c r="C13257">
        <v>8</v>
      </c>
      <c r="D13257">
        <v>215.04</v>
      </c>
      <c r="E13257">
        <v>0</v>
      </c>
      <c r="F13257" t="s">
        <v>7</v>
      </c>
      <c r="G13257" t="s">
        <v>11</v>
      </c>
      <c r="H13257" s="5">
        <f>MONTH(Tabela1[[#This Row],[data]])</f>
        <v>7</v>
      </c>
      <c r="I13257" s="6">
        <f>YEAR(Tabela1[[#This Row],[data]])</f>
        <v>2026</v>
      </c>
    </row>
    <row r="13258" spans="1:9" x14ac:dyDescent="0.25">
      <c r="A13258" t="s">
        <v>6</v>
      </c>
      <c r="B13258" s="1">
        <v>46208</v>
      </c>
      <c r="C13258">
        <v>9</v>
      </c>
      <c r="D13258">
        <v>269.64</v>
      </c>
      <c r="E13258">
        <v>0</v>
      </c>
      <c r="F13258" t="s">
        <v>7</v>
      </c>
      <c r="G13258" t="s">
        <v>11</v>
      </c>
      <c r="H13258" s="5">
        <f>MONTH(Tabela1[[#This Row],[data]])</f>
        <v>7</v>
      </c>
      <c r="I13258" s="6">
        <f>YEAR(Tabela1[[#This Row],[data]])</f>
        <v>2026</v>
      </c>
    </row>
    <row r="13259" spans="1:9" x14ac:dyDescent="0.25">
      <c r="A13259" t="s">
        <v>6</v>
      </c>
      <c r="B13259" s="1">
        <v>46208</v>
      </c>
      <c r="C13259">
        <v>10</v>
      </c>
      <c r="D13259">
        <v>317.10000000000002</v>
      </c>
      <c r="E13259">
        <v>0</v>
      </c>
      <c r="F13259" t="s">
        <v>7</v>
      </c>
      <c r="G13259" t="s">
        <v>11</v>
      </c>
      <c r="H13259" s="5">
        <f>MONTH(Tabela1[[#This Row],[data]])</f>
        <v>7</v>
      </c>
      <c r="I13259" s="6">
        <f>YEAR(Tabela1[[#This Row],[data]])</f>
        <v>2026</v>
      </c>
    </row>
    <row r="13260" spans="1:9" x14ac:dyDescent="0.25">
      <c r="A13260" t="s">
        <v>6</v>
      </c>
      <c r="B13260" s="1">
        <v>46208</v>
      </c>
      <c r="C13260">
        <v>11</v>
      </c>
      <c r="D13260">
        <v>398.58</v>
      </c>
      <c r="E13260">
        <v>0.42</v>
      </c>
      <c r="F13260" t="s">
        <v>7</v>
      </c>
      <c r="G13260" t="s">
        <v>11</v>
      </c>
      <c r="H13260" s="5">
        <f>MONTH(Tabela1[[#This Row],[data]])</f>
        <v>7</v>
      </c>
      <c r="I13260" s="6">
        <f>YEAR(Tabela1[[#This Row],[data]])</f>
        <v>2026</v>
      </c>
    </row>
    <row r="13261" spans="1:9" x14ac:dyDescent="0.25">
      <c r="A13261" t="s">
        <v>6</v>
      </c>
      <c r="B13261" s="1">
        <v>46208</v>
      </c>
      <c r="C13261">
        <v>12</v>
      </c>
      <c r="D13261">
        <v>462</v>
      </c>
      <c r="E13261">
        <v>7.98</v>
      </c>
      <c r="F13261" t="s">
        <v>7</v>
      </c>
      <c r="G13261" t="s">
        <v>11</v>
      </c>
      <c r="H13261" s="5">
        <f>MONTH(Tabela1[[#This Row],[data]])</f>
        <v>7</v>
      </c>
      <c r="I13261" s="6">
        <f>YEAR(Tabela1[[#This Row],[data]])</f>
        <v>2026</v>
      </c>
    </row>
    <row r="13262" spans="1:9" x14ac:dyDescent="0.25">
      <c r="A13262" t="s">
        <v>6</v>
      </c>
      <c r="B13262" s="1">
        <v>46208</v>
      </c>
      <c r="C13262">
        <v>13</v>
      </c>
      <c r="D13262">
        <v>541.79999999999995</v>
      </c>
      <c r="E13262">
        <v>22.26</v>
      </c>
      <c r="F13262" t="s">
        <v>7</v>
      </c>
      <c r="G13262" t="s">
        <v>11</v>
      </c>
      <c r="H13262" s="5">
        <f>MONTH(Tabela1[[#This Row],[data]])</f>
        <v>7</v>
      </c>
      <c r="I13262" s="6">
        <f>YEAR(Tabela1[[#This Row],[data]])</f>
        <v>2026</v>
      </c>
    </row>
    <row r="13263" spans="1:9" x14ac:dyDescent="0.25">
      <c r="A13263" t="s">
        <v>6</v>
      </c>
      <c r="B13263" s="1">
        <v>46208</v>
      </c>
      <c r="C13263">
        <v>14</v>
      </c>
      <c r="D13263">
        <v>786.66</v>
      </c>
      <c r="E13263">
        <v>124.74</v>
      </c>
      <c r="F13263" t="s">
        <v>7</v>
      </c>
      <c r="G13263" t="s">
        <v>11</v>
      </c>
      <c r="H13263" s="5">
        <f>MONTH(Tabela1[[#This Row],[data]])</f>
        <v>7</v>
      </c>
      <c r="I13263" s="6">
        <f>YEAR(Tabela1[[#This Row],[data]])</f>
        <v>2026</v>
      </c>
    </row>
    <row r="13264" spans="1:9" x14ac:dyDescent="0.25">
      <c r="A13264" t="s">
        <v>6</v>
      </c>
      <c r="B13264" s="1">
        <v>46208</v>
      </c>
      <c r="C13264">
        <v>15</v>
      </c>
      <c r="D13264">
        <v>745.92</v>
      </c>
      <c r="E13264">
        <v>124.32</v>
      </c>
      <c r="F13264" t="s">
        <v>7</v>
      </c>
      <c r="G13264" t="s">
        <v>11</v>
      </c>
      <c r="H13264" s="5">
        <f>MONTH(Tabela1[[#This Row],[data]])</f>
        <v>7</v>
      </c>
      <c r="I13264" s="6">
        <f>YEAR(Tabela1[[#This Row],[data]])</f>
        <v>2026</v>
      </c>
    </row>
    <row r="13265" spans="1:9" x14ac:dyDescent="0.25">
      <c r="A13265" t="s">
        <v>6</v>
      </c>
      <c r="B13265" s="1">
        <v>46208</v>
      </c>
      <c r="C13265">
        <v>16</v>
      </c>
      <c r="D13265">
        <v>637.98</v>
      </c>
      <c r="E13265">
        <v>66.36</v>
      </c>
      <c r="F13265" t="s">
        <v>7</v>
      </c>
      <c r="G13265" t="s">
        <v>11</v>
      </c>
      <c r="H13265" s="5">
        <f>MONTH(Tabela1[[#This Row],[data]])</f>
        <v>7</v>
      </c>
      <c r="I13265" s="6">
        <f>YEAR(Tabela1[[#This Row],[data]])</f>
        <v>2026</v>
      </c>
    </row>
    <row r="13266" spans="1:9" x14ac:dyDescent="0.25">
      <c r="A13266" t="s">
        <v>6</v>
      </c>
      <c r="B13266" s="1">
        <v>46208</v>
      </c>
      <c r="C13266">
        <v>17</v>
      </c>
      <c r="D13266">
        <v>580.44000000000005</v>
      </c>
      <c r="E13266">
        <v>48.3</v>
      </c>
      <c r="F13266" t="s">
        <v>7</v>
      </c>
      <c r="G13266" t="s">
        <v>11</v>
      </c>
      <c r="H13266" s="5">
        <f>MONTH(Tabela1[[#This Row],[data]])</f>
        <v>7</v>
      </c>
      <c r="I13266" s="6">
        <f>YEAR(Tabela1[[#This Row],[data]])</f>
        <v>2026</v>
      </c>
    </row>
    <row r="13267" spans="1:9" x14ac:dyDescent="0.25">
      <c r="A13267" t="s">
        <v>6</v>
      </c>
      <c r="B13267" s="1">
        <v>46208</v>
      </c>
      <c r="C13267">
        <v>18</v>
      </c>
      <c r="D13267">
        <v>452.76</v>
      </c>
      <c r="E13267">
        <v>29.4</v>
      </c>
      <c r="F13267" t="s">
        <v>7</v>
      </c>
      <c r="G13267" t="s">
        <v>11</v>
      </c>
      <c r="H13267" s="5">
        <f>MONTH(Tabela1[[#This Row],[data]])</f>
        <v>7</v>
      </c>
      <c r="I13267" s="6">
        <f>YEAR(Tabela1[[#This Row],[data]])</f>
        <v>2026</v>
      </c>
    </row>
    <row r="13268" spans="1:9" x14ac:dyDescent="0.25">
      <c r="A13268" t="s">
        <v>6</v>
      </c>
      <c r="B13268" s="1">
        <v>46208</v>
      </c>
      <c r="C13268">
        <v>19</v>
      </c>
      <c r="D13268">
        <v>460.74</v>
      </c>
      <c r="E13268">
        <v>13.02</v>
      </c>
      <c r="F13268" t="s">
        <v>7</v>
      </c>
      <c r="G13268" t="s">
        <v>11</v>
      </c>
      <c r="H13268" s="5">
        <f>MONTH(Tabela1[[#This Row],[data]])</f>
        <v>7</v>
      </c>
      <c r="I13268" s="6">
        <f>YEAR(Tabela1[[#This Row],[data]])</f>
        <v>2026</v>
      </c>
    </row>
    <row r="13269" spans="1:9" x14ac:dyDescent="0.25">
      <c r="A13269" t="s">
        <v>6</v>
      </c>
      <c r="B13269" s="1">
        <v>46208</v>
      </c>
      <c r="C13269">
        <v>20</v>
      </c>
      <c r="D13269">
        <v>497.28</v>
      </c>
      <c r="E13269">
        <v>16.8</v>
      </c>
      <c r="F13269" t="s">
        <v>7</v>
      </c>
      <c r="G13269" t="s">
        <v>11</v>
      </c>
      <c r="H13269" s="5">
        <f>MONTH(Tabela1[[#This Row],[data]])</f>
        <v>7</v>
      </c>
      <c r="I13269" s="6">
        <f>YEAR(Tabela1[[#This Row],[data]])</f>
        <v>2026</v>
      </c>
    </row>
    <row r="13270" spans="1:9" x14ac:dyDescent="0.25">
      <c r="A13270" t="s">
        <v>6</v>
      </c>
      <c r="B13270" s="1">
        <v>46208</v>
      </c>
      <c r="C13270">
        <v>21</v>
      </c>
      <c r="D13270">
        <v>479.64</v>
      </c>
      <c r="E13270">
        <v>10.08</v>
      </c>
      <c r="F13270" t="s">
        <v>7</v>
      </c>
      <c r="G13270" t="s">
        <v>11</v>
      </c>
      <c r="H13270" s="5">
        <f>MONTH(Tabela1[[#This Row],[data]])</f>
        <v>7</v>
      </c>
      <c r="I13270" s="6">
        <f>YEAR(Tabela1[[#This Row],[data]])</f>
        <v>2026</v>
      </c>
    </row>
    <row r="13271" spans="1:9" x14ac:dyDescent="0.25">
      <c r="A13271" t="s">
        <v>6</v>
      </c>
      <c r="B13271" s="1">
        <v>46208</v>
      </c>
      <c r="C13271">
        <v>22</v>
      </c>
      <c r="D13271">
        <v>417.9</v>
      </c>
      <c r="E13271">
        <v>1.26</v>
      </c>
      <c r="F13271" t="s">
        <v>7</v>
      </c>
      <c r="G13271" t="s">
        <v>11</v>
      </c>
      <c r="H13271" s="5">
        <f>MONTH(Tabela1[[#This Row],[data]])</f>
        <v>7</v>
      </c>
      <c r="I13271" s="6">
        <f>YEAR(Tabela1[[#This Row],[data]])</f>
        <v>2026</v>
      </c>
    </row>
    <row r="13272" spans="1:9" x14ac:dyDescent="0.25">
      <c r="A13272" t="s">
        <v>6</v>
      </c>
      <c r="B13272" s="1">
        <v>46208</v>
      </c>
      <c r="C13272">
        <v>23</v>
      </c>
      <c r="D13272">
        <v>315</v>
      </c>
      <c r="E13272">
        <v>0</v>
      </c>
      <c r="F13272" t="s">
        <v>7</v>
      </c>
      <c r="G13272" t="s">
        <v>11</v>
      </c>
      <c r="H13272" s="5">
        <f>MONTH(Tabela1[[#This Row],[data]])</f>
        <v>7</v>
      </c>
      <c r="I13272" s="6">
        <f>YEAR(Tabela1[[#This Row],[data]])</f>
        <v>2026</v>
      </c>
    </row>
    <row r="13273" spans="1:9" x14ac:dyDescent="0.25">
      <c r="A13273" t="s">
        <v>6</v>
      </c>
      <c r="B13273" s="1">
        <v>46208</v>
      </c>
      <c r="C13273">
        <v>24</v>
      </c>
      <c r="D13273">
        <v>248.64</v>
      </c>
      <c r="E13273">
        <v>0</v>
      </c>
      <c r="F13273" t="s">
        <v>7</v>
      </c>
      <c r="G13273" t="s">
        <v>11</v>
      </c>
      <c r="H13273" s="5">
        <f>MONTH(Tabela1[[#This Row],[data]])</f>
        <v>7</v>
      </c>
      <c r="I13273" s="6">
        <f>YEAR(Tabela1[[#This Row],[data]])</f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46180</v>
      </c>
      <c r="B2">
        <f ca="1">SUMIFS(Tabela1[Ativa (kwh)],Tabela1[data],A2)</f>
        <v>11148.9</v>
      </c>
      <c r="C2">
        <f ca="1">SUMIFS(Tabela1[Reativa (kvarh)],Tabela1[data],A2)</f>
        <v>1205.82</v>
      </c>
      <c r="D2">
        <f t="shared" ref="D2" ca="1" si="1">B2/1000</f>
        <v>11.148899999999999</v>
      </c>
      <c r="E2">
        <f t="shared" ref="E2" ca="1" si="2">C2/1000</f>
        <v>1.2058199999999999</v>
      </c>
    </row>
    <row r="3" spans="1:5" x14ac:dyDescent="0.25">
      <c r="A3" s="1">
        <f t="shared" ca="1" si="0"/>
        <v>46181</v>
      </c>
      <c r="B3">
        <f ca="1">SUMIFS(Tabela1[Ativa (kwh)],Tabela1[data],A3)</f>
        <v>11492.04</v>
      </c>
      <c r="C3">
        <f ca="1">SUMIFS(Tabela1[Reativa (kvarh)],Tabela1[data],A3)</f>
        <v>1235.6399999999999</v>
      </c>
      <c r="D3">
        <f t="shared" ref="D3" ca="1" si="3">B3/1000</f>
        <v>11.492040000000001</v>
      </c>
      <c r="E3">
        <f t="shared" ref="E3" ca="1" si="4">C3/1000</f>
        <v>1.2356399999999998</v>
      </c>
    </row>
    <row r="4" spans="1:5" x14ac:dyDescent="0.25">
      <c r="A4" s="1">
        <f t="shared" ca="1" si="0"/>
        <v>46182</v>
      </c>
      <c r="B4">
        <f ca="1">SUMIFS(Tabela1[Ativa (kwh)],Tabela1[data],A4)</f>
        <v>10300.5</v>
      </c>
      <c r="C4">
        <f ca="1">SUMIFS(Tabela1[Reativa (kvarh)],Tabela1[data],A4)</f>
        <v>457.38000000000005</v>
      </c>
      <c r="D4">
        <f t="shared" ref="D4:D20" ca="1" si="5">B4/1000</f>
        <v>10.3005</v>
      </c>
      <c r="E4">
        <f t="shared" ref="E4:E20" ca="1" si="6">C4/1000</f>
        <v>0.45738000000000006</v>
      </c>
    </row>
    <row r="5" spans="1:5" x14ac:dyDescent="0.25">
      <c r="A5" s="1">
        <f t="shared" ca="1" si="0"/>
        <v>46183</v>
      </c>
      <c r="B5">
        <f ca="1">SUMIFS(Tabela1[Ativa (kwh)],Tabela1[data],A5)</f>
        <v>11750.340000000002</v>
      </c>
      <c r="C5">
        <f ca="1">SUMIFS(Tabela1[Reativa (kvarh)],Tabela1[data],A5)</f>
        <v>1405.32</v>
      </c>
      <c r="D5">
        <f t="shared" ca="1" si="5"/>
        <v>11.750340000000001</v>
      </c>
      <c r="E5">
        <f t="shared" ca="1" si="6"/>
        <v>1.4053199999999999</v>
      </c>
    </row>
    <row r="6" spans="1:5" x14ac:dyDescent="0.25">
      <c r="A6" s="1">
        <f t="shared" ca="1" si="0"/>
        <v>46184</v>
      </c>
      <c r="B6">
        <f ca="1">SUMIFS(Tabela1[Ativa (kwh)],Tabela1[data],A6)</f>
        <v>11335.8</v>
      </c>
      <c r="C6">
        <f ca="1">SUMIFS(Tabela1[Reativa (kvarh)],Tabela1[data],A6)</f>
        <v>988.25999999999988</v>
      </c>
      <c r="D6">
        <f t="shared" ca="1" si="5"/>
        <v>11.335799999999999</v>
      </c>
      <c r="E6">
        <f t="shared" ca="1" si="6"/>
        <v>0.98825999999999992</v>
      </c>
    </row>
    <row r="7" spans="1:5" x14ac:dyDescent="0.25">
      <c r="A7" s="1">
        <f t="shared" ca="1" si="0"/>
        <v>46185</v>
      </c>
      <c r="B7">
        <f ca="1">SUMIFS(Tabela1[Ativa (kwh)],Tabela1[data],A7)</f>
        <v>10812.059999999998</v>
      </c>
      <c r="C7">
        <f ca="1">SUMIFS(Tabela1[Reativa (kvarh)],Tabela1[data],A7)</f>
        <v>656.88000000000011</v>
      </c>
      <c r="D7">
        <f t="shared" ca="1" si="5"/>
        <v>10.812059999999997</v>
      </c>
      <c r="E7">
        <f t="shared" ca="1" si="6"/>
        <v>0.65688000000000013</v>
      </c>
    </row>
    <row r="8" spans="1:5" x14ac:dyDescent="0.25">
      <c r="A8" s="1">
        <f t="shared" ca="1" si="0"/>
        <v>46186</v>
      </c>
      <c r="B8">
        <f ca="1">SUMIFS(Tabela1[Ativa (kwh)],Tabela1[data],A8)</f>
        <v>10479.420000000002</v>
      </c>
      <c r="C8">
        <f ca="1">SUMIFS(Tabela1[Reativa (kvarh)],Tabela1[data],A8)</f>
        <v>706.0200000000001</v>
      </c>
      <c r="D8">
        <f t="shared" ca="1" si="5"/>
        <v>10.479420000000001</v>
      </c>
      <c r="E8">
        <f t="shared" ca="1" si="6"/>
        <v>0.70602000000000009</v>
      </c>
    </row>
    <row r="9" spans="1:5" x14ac:dyDescent="0.25">
      <c r="A9" s="1">
        <f t="shared" ca="1" si="0"/>
        <v>46187</v>
      </c>
      <c r="B9">
        <f ca="1">SUMIFS(Tabela1[Ativa (kwh)],Tabela1[data],A9)</f>
        <v>9899.4000000000015</v>
      </c>
      <c r="C9">
        <f ca="1">SUMIFS(Tabela1[Reativa (kvarh)],Tabela1[data],A9)</f>
        <v>520.37999999999988</v>
      </c>
      <c r="D9">
        <f t="shared" ca="1" si="5"/>
        <v>9.8994000000000018</v>
      </c>
      <c r="E9">
        <f t="shared" ca="1" si="6"/>
        <v>0.52037999999999984</v>
      </c>
    </row>
    <row r="10" spans="1:5" x14ac:dyDescent="0.25">
      <c r="A10" s="1">
        <f t="shared" ca="1" si="0"/>
        <v>46188</v>
      </c>
      <c r="B10">
        <f ca="1">SUMIFS(Tabela1[Ativa (kwh)],Tabela1[data],A10)</f>
        <v>10393.740000000002</v>
      </c>
      <c r="C10">
        <f ca="1">SUMIFS(Tabela1[Reativa (kvarh)],Tabela1[data],A10)</f>
        <v>559.44000000000005</v>
      </c>
      <c r="D10">
        <f t="shared" ca="1" si="5"/>
        <v>10.393740000000001</v>
      </c>
      <c r="E10">
        <f t="shared" ca="1" si="6"/>
        <v>0.55944000000000005</v>
      </c>
    </row>
    <row r="11" spans="1:5" x14ac:dyDescent="0.25">
      <c r="A11" s="1">
        <f t="shared" ca="1" si="0"/>
        <v>46189</v>
      </c>
      <c r="B11">
        <f ca="1">SUMIFS(Tabela1[Ativa (kwh)],Tabela1[data],A11)</f>
        <v>10344.6</v>
      </c>
      <c r="C11">
        <f ca="1">SUMIFS(Tabela1[Reativa (kvarh)],Tabela1[data],A11)</f>
        <v>498.96000000000004</v>
      </c>
      <c r="D11">
        <f t="shared" ca="1" si="5"/>
        <v>10.3446</v>
      </c>
      <c r="E11">
        <f t="shared" ca="1" si="6"/>
        <v>0.49896000000000001</v>
      </c>
    </row>
    <row r="12" spans="1:5" x14ac:dyDescent="0.25">
      <c r="A12" s="1">
        <f t="shared" ca="1" si="0"/>
        <v>46190</v>
      </c>
      <c r="B12">
        <f ca="1">SUMIFS(Tabela1[Ativa (kwh)],Tabela1[data],A12)</f>
        <v>10232.039999999999</v>
      </c>
      <c r="C12">
        <f ca="1">SUMIFS(Tabela1[Reativa (kvarh)],Tabela1[data],A12)</f>
        <v>420.00000000000006</v>
      </c>
      <c r="D12">
        <f t="shared" ca="1" si="5"/>
        <v>10.23204</v>
      </c>
      <c r="E12">
        <f t="shared" ca="1" si="6"/>
        <v>0.42000000000000004</v>
      </c>
    </row>
    <row r="13" spans="1:5" x14ac:dyDescent="0.25">
      <c r="A13" s="1">
        <f t="shared" ca="1" si="0"/>
        <v>46191</v>
      </c>
      <c r="B13">
        <f ca="1">SUMIFS(Tabela1[Ativa (kwh)],Tabela1[data],A13)</f>
        <v>10147.620000000001</v>
      </c>
      <c r="C13">
        <f ca="1">SUMIFS(Tabela1[Reativa (kvarh)],Tabela1[data],A13)</f>
        <v>433.44</v>
      </c>
      <c r="D13">
        <f t="shared" ca="1" si="5"/>
        <v>10.147620000000002</v>
      </c>
      <c r="E13">
        <f t="shared" ca="1" si="6"/>
        <v>0.43343999999999999</v>
      </c>
    </row>
    <row r="14" spans="1:5" x14ac:dyDescent="0.25">
      <c r="A14" s="1">
        <f t="shared" ref="A14:A20" ca="1" si="7">A15-1</f>
        <v>46192</v>
      </c>
      <c r="B14">
        <f ca="1">SUMIFS(Tabela1[Ativa (kwh)],Tabela1[data],A14)</f>
        <v>9920.8200000000015</v>
      </c>
      <c r="C14">
        <f ca="1">SUMIFS(Tabela1[Reativa (kvarh)],Tabela1[data],A14)</f>
        <v>451.08000000000004</v>
      </c>
      <c r="D14">
        <f t="shared" ca="1" si="5"/>
        <v>9.9208200000000009</v>
      </c>
      <c r="E14">
        <f t="shared" ca="1" si="6"/>
        <v>0.45108000000000004</v>
      </c>
    </row>
    <row r="15" spans="1:5" x14ac:dyDescent="0.25">
      <c r="A15" s="1">
        <f t="shared" ca="1" si="7"/>
        <v>46193</v>
      </c>
      <c r="B15">
        <f ca="1">SUMIFS(Tabela1[Ativa (kwh)],Tabela1[data],A15)</f>
        <v>10639.86</v>
      </c>
      <c r="C15">
        <f ca="1">SUMIFS(Tabela1[Reativa (kvarh)],Tabela1[data],A15)</f>
        <v>640.50000000000023</v>
      </c>
      <c r="D15">
        <f t="shared" ca="1" si="5"/>
        <v>10.639860000000001</v>
      </c>
      <c r="E15">
        <f t="shared" ca="1" si="6"/>
        <v>0.64050000000000018</v>
      </c>
    </row>
    <row r="16" spans="1:5" x14ac:dyDescent="0.25">
      <c r="A16" s="1">
        <f t="shared" ca="1" si="7"/>
        <v>46194</v>
      </c>
      <c r="B16">
        <f ca="1">SUMIFS(Tabela1[Ativa (kwh)],Tabela1[data],A16)</f>
        <v>9581.0399999999991</v>
      </c>
      <c r="C16">
        <f ca="1">SUMIFS(Tabela1[Reativa (kvarh)],Tabela1[data],A16)</f>
        <v>405.72</v>
      </c>
      <c r="D16">
        <f t="shared" ca="1" si="5"/>
        <v>9.5810399999999998</v>
      </c>
      <c r="E16">
        <f t="shared" ca="1" si="6"/>
        <v>0.40572000000000003</v>
      </c>
    </row>
    <row r="17" spans="1:5" x14ac:dyDescent="0.25">
      <c r="A17" s="1">
        <f t="shared" ca="1" si="7"/>
        <v>46195</v>
      </c>
      <c r="B17">
        <f ca="1">SUMIFS(Tabela1[Ativa (kwh)],Tabela1[data],A17)</f>
        <v>10041.36</v>
      </c>
      <c r="C17">
        <f ca="1">SUMIFS(Tabela1[Reativa (kvarh)],Tabela1[data],A17)</f>
        <v>391.44000000000005</v>
      </c>
      <c r="D17">
        <f t="shared" ca="1" si="5"/>
        <v>10.041360000000001</v>
      </c>
      <c r="E17">
        <f t="shared" ca="1" si="6"/>
        <v>0.39144000000000007</v>
      </c>
    </row>
    <row r="18" spans="1:5" x14ac:dyDescent="0.25">
      <c r="A18" s="1">
        <f t="shared" ca="1" si="7"/>
        <v>46196</v>
      </c>
      <c r="B18">
        <f ca="1">SUMIFS(Tabela1[Ativa (kwh)],Tabela1[data],A18)</f>
        <v>10056.480000000001</v>
      </c>
      <c r="C18">
        <f ca="1">SUMIFS(Tabela1[Reativa (kvarh)],Tabela1[data],A18)</f>
        <v>575.4</v>
      </c>
      <c r="D18">
        <f t="shared" ca="1" si="5"/>
        <v>10.056480000000001</v>
      </c>
      <c r="E18">
        <f t="shared" ca="1" si="6"/>
        <v>0.57540000000000002</v>
      </c>
    </row>
    <row r="19" spans="1:5" x14ac:dyDescent="0.25">
      <c r="A19" s="1">
        <f t="shared" ca="1" si="7"/>
        <v>46197</v>
      </c>
      <c r="B19">
        <f ca="1">SUMIFS(Tabela1[Ativa (kwh)],Tabela1[data],A19)</f>
        <v>9171.1200000000008</v>
      </c>
      <c r="C19">
        <f ca="1">SUMIFS(Tabela1[Reativa (kvarh)],Tabela1[data],A19)</f>
        <v>318.35999999999996</v>
      </c>
      <c r="D19">
        <f t="shared" ca="1" si="5"/>
        <v>9.1711200000000002</v>
      </c>
      <c r="E19">
        <f t="shared" ca="1" si="6"/>
        <v>0.31835999999999998</v>
      </c>
    </row>
    <row r="20" spans="1:5" x14ac:dyDescent="0.25">
      <c r="A20" s="1">
        <f t="shared" ca="1" si="7"/>
        <v>46198</v>
      </c>
      <c r="B20">
        <f ca="1">SUMIFS(Tabela1[Ativa (kwh)],Tabela1[data],A20)</f>
        <v>9925.4400000000023</v>
      </c>
      <c r="C20">
        <f ca="1">SUMIFS(Tabela1[Reativa (kvarh)],Tabela1[data],A20)</f>
        <v>317.52</v>
      </c>
      <c r="D20">
        <f t="shared" ca="1" si="5"/>
        <v>9.9254400000000018</v>
      </c>
      <c r="E20">
        <f t="shared" ca="1" si="6"/>
        <v>0.31751999999999997</v>
      </c>
    </row>
    <row r="21" spans="1:5" x14ac:dyDescent="0.25">
      <c r="A21" s="1">
        <f t="shared" ref="A21:A26" ca="1" si="8">A22-1</f>
        <v>46199</v>
      </c>
      <c r="B21">
        <f ca="1">SUMIFS(Tabela1[Ativa (kwh)],Tabela1[data],A21)</f>
        <v>10203.899999999998</v>
      </c>
      <c r="C21">
        <f ca="1">SUMIFS(Tabela1[Reativa (kvarh)],Tabela1[data],A21)</f>
        <v>454.86</v>
      </c>
      <c r="D21">
        <f ca="1">B21/1000</f>
        <v>10.203899999999997</v>
      </c>
      <c r="E21">
        <f ca="1">C21/1000</f>
        <v>0.45485999999999999</v>
      </c>
    </row>
    <row r="22" spans="1:5" x14ac:dyDescent="0.25">
      <c r="A22" s="1">
        <f t="shared" ca="1" si="8"/>
        <v>46200</v>
      </c>
      <c r="B22">
        <f ca="1">SUMIFS(Tabela1[Ativa (kwh)],Tabela1[data],A22)</f>
        <v>10983.42</v>
      </c>
      <c r="C22">
        <f ca="1">SUMIFS(Tabela1[Reativa (kvarh)],Tabela1[data],A22)</f>
        <v>879.48000000000013</v>
      </c>
      <c r="D22">
        <f t="shared" ref="D22:D30" ca="1" si="9">B22/1000</f>
        <v>10.983420000000001</v>
      </c>
      <c r="E22">
        <f t="shared" ref="E22:E30" ca="1" si="10">C22/1000</f>
        <v>0.87948000000000015</v>
      </c>
    </row>
    <row r="23" spans="1:5" x14ac:dyDescent="0.25">
      <c r="A23" s="1">
        <f t="shared" ca="1" si="8"/>
        <v>46201</v>
      </c>
      <c r="B23">
        <f ca="1">SUMIFS(Tabela1[Ativa (kwh)],Tabela1[data],A23)</f>
        <v>9685.6200000000008</v>
      </c>
      <c r="C23">
        <f ca="1">SUMIFS(Tabela1[Reativa (kvarh)],Tabela1[data],A23)</f>
        <v>438.90000000000003</v>
      </c>
      <c r="D23">
        <f t="shared" ca="1" si="9"/>
        <v>9.6856200000000001</v>
      </c>
      <c r="E23">
        <f t="shared" ca="1" si="10"/>
        <v>0.43890000000000001</v>
      </c>
    </row>
    <row r="24" spans="1:5" x14ac:dyDescent="0.25">
      <c r="A24" s="1">
        <f t="shared" ca="1" si="8"/>
        <v>46202</v>
      </c>
      <c r="B24">
        <f ca="1">SUMIFS(Tabela1[Ativa (kwh)],Tabela1[data],A24)</f>
        <v>9930.8999999999978</v>
      </c>
      <c r="C24">
        <f ca="1">SUMIFS(Tabela1[Reativa (kvarh)],Tabela1[data],A24)</f>
        <v>457.8</v>
      </c>
      <c r="D24">
        <f t="shared" ca="1" si="9"/>
        <v>9.9308999999999976</v>
      </c>
      <c r="E24">
        <f t="shared" ca="1" si="10"/>
        <v>0.45779999999999998</v>
      </c>
    </row>
    <row r="25" spans="1:5" x14ac:dyDescent="0.25">
      <c r="A25" s="1">
        <f t="shared" ca="1" si="8"/>
        <v>46203</v>
      </c>
      <c r="B25">
        <f ca="1">SUMIFS(Tabela1[Ativa (kwh)],Tabela1[data],A25)</f>
        <v>11630.22</v>
      </c>
      <c r="C25">
        <f ca="1">SUMIFS(Tabela1[Reativa (kvarh)],Tabela1[data],A25)</f>
        <v>1309.98</v>
      </c>
      <c r="D25">
        <f t="shared" ca="1" si="9"/>
        <v>11.63022</v>
      </c>
      <c r="E25">
        <f t="shared" ca="1" si="10"/>
        <v>1.3099799999999999</v>
      </c>
    </row>
    <row r="26" spans="1:5" x14ac:dyDescent="0.25">
      <c r="A26" s="1">
        <f t="shared" ca="1" si="8"/>
        <v>46204</v>
      </c>
      <c r="B26">
        <f ca="1">SUMIFS(Tabela1[Ativa (kwh)],Tabela1[data],A26)</f>
        <v>24858.960000000003</v>
      </c>
      <c r="C26">
        <f ca="1">SUMIFS(Tabela1[Reativa (kvarh)],Tabela1[data],A26)</f>
        <v>2959.3199999999993</v>
      </c>
      <c r="D26">
        <f t="shared" ca="1" si="9"/>
        <v>24.858960000000003</v>
      </c>
      <c r="E26">
        <f t="shared" ca="1" si="10"/>
        <v>2.9593199999999991</v>
      </c>
    </row>
    <row r="27" spans="1:5" x14ac:dyDescent="0.25">
      <c r="A27" s="1">
        <f ca="1">A28-1</f>
        <v>46205</v>
      </c>
      <c r="B27">
        <f ca="1">SUMIFS(Tabela1[Ativa (kwh)],Tabela1[data],A27)</f>
        <v>24457.894999999997</v>
      </c>
      <c r="C27">
        <f ca="1">SUMIFS(Tabela1[Reativa (kvarh)],Tabela1[data],A27)</f>
        <v>1414.14</v>
      </c>
      <c r="D27">
        <f t="shared" ca="1" si="9"/>
        <v>24.457894999999997</v>
      </c>
      <c r="E27">
        <f t="shared" ca="1" si="10"/>
        <v>1.4141400000000002</v>
      </c>
    </row>
    <row r="28" spans="1:5" x14ac:dyDescent="0.25">
      <c r="A28" s="1">
        <f ca="1">A29-1</f>
        <v>46206</v>
      </c>
      <c r="B28">
        <f ca="1">SUMIFS(Tabela1[Ativa (kwh)],Tabela1[data],A28)</f>
        <v>11236.679999999997</v>
      </c>
      <c r="C28">
        <f ca="1">SUMIFS(Tabela1[Reativa (kvarh)],Tabela1[data],A28)</f>
        <v>1002.9599999999999</v>
      </c>
      <c r="D28">
        <f t="shared" ca="1" si="9"/>
        <v>11.236679999999996</v>
      </c>
      <c r="E28">
        <f t="shared" ca="1" si="10"/>
        <v>1.0029599999999999</v>
      </c>
    </row>
    <row r="29" spans="1:5" x14ac:dyDescent="0.25">
      <c r="A29" s="1">
        <f ca="1">A30-1</f>
        <v>46207</v>
      </c>
      <c r="B29">
        <f ca="1">SUMIFS(Tabela1[Ativa (kwh)],Tabela1[data],A29)</f>
        <v>11331.180000000002</v>
      </c>
      <c r="C29">
        <f ca="1">SUMIFS(Tabela1[Reativa (kvarh)],Tabela1[data],A29)</f>
        <v>1004.22</v>
      </c>
      <c r="D29">
        <f t="shared" ca="1" si="9"/>
        <v>11.331180000000002</v>
      </c>
      <c r="E29">
        <f t="shared" ca="1" si="10"/>
        <v>1.0042200000000001</v>
      </c>
    </row>
    <row r="30" spans="1:5" x14ac:dyDescent="0.25">
      <c r="A30" s="1">
        <f ca="1">TODAY()-1</f>
        <v>46208</v>
      </c>
      <c r="B30">
        <f ca="1">SUMIFS(Tabela1[Ativa (kwh)],Tabela1[data],A30)</f>
        <v>9592.3799999999992</v>
      </c>
      <c r="C30">
        <f ca="1">SUMIFS(Tabela1[Reativa (kvarh)],Tabela1[data],A30)</f>
        <v>464.94</v>
      </c>
      <c r="D30">
        <f t="shared" ca="1" si="9"/>
        <v>9.5923799999999986</v>
      </c>
      <c r="E30">
        <f t="shared" ca="1" si="10"/>
        <v>0.46494000000000002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topLeftCell="A10" workbookViewId="0">
      <selection activeCell="F8" sqref="F8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46208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274.26</v>
      </c>
      <c r="D5" s="4">
        <f ca="1">C5/1000</f>
        <v>0.27426</v>
      </c>
    </row>
    <row r="6" spans="2:4" x14ac:dyDescent="0.25">
      <c r="B6" s="4">
        <v>2</v>
      </c>
      <c r="C6" s="4">
        <f ca="1">SUMIFS(Tabela1[Ativa (kwh)],Tabela1[data],$C$2,Tabela1[Hora],B6)</f>
        <v>250.74</v>
      </c>
      <c r="D6" s="4">
        <f t="shared" ref="D6:D28" ca="1" si="0">C6/1000</f>
        <v>0.25074000000000002</v>
      </c>
    </row>
    <row r="7" spans="2:4" x14ac:dyDescent="0.25">
      <c r="B7" s="4">
        <v>3</v>
      </c>
      <c r="C7" s="4">
        <f ca="1">SUMIFS(Tabela1[Ativa (kwh)],Tabela1[data],$C$2,Tabela1[Hora],B7)</f>
        <v>249.48</v>
      </c>
      <c r="D7" s="4">
        <f t="shared" ca="1" si="0"/>
        <v>0.24947999999999998</v>
      </c>
    </row>
    <row r="8" spans="2:4" x14ac:dyDescent="0.25">
      <c r="B8" s="4">
        <v>4</v>
      </c>
      <c r="C8" s="4">
        <f ca="1">SUMIFS(Tabela1[Ativa (kwh)],Tabela1[data],$C$2,Tabela1[Hora],B8)</f>
        <v>249.06</v>
      </c>
      <c r="D8" s="4">
        <f t="shared" ca="1" si="0"/>
        <v>0.24906</v>
      </c>
    </row>
    <row r="9" spans="2:4" x14ac:dyDescent="0.25">
      <c r="B9" s="4">
        <v>5</v>
      </c>
      <c r="C9" s="4">
        <f ca="1">SUMIFS(Tabela1[Ativa (kwh)],Tabela1[data],$C$2,Tabela1[Hora],B9)</f>
        <v>252</v>
      </c>
      <c r="D9" s="4">
        <f t="shared" ca="1" si="0"/>
        <v>0.252</v>
      </c>
    </row>
    <row r="10" spans="2:4" x14ac:dyDescent="0.25">
      <c r="B10" s="4">
        <v>6</v>
      </c>
      <c r="C10" s="4">
        <f ca="1">SUMIFS(Tabela1[Ativa (kwh)],Tabela1[data],$C$2,Tabela1[Hora],B10)</f>
        <v>247.8</v>
      </c>
      <c r="D10" s="4">
        <f t="shared" ca="1" si="0"/>
        <v>0.24780000000000002</v>
      </c>
    </row>
    <row r="11" spans="2:4" x14ac:dyDescent="0.25">
      <c r="B11" s="4">
        <v>7</v>
      </c>
      <c r="C11" s="4">
        <f ca="1">SUMIFS(Tabela1[Ativa (kwh)],Tabela1[data],$C$2,Tabela1[Hora],B11)</f>
        <v>241.92</v>
      </c>
      <c r="D11" s="4">
        <f t="shared" ca="1" si="0"/>
        <v>0.24192</v>
      </c>
    </row>
    <row r="12" spans="2:4" x14ac:dyDescent="0.25">
      <c r="B12" s="4">
        <v>8</v>
      </c>
      <c r="C12" s="4">
        <f ca="1">SUMIFS(Tabela1[Ativa (kwh)],Tabela1[data],$C$2,Tabela1[Hora],B12)</f>
        <v>215.04</v>
      </c>
      <c r="D12" s="4">
        <f t="shared" ca="1" si="0"/>
        <v>0.21503999999999998</v>
      </c>
    </row>
    <row r="13" spans="2:4" x14ac:dyDescent="0.25">
      <c r="B13" s="4">
        <v>9</v>
      </c>
      <c r="C13" s="4">
        <f ca="1">SUMIFS(Tabela1[Ativa (kwh)],Tabela1[data],$C$2,Tabela1[Hora],B13)</f>
        <v>269.64</v>
      </c>
      <c r="D13" s="4">
        <f t="shared" ca="1" si="0"/>
        <v>0.26963999999999999</v>
      </c>
    </row>
    <row r="14" spans="2:4" x14ac:dyDescent="0.25">
      <c r="B14" s="4">
        <v>10</v>
      </c>
      <c r="C14" s="4">
        <f ca="1">SUMIFS(Tabela1[Ativa (kwh)],Tabela1[data],$C$2,Tabela1[Hora],B14)</f>
        <v>317.10000000000002</v>
      </c>
      <c r="D14" s="4">
        <f t="shared" ca="1" si="0"/>
        <v>0.31710000000000005</v>
      </c>
    </row>
    <row r="15" spans="2:4" x14ac:dyDescent="0.25">
      <c r="B15" s="4">
        <v>11</v>
      </c>
      <c r="C15" s="4">
        <f ca="1">SUMIFS(Tabela1[Ativa (kwh)],Tabela1[data],$C$2,Tabela1[Hora],B15)</f>
        <v>398.58</v>
      </c>
      <c r="D15" s="4">
        <f t="shared" ca="1" si="0"/>
        <v>0.39857999999999999</v>
      </c>
    </row>
    <row r="16" spans="2:4" x14ac:dyDescent="0.25">
      <c r="B16" s="4">
        <v>12</v>
      </c>
      <c r="C16" s="4">
        <f ca="1">SUMIFS(Tabela1[Ativa (kwh)],Tabela1[data],$C$2,Tabela1[Hora],B16)</f>
        <v>462</v>
      </c>
      <c r="D16" s="4">
        <f t="shared" ca="1" si="0"/>
        <v>0.46200000000000002</v>
      </c>
    </row>
    <row r="17" spans="2:4" x14ac:dyDescent="0.25">
      <c r="B17" s="4">
        <v>13</v>
      </c>
      <c r="C17" s="4">
        <f ca="1">SUMIFS(Tabela1[Ativa (kwh)],Tabela1[data],$C$2,Tabela1[Hora],B17)</f>
        <v>541.79999999999995</v>
      </c>
      <c r="D17" s="4">
        <f t="shared" ca="1" si="0"/>
        <v>0.54179999999999995</v>
      </c>
    </row>
    <row r="18" spans="2:4" x14ac:dyDescent="0.25">
      <c r="B18" s="4">
        <v>14</v>
      </c>
      <c r="C18" s="4">
        <f ca="1">SUMIFS(Tabela1[Ativa (kwh)],Tabela1[data],$C$2,Tabela1[Hora],B18)</f>
        <v>786.66</v>
      </c>
      <c r="D18" s="4">
        <f t="shared" ca="1" si="0"/>
        <v>0.78665999999999991</v>
      </c>
    </row>
    <row r="19" spans="2:4" x14ac:dyDescent="0.25">
      <c r="B19" s="4">
        <v>15</v>
      </c>
      <c r="C19" s="4">
        <f ca="1">SUMIFS(Tabela1[Ativa (kwh)],Tabela1[data],$C$2,Tabela1[Hora],B19)</f>
        <v>745.92</v>
      </c>
      <c r="D19" s="4">
        <f t="shared" ca="1" si="0"/>
        <v>0.74591999999999992</v>
      </c>
    </row>
    <row r="20" spans="2:4" x14ac:dyDescent="0.25">
      <c r="B20" s="4">
        <v>16</v>
      </c>
      <c r="C20" s="4">
        <f ca="1">SUMIFS(Tabela1[Ativa (kwh)],Tabela1[data],$C$2,Tabela1[Hora],B20)</f>
        <v>637.98</v>
      </c>
      <c r="D20" s="4">
        <f t="shared" ca="1" si="0"/>
        <v>0.63797999999999999</v>
      </c>
    </row>
    <row r="21" spans="2:4" x14ac:dyDescent="0.25">
      <c r="B21" s="4">
        <v>17</v>
      </c>
      <c r="C21" s="4">
        <f ca="1">SUMIFS(Tabela1[Ativa (kwh)],Tabela1[data],$C$2,Tabela1[Hora],B21)</f>
        <v>580.44000000000005</v>
      </c>
      <c r="D21" s="4">
        <f t="shared" ca="1" si="0"/>
        <v>0.58044000000000007</v>
      </c>
    </row>
    <row r="22" spans="2:4" x14ac:dyDescent="0.25">
      <c r="B22" s="4">
        <v>18</v>
      </c>
      <c r="C22" s="4">
        <f ca="1">SUMIFS(Tabela1[Ativa (kwh)],Tabela1[data],$C$2,Tabela1[Hora],B22)</f>
        <v>452.76</v>
      </c>
      <c r="D22" s="4">
        <f t="shared" ca="1" si="0"/>
        <v>0.45276</v>
      </c>
    </row>
    <row r="23" spans="2:4" x14ac:dyDescent="0.25">
      <c r="B23" s="4">
        <v>19</v>
      </c>
      <c r="C23" s="4">
        <f ca="1">SUMIFS(Tabela1[Ativa (kwh)],Tabela1[data],$C$2,Tabela1[Hora],B23)</f>
        <v>460.74</v>
      </c>
      <c r="D23" s="4">
        <f t="shared" ca="1" si="0"/>
        <v>0.46073999999999998</v>
      </c>
    </row>
    <row r="24" spans="2:4" x14ac:dyDescent="0.25">
      <c r="B24" s="4">
        <v>20</v>
      </c>
      <c r="C24" s="4">
        <f ca="1">SUMIFS(Tabela1[Ativa (kwh)],Tabela1[data],$C$2,Tabela1[Hora],B24)</f>
        <v>497.28</v>
      </c>
      <c r="D24" s="4">
        <f t="shared" ca="1" si="0"/>
        <v>0.49728</v>
      </c>
    </row>
    <row r="25" spans="2:4" x14ac:dyDescent="0.25">
      <c r="B25" s="4">
        <v>21</v>
      </c>
      <c r="C25" s="4">
        <f ca="1">SUMIFS(Tabela1[Ativa (kwh)],Tabela1[data],$C$2,Tabela1[Hora],B25)</f>
        <v>479.64</v>
      </c>
      <c r="D25" s="4">
        <f t="shared" ca="1" si="0"/>
        <v>0.47964000000000001</v>
      </c>
    </row>
    <row r="26" spans="2:4" x14ac:dyDescent="0.25">
      <c r="B26" s="4">
        <v>22</v>
      </c>
      <c r="C26" s="4">
        <f ca="1">SUMIFS(Tabela1[Ativa (kwh)],Tabela1[data],$C$2,Tabela1[Hora],B26)</f>
        <v>417.9</v>
      </c>
      <c r="D26" s="4">
        <f t="shared" ca="1" si="0"/>
        <v>0.41789999999999999</v>
      </c>
    </row>
    <row r="27" spans="2:4" x14ac:dyDescent="0.25">
      <c r="B27" s="4">
        <v>23</v>
      </c>
      <c r="C27" s="4">
        <f ca="1">SUMIFS(Tabela1[Ativa (kwh)],Tabela1[data],$C$2,Tabela1[Hora],B27)</f>
        <v>315</v>
      </c>
      <c r="D27" s="4">
        <f t="shared" ca="1" si="0"/>
        <v>0.315</v>
      </c>
    </row>
    <row r="28" spans="2:4" x14ac:dyDescent="0.25">
      <c r="B28" s="4">
        <v>24</v>
      </c>
      <c r="C28" s="4">
        <f ca="1">SUMIFS(Tabela1[Ativa (kwh)],Tabela1[data],$C$2,Tabela1[Hora],B28)</f>
        <v>248.64</v>
      </c>
      <c r="D28" s="4">
        <f t="shared" ca="1" si="0"/>
        <v>0.24864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4"/>
  <sheetViews>
    <sheetView tabSelected="1" workbookViewId="0">
      <selection activeCell="I14" sqref="I14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45839</v>
      </c>
      <c r="B2" s="5">
        <f>MONTH(A2)</f>
        <v>7</v>
      </c>
      <c r="C2" s="5">
        <f>YEAR(A2)</f>
        <v>2025</v>
      </c>
      <c r="D2">
        <f>SUMIFS(Tabela1[Ativa (kwh)],Tabela1[Mês],B2,Tabela1[Ano],C2)</f>
        <v>323105.1600000005</v>
      </c>
      <c r="E2">
        <f t="shared" ref="E2:E10" si="0">D2/1000</f>
        <v>323.10516000000052</v>
      </c>
    </row>
    <row r="3" spans="1:10" x14ac:dyDescent="0.25">
      <c r="A3" s="1">
        <v>45870</v>
      </c>
      <c r="B3" s="5">
        <f>MONTH(A3)</f>
        <v>8</v>
      </c>
      <c r="C3" s="5">
        <f>YEAR(A3)</f>
        <v>2025</v>
      </c>
      <c r="D3">
        <f>SUMIFS(Tabela1[Ativa (kwh)],Tabela1[Mês],B3,Tabela1[Ano],C3)</f>
        <v>318037.01999999984</v>
      </c>
      <c r="E3">
        <f t="shared" si="0"/>
        <v>318.03701999999987</v>
      </c>
    </row>
    <row r="4" spans="1:10" x14ac:dyDescent="0.25">
      <c r="A4" s="1">
        <v>45901</v>
      </c>
      <c r="B4" s="5">
        <f>MONTH(A4)</f>
        <v>9</v>
      </c>
      <c r="C4" s="5">
        <f>YEAR(A4)</f>
        <v>2025</v>
      </c>
      <c r="D4">
        <f>SUMIFS(Tabela1[Ativa (kwh)],Tabela1[Mês],B4,Tabela1[Ano],C4)</f>
        <v>325728.06000000017</v>
      </c>
      <c r="E4">
        <f t="shared" si="0"/>
        <v>325.7280600000002</v>
      </c>
    </row>
    <row r="5" spans="1:10" x14ac:dyDescent="0.25">
      <c r="A5" s="1">
        <v>45931</v>
      </c>
      <c r="B5" s="5">
        <f>MONTH(A5)</f>
        <v>10</v>
      </c>
      <c r="C5" s="5">
        <f>YEAR(A5)</f>
        <v>2025</v>
      </c>
      <c r="D5">
        <f>SUMIFS(Tabela1[Ativa (kwh)],Tabela1[Mês],B5,Tabela1[Ano],C5)</f>
        <v>351357.72</v>
      </c>
      <c r="E5">
        <f t="shared" si="0"/>
        <v>351.35771999999997</v>
      </c>
    </row>
    <row r="6" spans="1:10" x14ac:dyDescent="0.25">
      <c r="A6" s="1">
        <v>45962</v>
      </c>
      <c r="B6" s="5">
        <f>MONTH(A6)</f>
        <v>11</v>
      </c>
      <c r="C6" s="5">
        <f>YEAR(A6)</f>
        <v>2025</v>
      </c>
      <c r="D6">
        <f>SUMIFS(Tabela1[Ativa (kwh)],Tabela1[Mês],B6,Tabela1[Ano],C6)</f>
        <v>379097.45999999961</v>
      </c>
      <c r="E6">
        <f t="shared" si="0"/>
        <v>379.09745999999961</v>
      </c>
    </row>
    <row r="7" spans="1:10" x14ac:dyDescent="0.25">
      <c r="A7" s="1">
        <v>45992</v>
      </c>
      <c r="B7" s="5">
        <f>MONTH(A7)</f>
        <v>12</v>
      </c>
      <c r="C7" s="5">
        <f>YEAR(A7)</f>
        <v>2025</v>
      </c>
      <c r="D7">
        <f>SUMIFS(Tabela1[Ativa (kwh)],Tabela1[Mês],B7,Tabela1[Ano],C7)</f>
        <v>468099.24000000081</v>
      </c>
      <c r="E7">
        <f t="shared" si="0"/>
        <v>468.0992400000008</v>
      </c>
    </row>
    <row r="8" spans="1:10" x14ac:dyDescent="0.25">
      <c r="A8" s="1">
        <v>46023</v>
      </c>
      <c r="B8" s="5">
        <f>MONTH(A8)</f>
        <v>1</v>
      </c>
      <c r="C8" s="5">
        <f>YEAR(A8)</f>
        <v>2026</v>
      </c>
      <c r="D8">
        <f>SUMIFS(Tabela1[Ativa (kwh)],Tabela1[Mês],B8,Tabela1[Ano],C8)</f>
        <v>434799.95999999973</v>
      </c>
      <c r="E8">
        <f t="shared" si="0"/>
        <v>434.79995999999971</v>
      </c>
    </row>
    <row r="9" spans="1:10" x14ac:dyDescent="0.25">
      <c r="A9" s="1">
        <v>46054</v>
      </c>
      <c r="B9" s="5">
        <f>MONTH(A9)</f>
        <v>2</v>
      </c>
      <c r="C9" s="5">
        <f>YEAR(A9)</f>
        <v>2026</v>
      </c>
      <c r="D9">
        <f>SUMIFS(Tabela1[Ativa (kwh)],Tabela1[Mês],B9,Tabela1[Ano],C9)</f>
        <v>398883.24000000028</v>
      </c>
      <c r="E9">
        <f t="shared" si="0"/>
        <v>398.88324000000028</v>
      </c>
      <c r="J9" s="4"/>
    </row>
    <row r="10" spans="1:10" x14ac:dyDescent="0.25">
      <c r="A10" s="1">
        <v>46082</v>
      </c>
      <c r="B10" s="5">
        <f>MONTH(A10)</f>
        <v>3</v>
      </c>
      <c r="C10" s="5">
        <f>YEAR(A10)</f>
        <v>2026</v>
      </c>
      <c r="D10">
        <f>SUMIFS(Tabela1[Ativa (kwh)],Tabela1[Mês],B10,Tabela1[Ano],C10)</f>
        <v>410898.18000000005</v>
      </c>
      <c r="E10">
        <f t="shared" si="0"/>
        <v>410.89818000000002</v>
      </c>
      <c r="J10" s="4"/>
    </row>
    <row r="11" spans="1:10" x14ac:dyDescent="0.25">
      <c r="A11" s="1">
        <v>46113</v>
      </c>
      <c r="B11" s="5">
        <f>MONTH(A11)</f>
        <v>4</v>
      </c>
      <c r="C11" s="5">
        <f>YEAR(A11)</f>
        <v>2026</v>
      </c>
      <c r="D11">
        <f>SUMIFS(Tabela1[Ativa (kwh)],Tabela1[Mês],B11,Tabela1[Ano],C11)</f>
        <v>383308.8000000004</v>
      </c>
      <c r="E11">
        <f>D11/1000</f>
        <v>383.30880000000042</v>
      </c>
    </row>
    <row r="12" spans="1:10" x14ac:dyDescent="0.25">
      <c r="A12" s="1">
        <v>46143</v>
      </c>
      <c r="B12" s="5">
        <f>MONTH(A12)</f>
        <v>5</v>
      </c>
      <c r="C12" s="5">
        <f>YEAR(A12)</f>
        <v>2026</v>
      </c>
      <c r="D12">
        <f>SUMIFS(Tabela1[Ativa (kwh)],Tabela1[Mês],B12,Tabela1[Ano],C12)</f>
        <v>369839.82000000041</v>
      </c>
      <c r="E12">
        <f>D12/1000</f>
        <v>369.83982000000043</v>
      </c>
    </row>
    <row r="13" spans="1:10" x14ac:dyDescent="0.25">
      <c r="A13" s="1">
        <v>46174</v>
      </c>
      <c r="B13" s="5">
        <f>MONTH(A13)</f>
        <v>6</v>
      </c>
      <c r="C13" s="5">
        <f>YEAR(A13)</f>
        <v>2026</v>
      </c>
      <c r="D13">
        <f>SUMIFS(Tabela1[Ativa (kwh)],Tabela1[Mês],B13,Tabela1[Ano],C13)</f>
        <v>321179.88000000024</v>
      </c>
      <c r="E13">
        <f>D13/1000</f>
        <v>321.17988000000025</v>
      </c>
    </row>
    <row r="14" spans="1:10" x14ac:dyDescent="0.25">
      <c r="A14" s="1">
        <v>46204</v>
      </c>
      <c r="B14" s="5">
        <f>MONTH(A14)</f>
        <v>7</v>
      </c>
      <c r="C14" s="5">
        <f>YEAR(A14)</f>
        <v>2026</v>
      </c>
      <c r="D14">
        <f>SUMIFS(Tabela1[Ativa (kwh)],Tabela1[Mês],B14,Tabela1[Ano],C14)</f>
        <v>81477.094999999958</v>
      </c>
      <c r="E14">
        <f>D14/1000</f>
        <v>81.477094999999963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customXml/itemProps2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2026-07-06T12:54:10Z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