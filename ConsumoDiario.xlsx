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72" documentId="8_{8D12E28F-71B1-4F28-B6C5-4462CC8675C5}" xr6:coauthVersionLast="47" xr6:coauthVersionMax="47" xr10:uidLastSave="{33AC22C7-602E-4A4F-9E9A-E92476FA72B5}"/>
  <bookViews>
    <workbookView xWindow="-120" yWindow="-120" windowWidth="20730" windowHeight="11040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5" i="4" l="1"/>
  <c r="B15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4" i="4"/>
  <c r="C13" i="4"/>
  <c r="C12" i="4"/>
  <c r="C11" i="4"/>
  <c r="C10" i="4"/>
  <c r="C9" i="4"/>
  <c r="C8" i="4"/>
  <c r="C7" i="4"/>
  <c r="C6" i="4"/>
  <c r="C5" i="4"/>
  <c r="C4" i="4"/>
  <c r="C3" i="4"/>
  <c r="C2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5" i="4" s="1"/>
  <c r="E15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5" i="4" l="1"/>
  <c r="E5" i="4" s="1"/>
  <c r="D8" i="4"/>
  <c r="E8" i="4" s="1"/>
  <c r="D9" i="4"/>
  <c r="E9" i="4" s="1"/>
  <c r="D2" i="4"/>
  <c r="E2" i="4" s="1"/>
  <c r="D10" i="4"/>
  <c r="E10" i="4" s="1"/>
  <c r="D3" i="4"/>
  <c r="E3" i="4" s="1"/>
  <c r="D11" i="4"/>
  <c r="E11" i="4" s="1"/>
  <c r="D4" i="4"/>
  <c r="E4" i="4" s="1"/>
  <c r="D12" i="4"/>
  <c r="E12" i="4" s="1"/>
  <c r="D6" i="4"/>
  <c r="E6" i="4" s="1"/>
  <c r="D7" i="4"/>
  <c r="E7" i="4" s="1"/>
  <c r="A20" i="2"/>
  <c r="D14" i="4"/>
  <c r="E14" i="4" s="1"/>
  <c r="D13" i="4"/>
  <c r="E13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<sst xmlns="http://schemas.openxmlformats.org/spreadsheetml/2006/main" count="38567" uniqueCount="46">
  <si>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</si>
  <si>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</si>
  <si>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</si>
  <si>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</si>
  <si>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</si>
  <si>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</si>
  <si>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</si>
  <si>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</si>
  <si>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</si>
  <si>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</si>
  <si>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</si>
  <si>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</si>
  <si>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</si>
  <si>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</si>
  <si>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</si>
  <si>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</si>
  <si>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</si>
  <si>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</si>
  <si>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</si>
  <si>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</si>
  <si>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</si>
  <si>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</si>
  <si>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</si>
  <si>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</si>
  <si>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</si>
  <si>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</si>
  <si>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</si>
  <si>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</si>
  <si>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</si>
  <si>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</si>
  <si>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</si>
  <si>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</si>
  <si>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</si>
  <si>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</si>
  <si>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</si>
  <si>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</si>
  <si>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</si>
  <si>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</si>
  <si>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</si>
  <si>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</si>
  <si>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</si>
  <si>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</si>
  <si>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</si>
  <si>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</si>
  <si>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Faltante</t>
  </si>
  <si>
    <t>DADOS FALTANTES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</si>
</sst>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tabSelected="1" topLeftCell="A10167" workbookViewId="0">
      <selection activeCell="A10177" sqref="A10177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F10130" t="s">
        <v>44</v>
      </c>
      <c r="G10130" t="s">
        <v>45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F10131" t="s">
        <v>44</v>
      </c>
      <c r="G10131" t="s">
        <v>45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F10132" t="s">
        <v>44</v>
      </c>
      <c r="G10132" t="s">
        <v>45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F10133" t="s">
        <v>44</v>
      </c>
      <c r="G10133" t="s">
        <v>45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F10134" t="s">
        <v>44</v>
      </c>
      <c r="G10134" t="s">
        <v>45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F10135" t="s">
        <v>44</v>
      </c>
      <c r="G10135" t="s">
        <v>45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F10136" t="s">
        <v>44</v>
      </c>
      <c r="G10136" t="s">
        <v>45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F10137" t="s">
        <v>44</v>
      </c>
      <c r="G10137" t="s">
        <v>45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F10138" t="s">
        <v>44</v>
      </c>
      <c r="G10138" t="s">
        <v>45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F10139" t="s">
        <v>44</v>
      </c>
      <c r="G10139" t="s">
        <v>45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F10140" t="s">
        <v>44</v>
      </c>
      <c r="G10140" t="s">
        <v>45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F10141" t="s">
        <v>44</v>
      </c>
      <c r="G10141" t="s">
        <v>45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F10142" t="s">
        <v>44</v>
      </c>
      <c r="G10142" t="s">
        <v>45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F10143" t="s">
        <v>44</v>
      </c>
      <c r="G10143" t="s">
        <v>45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F10144" t="s">
        <v>44</v>
      </c>
      <c r="G10144" t="s">
        <v>45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F10145" t="s">
        <v>44</v>
      </c>
      <c r="G10145" t="s">
        <v>45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F10146" t="s">
        <v>44</v>
      </c>
      <c r="G10146" t="s">
        <v>45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F10147" t="s">
        <v>44</v>
      </c>
      <c r="G10147" t="s">
        <v>45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F10148" t="s">
        <v>44</v>
      </c>
      <c r="G10148" t="s">
        <v>45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F10149" t="s">
        <v>44</v>
      </c>
      <c r="G10149" t="s">
        <v>45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F10150" t="s">
        <v>44</v>
      </c>
      <c r="G10150" t="s">
        <v>45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F10151" t="s">
        <v>44</v>
      </c>
      <c r="G10151" t="s">
        <v>45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F10152" t="s">
        <v>44</v>
      </c>
      <c r="G10152" t="s">
        <v>45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F10153" t="s">
        <v>44</v>
      </c>
      <c r="G10153" t="s">
        <v>45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F10154" t="s">
        <v>44</v>
      </c>
      <c r="G10154" t="s">
        <v>45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F10155" t="s">
        <v>44</v>
      </c>
      <c r="G10155" t="s">
        <v>45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F10156" t="s">
        <v>44</v>
      </c>
      <c r="G10156" t="s">
        <v>45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F10157" t="s">
        <v>44</v>
      </c>
      <c r="G10157" t="s">
        <v>45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F10158" t="s">
        <v>44</v>
      </c>
      <c r="G10158" t="s">
        <v>45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F10159" t="s">
        <v>44</v>
      </c>
      <c r="G10159" t="s">
        <v>45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F10160" t="s">
        <v>44</v>
      </c>
      <c r="G10160" t="s">
        <v>45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F10161" t="s">
        <v>44</v>
      </c>
      <c r="G10161" t="s">
        <v>45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F10162" t="s">
        <v>44</v>
      </c>
      <c r="G10162" t="s">
        <v>45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F10163" t="s">
        <v>44</v>
      </c>
      <c r="G10163" t="s">
        <v>45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F10164" t="s">
        <v>44</v>
      </c>
      <c r="G10164" t="s">
        <v>45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F10165" t="s">
        <v>44</v>
      </c>
      <c r="G10165" t="s">
        <v>45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F10166" t="s">
        <v>44</v>
      </c>
      <c r="G10166" t="s">
        <v>45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F10167" t="s">
        <v>44</v>
      </c>
      <c r="G10167" t="s">
        <v>45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F10168" t="s">
        <v>44</v>
      </c>
      <c r="G10168" t="s">
        <v>45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F10169" t="s">
        <v>44</v>
      </c>
      <c r="G10169" t="s">
        <v>45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F10170" t="s">
        <v>44</v>
      </c>
      <c r="G10170" t="s">
        <v>45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F10171" t="s">
        <v>44</v>
      </c>
      <c r="G10171" t="s">
        <v>45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F10172" t="s">
        <v>44</v>
      </c>
      <c r="G10172" t="s">
        <v>45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F10173" t="s">
        <v>44</v>
      </c>
      <c r="G10173" t="s">
        <v>45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F10174" t="s">
        <v>44</v>
      </c>
      <c r="G10174" t="s">
        <v>45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F10175" t="s">
        <v>44</v>
      </c>
      <c r="G10175" t="s">
        <v>45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F10176" t="s">
        <v>44</v>
      </c>
      <c r="G10176" t="s">
        <v>45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F10177" t="s">
        <v>44</v>
      </c>
      <c r="G10177" t="s">
        <v>45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B10178" s="1"/>
      <c r="H10178" s="5"/>
    </row>
    <row r="10179" spans="1:9" x14ac:dyDescent="0.25">
      <c r="B10179" s="1"/>
      <c r="H10179" s="5"/>
    </row>
    <row r="10180" spans="1:9" x14ac:dyDescent="0.25">
      <c r="B10180" s="1"/>
      <c r="H10180" s="5"/>
    </row>
    <row r="10181" spans="1:9" x14ac:dyDescent="0.25">
      <c r="B10181" s="1"/>
      <c r="H10181" s="5"/>
    </row>
    <row r="10182" spans="1:9" x14ac:dyDescent="0.25">
      <c r="B10182" s="1"/>
      <c r="H10182" s="5"/>
    </row>
    <row r="10183" spans="1:9" x14ac:dyDescent="0.25">
      <c r="B10183" s="1"/>
      <c r="H10183" s="5"/>
    </row>
    <row r="10184" spans="1:9" x14ac:dyDescent="0.25">
      <c r="B10184" s="1"/>
      <c r="H10184" s="5"/>
    </row>
    <row r="10185" spans="1:9" x14ac:dyDescent="0.25">
      <c r="B10185" s="1"/>
      <c r="H10185" s="5"/>
    </row>
    <row r="10186" spans="1:9" x14ac:dyDescent="0.25">
      <c r="B10186" s="1"/>
      <c r="H10186" s="5"/>
    </row>
    <row r="10187" spans="1:9" x14ac:dyDescent="0.25">
      <c r="B10187" s="1"/>
      <c r="H10187" s="5"/>
    </row>
    <row r="10188" spans="1:9" x14ac:dyDescent="0.25">
      <c r="B10188" s="1"/>
      <c r="H10188" s="5"/>
    </row>
    <row r="10189" spans="1:9" x14ac:dyDescent="0.25">
      <c r="B10189" s="1"/>
      <c r="H10189" s="5"/>
    </row>
    <row r="10190" spans="1:9" x14ac:dyDescent="0.25">
      <c r="B10190" s="1"/>
      <c r="H10190" s="5"/>
    </row>
    <row r="10191" spans="1:9" x14ac:dyDescent="0.25">
      <c r="B10191" s="1"/>
      <c r="H10191" s="5"/>
    </row>
    <row r="10192" spans="1:9" x14ac:dyDescent="0.25">
      <c r="B10192" s="1"/>
      <c r="H10192" s="5"/>
    </row>
    <row r="10193" spans="2:8" x14ac:dyDescent="0.25">
      <c r="B10193" s="1"/>
      <c r="H10193" s="5"/>
    </row>
    <row r="10194" spans="2:8" x14ac:dyDescent="0.25">
      <c r="B10194" s="1"/>
      <c r="H10194" s="5"/>
    </row>
    <row r="10195" spans="2:8" x14ac:dyDescent="0.25">
      <c r="B10195" s="1"/>
      <c r="H10195" s="5"/>
    </row>
    <row r="10196" spans="2:8" x14ac:dyDescent="0.25">
      <c r="B10196" s="1"/>
      <c r="H10196" s="5"/>
    </row>
    <row r="10197" spans="2:8" x14ac:dyDescent="0.25">
      <c r="B10197" s="1"/>
      <c r="H10197" s="5"/>
    </row>
    <row r="10198" spans="2:8" x14ac:dyDescent="0.25">
      <c r="B10198" s="1"/>
      <c r="H10198" s="5"/>
    </row>
    <row r="10199" spans="2:8" x14ac:dyDescent="0.25">
      <c r="B10199" s="1"/>
      <c r="H10199" s="5"/>
    </row>
    <row r="10200" spans="2:8" x14ac:dyDescent="0.25">
      <c r="B10200" s="1"/>
      <c r="H10200" s="5"/>
    </row>
    <row r="10201" spans="2:8" x14ac:dyDescent="0.25">
      <c r="B10201" s="1"/>
      <c r="H10201" s="5"/>
    </row>
    <row r="10202" spans="2:8" x14ac:dyDescent="0.25">
      <c r="B10202" s="1"/>
      <c r="H10202" s="5"/>
    </row>
    <row r="10203" spans="2:8" x14ac:dyDescent="0.25">
      <c r="B10203" s="1"/>
      <c r="H10203" s="5"/>
    </row>
    <row r="10204" spans="2:8" x14ac:dyDescent="0.25">
      <c r="B10204" s="1"/>
      <c r="H10204" s="5"/>
    </row>
    <row r="10205" spans="2:8" x14ac:dyDescent="0.25">
      <c r="B10205" s="1"/>
      <c r="H10205" s="5"/>
    </row>
    <row r="10206" spans="2:8" x14ac:dyDescent="0.25">
      <c r="B10206" s="1"/>
      <c r="H10206" s="5"/>
    </row>
    <row r="10207" spans="2:8" x14ac:dyDescent="0.25">
      <c r="B10207" s="1"/>
      <c r="H10207" s="5"/>
    </row>
    <row r="10208" spans="2:8" x14ac:dyDescent="0.25">
      <c r="B10208" s="1"/>
      <c r="H10208" s="5"/>
    </row>
    <row r="10209" spans="2:8" x14ac:dyDescent="0.25">
      <c r="B10209" s="1"/>
      <c r="H10209" s="5"/>
    </row>
    <row r="10210" spans="2:8" x14ac:dyDescent="0.25">
      <c r="B10210" s="1"/>
      <c r="H10210" s="5"/>
    </row>
    <row r="10211" spans="2:8" x14ac:dyDescent="0.25">
      <c r="B10211" s="1"/>
      <c r="H10211" s="5"/>
    </row>
    <row r="10212" spans="2:8" x14ac:dyDescent="0.25">
      <c r="B10212" s="1"/>
      <c r="H10212" s="5"/>
    </row>
    <row r="10213" spans="2:8" x14ac:dyDescent="0.25">
      <c r="B10213" s="1"/>
      <c r="D10213" s="2"/>
      <c r="H10213" s="5"/>
    </row>
    <row r="10214" spans="2:8" x14ac:dyDescent="0.25">
      <c r="B10214" s="1"/>
      <c r="D10214" s="2"/>
      <c r="H10214" s="5"/>
    </row>
    <row r="10215" spans="2:8" x14ac:dyDescent="0.25">
      <c r="B10215" s="1"/>
      <c r="D10215" s="2"/>
      <c r="H10215" s="5"/>
    </row>
    <row r="10216" spans="2:8" x14ac:dyDescent="0.25">
      <c r="B10216" s="1"/>
      <c r="H10216" s="5"/>
    </row>
    <row r="10217" spans="2:8" x14ac:dyDescent="0.25">
      <c r="B10217" s="1"/>
      <c r="H10217" s="5"/>
    </row>
    <row r="10218" spans="2:8" x14ac:dyDescent="0.25">
      <c r="B10218" s="1"/>
      <c r="H10218" s="5"/>
    </row>
    <row r="10219" spans="2:8" x14ac:dyDescent="0.25">
      <c r="B10219" s="1"/>
      <c r="H10219" s="5"/>
    </row>
    <row r="10220" spans="2:8" x14ac:dyDescent="0.25">
      <c r="B10220" s="1"/>
      <c r="H10220" s="5"/>
    </row>
    <row r="10221" spans="2:8" x14ac:dyDescent="0.25">
      <c r="B10221" s="1"/>
      <c r="H10221" s="5"/>
    </row>
    <row r="10222" spans="2:8" x14ac:dyDescent="0.25">
      <c r="B10222" s="1"/>
      <c r="H10222" s="5"/>
    </row>
    <row r="10223" spans="2:8" x14ac:dyDescent="0.25">
      <c r="B10223" s="1"/>
      <c r="H10223" s="5"/>
    </row>
    <row r="10224" spans="2:8" x14ac:dyDescent="0.25">
      <c r="B10224" s="1"/>
      <c r="H10224" s="5"/>
    </row>
    <row r="10225" spans="2:8" x14ac:dyDescent="0.25">
      <c r="B10225" s="1"/>
      <c r="H10225" s="5"/>
    </row>
    <row r="10226" spans="2:8" x14ac:dyDescent="0.25">
      <c r="B10226" s="1"/>
      <c r="H10226" s="5"/>
    </row>
    <row r="10227" spans="2:8" x14ac:dyDescent="0.25">
      <c r="B10227" s="1"/>
      <c r="H10227" s="5"/>
    </row>
    <row r="10228" spans="2:8" x14ac:dyDescent="0.25">
      <c r="B10228" s="1"/>
      <c r="H10228" s="5"/>
    </row>
    <row r="10229" spans="2:8" x14ac:dyDescent="0.25">
      <c r="B10229" s="1"/>
      <c r="H10229" s="5"/>
    </row>
    <row r="10230" spans="2:8" x14ac:dyDescent="0.25">
      <c r="B10230" s="1"/>
      <c r="H10230" s="5"/>
    </row>
    <row r="10231" spans="2:8" x14ac:dyDescent="0.25">
      <c r="B10231" s="1"/>
      <c r="H10231" s="5"/>
    </row>
    <row r="10232" spans="2:8" x14ac:dyDescent="0.25">
      <c r="B10232" s="1"/>
      <c r="H10232" s="5"/>
    </row>
    <row r="10233" spans="2:8" x14ac:dyDescent="0.25">
      <c r="B10233" s="1"/>
      <c r="H10233" s="5"/>
    </row>
    <row r="10234" spans="2:8" x14ac:dyDescent="0.25">
      <c r="B10234" s="1"/>
      <c r="H10234" s="5"/>
    </row>
    <row r="10235" spans="2:8" x14ac:dyDescent="0.25">
      <c r="B10235" s="1"/>
      <c r="H10235" s="5"/>
    </row>
    <row r="10236" spans="2:8" x14ac:dyDescent="0.25">
      <c r="B10236" s="1"/>
      <c r="H10236" s="5"/>
    </row>
    <row r="10237" spans="2:8" x14ac:dyDescent="0.25">
      <c r="B10237" s="1"/>
      <c r="D10237" s="2"/>
      <c r="H10237" s="5"/>
    </row>
    <row r="10238" spans="2:8" x14ac:dyDescent="0.25">
      <c r="B10238" s="1"/>
      <c r="D10238" s="2"/>
      <c r="H10238" s="5"/>
    </row>
    <row r="10239" spans="2:8" x14ac:dyDescent="0.25">
      <c r="B10239" s="1"/>
      <c r="D10239" s="2"/>
      <c r="H10239" s="5"/>
    </row>
    <row r="10240" spans="2:8" x14ac:dyDescent="0.25">
      <c r="B10240" s="1"/>
      <c r="D10240" s="2"/>
      <c r="H10240" s="5"/>
    </row>
    <row r="10241" spans="2:8" x14ac:dyDescent="0.25">
      <c r="B10241" s="1"/>
      <c r="D10241" s="2"/>
      <c r="H10241" s="5"/>
    </row>
    <row r="10242" spans="2:8" x14ac:dyDescent="0.25">
      <c r="B10242" s="1"/>
      <c r="D10242" s="2"/>
      <c r="H10242" s="5"/>
    </row>
    <row r="10243" spans="2:8" x14ac:dyDescent="0.25">
      <c r="B10243" s="1"/>
      <c r="D10243" s="2"/>
      <c r="H10243" s="5"/>
    </row>
    <row r="10244" spans="2:8" x14ac:dyDescent="0.25">
      <c r="B10244" s="1"/>
      <c r="D10244" s="2"/>
      <c r="H10244" s="5"/>
    </row>
    <row r="10245" spans="2:8" x14ac:dyDescent="0.25">
      <c r="B10245" s="1"/>
      <c r="H10245" s="5"/>
    </row>
    <row r="10246" spans="2:8" x14ac:dyDescent="0.25">
      <c r="B10246" s="1"/>
      <c r="H10246" s="5"/>
    </row>
    <row r="10247" spans="2:8" x14ac:dyDescent="0.25">
      <c r="B10247" s="1"/>
      <c r="H10247" s="5"/>
    </row>
    <row r="10248" spans="2:8" x14ac:dyDescent="0.25">
      <c r="B10248" s="1"/>
      <c r="H10248" s="5"/>
    </row>
    <row r="10249" spans="2:8" x14ac:dyDescent="0.25">
      <c r="B10249" s="1"/>
      <c r="H10249" s="5"/>
    </row>
    <row r="10250" spans="2:8" x14ac:dyDescent="0.25">
      <c r="B10250" s="1"/>
      <c r="H10250" s="5"/>
    </row>
    <row r="10251" spans="2:8" x14ac:dyDescent="0.25">
      <c r="B10251" s="1"/>
      <c r="H10251" s="5"/>
    </row>
    <row r="10252" spans="2:8" x14ac:dyDescent="0.25">
      <c r="B10252" s="1"/>
      <c r="H10252" s="5"/>
    </row>
    <row r="10253" spans="2:8" x14ac:dyDescent="0.25">
      <c r="B10253" s="1"/>
      <c r="H10253" s="5"/>
    </row>
    <row r="10254" spans="2:8" x14ac:dyDescent="0.25">
      <c r="B10254" s="1"/>
      <c r="H10254" s="5"/>
    </row>
    <row r="10255" spans="2:8" x14ac:dyDescent="0.25">
      <c r="B10255" s="1"/>
      <c r="H10255" s="5"/>
    </row>
    <row r="10256" spans="2:8" x14ac:dyDescent="0.25">
      <c r="B10256" s="1"/>
      <c r="H10256" s="5"/>
    </row>
    <row r="10257" spans="2:8" x14ac:dyDescent="0.25">
      <c r="B10257" s="1"/>
      <c r="H10257" s="5"/>
    </row>
    <row r="10258" spans="2:8" x14ac:dyDescent="0.25">
      <c r="B10258" s="1"/>
      <c r="H10258" s="5"/>
    </row>
    <row r="10259" spans="2:8" x14ac:dyDescent="0.25">
      <c r="B10259" s="1"/>
      <c r="H10259" s="5"/>
    </row>
    <row r="10260" spans="2:8" x14ac:dyDescent="0.25">
      <c r="B10260" s="1"/>
      <c r="H10260" s="5"/>
    </row>
    <row r="10261" spans="2:8" x14ac:dyDescent="0.25">
      <c r="B10261" s="1"/>
      <c r="H10261" s="5"/>
    </row>
    <row r="10262" spans="2:8" x14ac:dyDescent="0.25">
      <c r="B10262" s="1"/>
      <c r="H10262" s="5"/>
    </row>
    <row r="10263" spans="2:8" x14ac:dyDescent="0.25">
      <c r="B10263" s="1"/>
      <c r="H10263" s="5"/>
    </row>
    <row r="10264" spans="2:8" x14ac:dyDescent="0.25">
      <c r="B10264" s="1"/>
      <c r="H10264" s="5"/>
    </row>
    <row r="10265" spans="2:8" x14ac:dyDescent="0.25">
      <c r="B10265" s="1"/>
      <c r="H10265" s="5"/>
    </row>
    <row r="10266" spans="2:8" x14ac:dyDescent="0.25">
      <c r="B10266" s="1"/>
      <c r="H10266" s="5"/>
    </row>
    <row r="10267" spans="2:8" x14ac:dyDescent="0.25">
      <c r="B10267" s="1"/>
      <c r="H10267" s="5"/>
    </row>
    <row r="10268" spans="2:8" x14ac:dyDescent="0.25">
      <c r="B10268" s="1"/>
      <c r="H10268" s="5"/>
    </row>
    <row r="10269" spans="2:8" x14ac:dyDescent="0.25">
      <c r="B10269" s="1"/>
      <c r="H10269" s="5"/>
    </row>
    <row r="10270" spans="2:8" x14ac:dyDescent="0.25">
      <c r="B10270" s="1"/>
      <c r="H10270" s="5"/>
    </row>
    <row r="10271" spans="2:8" x14ac:dyDescent="0.25">
      <c r="B10271" s="1"/>
      <c r="H10271" s="5"/>
    </row>
    <row r="10272" spans="2:8" x14ac:dyDescent="0.25">
      <c r="B10272" s="1"/>
      <c r="H10272" s="5"/>
    </row>
    <row r="10273" spans="2:8" x14ac:dyDescent="0.25">
      <c r="B10273" s="1"/>
      <c r="H10273" s="5"/>
    </row>
    <row r="10274" spans="2:8" x14ac:dyDescent="0.25">
      <c r="B10274" s="1"/>
      <c r="H10274" s="5"/>
    </row>
    <row r="10275" spans="2:8" x14ac:dyDescent="0.25">
      <c r="B10275" s="1"/>
      <c r="H10275" s="5"/>
    </row>
    <row r="10276" spans="2:8" x14ac:dyDescent="0.25">
      <c r="B10276" s="1"/>
      <c r="H10276" s="5"/>
    </row>
    <row r="10277" spans="2:8" x14ac:dyDescent="0.25">
      <c r="B10277" s="1"/>
      <c r="H10277" s="5"/>
    </row>
    <row r="10278" spans="2:8" x14ac:dyDescent="0.25">
      <c r="B10278" s="1"/>
      <c r="H10278" s="5"/>
    </row>
    <row r="10279" spans="2:8" x14ac:dyDescent="0.25">
      <c r="B10279" s="1"/>
      <c r="H10279" s="5"/>
    </row>
    <row r="10280" spans="2:8" x14ac:dyDescent="0.25">
      <c r="B10280" s="1"/>
      <c r="H10280" s="5"/>
    </row>
    <row r="10281" spans="2:8" x14ac:dyDescent="0.25">
      <c r="B10281" s="1"/>
      <c r="H10281" s="5"/>
    </row>
    <row r="10282" spans="2:8" x14ac:dyDescent="0.25">
      <c r="B10282" s="1"/>
      <c r="H10282" s="5"/>
    </row>
    <row r="10283" spans="2:8" x14ac:dyDescent="0.25">
      <c r="B10283" s="1"/>
      <c r="H10283" s="5"/>
    </row>
    <row r="10284" spans="2:8" x14ac:dyDescent="0.25">
      <c r="B10284" s="1"/>
      <c r="H10284" s="5"/>
    </row>
    <row r="10285" spans="2:8" x14ac:dyDescent="0.25">
      <c r="B10285" s="1"/>
      <c r="H10285" s="5"/>
    </row>
    <row r="10286" spans="2:8" x14ac:dyDescent="0.25">
      <c r="B10286" s="1"/>
      <c r="H10286" s="5"/>
    </row>
    <row r="10287" spans="2:8" x14ac:dyDescent="0.25">
      <c r="B10287" s="1"/>
      <c r="H10287" s="5"/>
    </row>
    <row r="10288" spans="2:8" x14ac:dyDescent="0.25">
      <c r="B10288" s="1"/>
      <c r="H10288" s="5"/>
    </row>
    <row r="10289" spans="2:8" x14ac:dyDescent="0.25">
      <c r="B10289" s="1"/>
      <c r="H10289" s="5"/>
    </row>
    <row r="10290" spans="2:8" x14ac:dyDescent="0.25">
      <c r="B10290" s="1"/>
      <c r="H10290" s="5"/>
    </row>
    <row r="10291" spans="2:8" x14ac:dyDescent="0.25">
      <c r="B10291" s="1"/>
      <c r="H10291" s="5"/>
    </row>
    <row r="10292" spans="2:8" x14ac:dyDescent="0.25">
      <c r="B10292" s="1"/>
      <c r="H10292" s="5"/>
    </row>
    <row r="10293" spans="2:8" x14ac:dyDescent="0.25">
      <c r="B10293" s="1"/>
      <c r="H10293" s="5"/>
    </row>
    <row r="10294" spans="2:8" x14ac:dyDescent="0.25">
      <c r="B10294" s="1"/>
      <c r="H10294" s="5"/>
    </row>
    <row r="10295" spans="2:8" x14ac:dyDescent="0.25">
      <c r="B10295" s="1"/>
      <c r="H10295" s="5"/>
    </row>
    <row r="10296" spans="2:8" x14ac:dyDescent="0.25">
      <c r="B10296" s="1"/>
      <c r="H10296" s="5"/>
    </row>
    <row r="10297" spans="2:8" x14ac:dyDescent="0.25">
      <c r="B10297" s="1"/>
      <c r="H10297" s="5"/>
    </row>
    <row r="10298" spans="2:8" x14ac:dyDescent="0.25">
      <c r="B10298" s="1"/>
      <c r="H10298" s="5"/>
    </row>
    <row r="10299" spans="2:8" x14ac:dyDescent="0.25">
      <c r="B10299" s="1"/>
      <c r="H10299" s="5"/>
    </row>
    <row r="10300" spans="2:8" x14ac:dyDescent="0.25">
      <c r="B10300" s="1"/>
      <c r="H10300" s="5"/>
    </row>
    <row r="10301" spans="2:8" x14ac:dyDescent="0.25">
      <c r="B10301" s="1"/>
      <c r="H10301" s="5"/>
    </row>
    <row r="10302" spans="2:8" x14ac:dyDescent="0.25">
      <c r="B10302" s="1"/>
      <c r="H10302" s="5"/>
    </row>
    <row r="10303" spans="2:8" x14ac:dyDescent="0.25">
      <c r="B10303" s="1"/>
      <c r="H10303" s="5"/>
    </row>
    <row r="10304" spans="2:8" x14ac:dyDescent="0.25">
      <c r="B10304" s="1"/>
      <c r="H10304" s="5"/>
    </row>
    <row r="10305" spans="2:8" x14ac:dyDescent="0.25">
      <c r="B10305" s="1"/>
      <c r="H10305" s="5"/>
    </row>
    <row r="10306" spans="2:8" x14ac:dyDescent="0.25">
      <c r="B10306" s="1"/>
      <c r="H10306" s="5"/>
    </row>
    <row r="10307" spans="2:8" x14ac:dyDescent="0.25">
      <c r="B10307" s="1"/>
      <c r="H10307" s="5"/>
    </row>
    <row r="10308" spans="2:8" x14ac:dyDescent="0.25">
      <c r="B10308" s="1"/>
      <c r="H10308" s="5"/>
    </row>
    <row r="10309" spans="2:8" x14ac:dyDescent="0.25">
      <c r="B10309" s="1"/>
      <c r="H10309" s="5"/>
    </row>
    <row r="10310" spans="2:8" x14ac:dyDescent="0.25">
      <c r="B10310" s="1"/>
      <c r="H10310" s="5"/>
    </row>
    <row r="10311" spans="2:8" x14ac:dyDescent="0.25">
      <c r="B10311" s="1"/>
      <c r="H10311" s="5"/>
    </row>
    <row r="10312" spans="2:8" x14ac:dyDescent="0.25">
      <c r="B10312" s="1"/>
      <c r="H10312" s="5"/>
    </row>
    <row r="10313" spans="2:8" x14ac:dyDescent="0.25">
      <c r="B10313" s="1"/>
      <c r="H10313" s="5"/>
    </row>
    <row r="10314" spans="2:8" x14ac:dyDescent="0.25">
      <c r="B10314" s="1"/>
      <c r="H10314" s="5"/>
    </row>
    <row r="10315" spans="2:8" x14ac:dyDescent="0.25">
      <c r="B10315" s="1"/>
      <c r="H10315" s="5"/>
    </row>
    <row r="10316" spans="2:8" x14ac:dyDescent="0.25">
      <c r="B10316" s="1"/>
      <c r="H10316" s="5"/>
    </row>
    <row r="10317" spans="2:8" x14ac:dyDescent="0.25">
      <c r="B10317" s="1"/>
      <c r="H10317" s="5"/>
    </row>
    <row r="10318" spans="2:8" x14ac:dyDescent="0.25">
      <c r="B10318" s="1"/>
      <c r="H10318" s="5"/>
    </row>
    <row r="10319" spans="2:8" x14ac:dyDescent="0.25">
      <c r="B10319" s="1"/>
      <c r="H10319" s="5"/>
    </row>
    <row r="10320" spans="2:8" x14ac:dyDescent="0.25">
      <c r="B10320" s="1"/>
      <c r="H10320" s="5"/>
    </row>
    <row r="10321" spans="2:8" x14ac:dyDescent="0.25">
      <c r="B10321" s="1"/>
      <c r="H10321" s="5"/>
    </row>
    <row r="10322" spans="2:8" x14ac:dyDescent="0.25">
      <c r="B10322" s="1"/>
      <c r="H10322" s="5"/>
    </row>
    <row r="10323" spans="2:8" x14ac:dyDescent="0.25">
      <c r="B10323" s="1"/>
      <c r="H10323" s="5"/>
    </row>
    <row r="10324" spans="2:8" x14ac:dyDescent="0.25">
      <c r="B10324" s="1"/>
      <c r="H10324" s="5"/>
    </row>
    <row r="10325" spans="2:8" x14ac:dyDescent="0.25">
      <c r="B10325" s="1"/>
      <c r="H10325" s="5"/>
    </row>
    <row r="10326" spans="2:8" x14ac:dyDescent="0.25">
      <c r="B10326" s="1"/>
      <c r="H10326" s="5"/>
    </row>
    <row r="10327" spans="2:8" x14ac:dyDescent="0.25">
      <c r="B10327" s="1"/>
      <c r="H10327" s="5"/>
    </row>
    <row r="10328" spans="2:8" x14ac:dyDescent="0.25">
      <c r="B10328" s="1"/>
      <c r="H10328" s="5"/>
    </row>
    <row r="10329" spans="2:8" x14ac:dyDescent="0.25">
      <c r="B10329" s="1"/>
      <c r="H10329" s="5"/>
    </row>
    <row r="10330" spans="2:8" x14ac:dyDescent="0.25">
      <c r="B10330" s="1"/>
      <c r="H10330" s="5"/>
    </row>
    <row r="10331" spans="2:8" x14ac:dyDescent="0.25">
      <c r="B10331" s="1"/>
      <c r="H10331" s="5"/>
    </row>
    <row r="10332" spans="2:8" x14ac:dyDescent="0.25">
      <c r="B10332" s="1"/>
      <c r="H10332" s="5"/>
    </row>
    <row r="10333" spans="2:8" x14ac:dyDescent="0.25">
      <c r="B10333" s="1"/>
      <c r="H10333" s="5"/>
    </row>
    <row r="10334" spans="2:8" x14ac:dyDescent="0.25">
      <c r="B10334" s="1"/>
      <c r="H10334" s="5"/>
    </row>
    <row r="10335" spans="2:8" x14ac:dyDescent="0.25">
      <c r="B10335" s="1"/>
      <c r="H10335" s="5"/>
    </row>
    <row r="10336" spans="2:8" x14ac:dyDescent="0.25">
      <c r="B10336" s="1"/>
      <c r="H10336" s="5"/>
    </row>
    <row r="10337" spans="2:8" x14ac:dyDescent="0.25">
      <c r="B10337" s="1"/>
      <c r="D10337" s="2"/>
      <c r="H10337" s="5"/>
    </row>
    <row r="10338" spans="2:8" x14ac:dyDescent="0.25">
      <c r="B10338" s="1"/>
      <c r="D10338" s="2"/>
      <c r="H10338" s="5"/>
    </row>
    <row r="10339" spans="2:8" x14ac:dyDescent="0.25">
      <c r="B10339" s="1"/>
      <c r="D10339" s="2"/>
      <c r="H10339" s="5"/>
    </row>
    <row r="10340" spans="2:8" x14ac:dyDescent="0.25">
      <c r="B10340" s="1"/>
      <c r="D10340" s="2"/>
      <c r="H10340" s="5"/>
    </row>
    <row r="10341" spans="2:8" x14ac:dyDescent="0.25">
      <c r="B10341" s="1"/>
      <c r="D10341" s="2"/>
      <c r="H10341" s="5"/>
    </row>
    <row r="10342" spans="2:8" x14ac:dyDescent="0.25">
      <c r="B10342" s="1"/>
      <c r="H10342" s="5"/>
    </row>
    <row r="10343" spans="2:8" x14ac:dyDescent="0.25">
      <c r="B10343" s="1"/>
      <c r="H10343" s="5"/>
    </row>
    <row r="10344" spans="2:8" x14ac:dyDescent="0.25">
      <c r="B10344" s="1"/>
      <c r="H10344" s="5"/>
    </row>
    <row r="10345" spans="2:8" x14ac:dyDescent="0.25">
      <c r="B10345" s="1"/>
      <c r="H10345" s="5"/>
    </row>
    <row r="10346" spans="2:8" x14ac:dyDescent="0.25">
      <c r="B10346" s="1"/>
      <c r="H10346" s="5"/>
    </row>
    <row r="10347" spans="2:8" x14ac:dyDescent="0.25">
      <c r="B10347" s="1"/>
      <c r="H10347" s="5"/>
    </row>
    <row r="10348" spans="2:8" x14ac:dyDescent="0.25">
      <c r="B10348" s="1"/>
      <c r="H10348" s="5"/>
    </row>
    <row r="10349" spans="2:8" x14ac:dyDescent="0.25">
      <c r="B10349" s="1"/>
      <c r="H10349" s="5"/>
    </row>
    <row r="10350" spans="2:8" x14ac:dyDescent="0.25">
      <c r="B10350" s="1"/>
      <c r="H10350" s="5"/>
    </row>
    <row r="10351" spans="2:8" x14ac:dyDescent="0.25">
      <c r="B10351" s="1"/>
      <c r="H10351" s="5"/>
    </row>
    <row r="10352" spans="2:8" x14ac:dyDescent="0.25">
      <c r="B10352" s="1"/>
      <c r="H10352" s="5"/>
    </row>
    <row r="10353" spans="2:8" x14ac:dyDescent="0.25">
      <c r="B10353" s="1"/>
      <c r="H10353" s="5"/>
    </row>
    <row r="10354" spans="2:8" x14ac:dyDescent="0.25">
      <c r="B10354" s="1"/>
      <c r="H10354" s="5"/>
    </row>
    <row r="10355" spans="2:8" x14ac:dyDescent="0.25">
      <c r="B10355" s="1"/>
      <c r="H10355" s="5"/>
    </row>
    <row r="10356" spans="2:8" x14ac:dyDescent="0.25">
      <c r="B10356" s="1"/>
      <c r="H10356" s="5"/>
    </row>
    <row r="10357" spans="2:8" x14ac:dyDescent="0.25">
      <c r="B10357" s="1"/>
      <c r="H10357" s="5"/>
    </row>
    <row r="10358" spans="2:8" x14ac:dyDescent="0.25">
      <c r="B10358" s="1"/>
      <c r="D10358" s="2"/>
      <c r="H10358" s="5"/>
    </row>
    <row r="10359" spans="2:8" x14ac:dyDescent="0.25">
      <c r="B10359" s="1"/>
      <c r="D10359" s="2"/>
      <c r="H10359" s="5"/>
    </row>
    <row r="10360" spans="2:8" x14ac:dyDescent="0.25">
      <c r="B10360" s="1"/>
      <c r="D10360" s="2"/>
      <c r="H10360" s="5"/>
    </row>
    <row r="10361" spans="2:8" x14ac:dyDescent="0.25">
      <c r="B10361" s="1"/>
      <c r="H10361" s="5"/>
    </row>
    <row r="10362" spans="2:8" x14ac:dyDescent="0.25">
      <c r="B10362" s="1"/>
      <c r="D10362" s="2"/>
      <c r="H10362" s="5"/>
    </row>
    <row r="10363" spans="2:8" x14ac:dyDescent="0.25">
      <c r="B10363" s="1"/>
      <c r="H10363" s="5"/>
    </row>
    <row r="10364" spans="2:8" x14ac:dyDescent="0.25">
      <c r="B10364" s="1"/>
      <c r="H10364" s="5"/>
    </row>
    <row r="10365" spans="2:8" x14ac:dyDescent="0.25">
      <c r="B10365" s="1"/>
      <c r="H10365" s="5"/>
    </row>
    <row r="10366" spans="2:8" x14ac:dyDescent="0.25">
      <c r="B10366" s="1"/>
      <c r="H10366" s="5"/>
    </row>
    <row r="10367" spans="2:8" x14ac:dyDescent="0.25">
      <c r="B10367" s="1"/>
      <c r="H10367" s="5"/>
    </row>
    <row r="10368" spans="2:8" x14ac:dyDescent="0.25">
      <c r="B10368" s="1"/>
      <c r="H10368" s="5"/>
    </row>
    <row r="10369" spans="2:8" x14ac:dyDescent="0.25">
      <c r="B10369" s="1"/>
      <c r="H10369" s="5"/>
    </row>
    <row r="10370" spans="2:8" x14ac:dyDescent="0.25">
      <c r="B10370" s="1"/>
      <c r="H10370" s="5"/>
    </row>
    <row r="10371" spans="2:8" x14ac:dyDescent="0.25">
      <c r="B10371" s="1"/>
      <c r="H10371" s="5"/>
    </row>
    <row r="10372" spans="2:8" x14ac:dyDescent="0.25">
      <c r="B10372" s="1"/>
      <c r="H10372" s="5"/>
    </row>
    <row r="10373" spans="2:8" x14ac:dyDescent="0.25">
      <c r="B10373" s="1"/>
      <c r="H10373" s="5"/>
    </row>
    <row r="10374" spans="2:8" x14ac:dyDescent="0.25">
      <c r="B10374" s="1"/>
      <c r="H10374" s="5"/>
    </row>
    <row r="10375" spans="2:8" x14ac:dyDescent="0.25">
      <c r="B10375" s="1"/>
      <c r="H10375" s="5"/>
    </row>
    <row r="10376" spans="2:8" x14ac:dyDescent="0.25">
      <c r="B10376" s="1"/>
      <c r="H10376" s="5"/>
    </row>
    <row r="10377" spans="2:8" x14ac:dyDescent="0.25">
      <c r="B10377" s="1"/>
      <c r="H10377" s="5"/>
    </row>
    <row r="10378" spans="2:8" x14ac:dyDescent="0.25">
      <c r="B10378" s="1"/>
      <c r="H10378" s="5"/>
    </row>
    <row r="10379" spans="2:8" x14ac:dyDescent="0.25">
      <c r="B10379" s="1"/>
      <c r="H10379" s="5"/>
    </row>
    <row r="10380" spans="2:8" x14ac:dyDescent="0.25">
      <c r="B10380" s="1"/>
      <c r="H10380" s="5"/>
    </row>
    <row r="10381" spans="2:8" x14ac:dyDescent="0.25">
      <c r="B10381" s="1"/>
      <c r="D10381" s="2"/>
      <c r="H10381" s="5"/>
    </row>
    <row r="10382" spans="2:8" x14ac:dyDescent="0.25">
      <c r="B10382" s="1"/>
      <c r="D10382" s="2"/>
      <c r="H10382" s="5"/>
    </row>
    <row r="10383" spans="2:8" x14ac:dyDescent="0.25">
      <c r="B10383" s="1"/>
      <c r="D10383" s="2"/>
      <c r="H10383" s="5"/>
    </row>
    <row r="10384" spans="2:8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topLeftCell="A16"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46054</v>
      </c>
      <c r="B2">
        <f ca="1">SUMIFS(Tabela1[Ativa (kwh)],Tabela1[data],A2)</f>
        <v>12420.239999999998</v>
      </c>
      <c r="C2">
        <f ca="1">SUMIFS(Tabela1[Reativa (kvarh)],Tabela1[data],A2)</f>
        <v>1626.24</v>
      </c>
      <c r="D2">
        <f t="shared" ref="D2" ca="1" si="1">B2/1000</f>
        <v>12.420239999999998</v>
      </c>
      <c r="E2">
        <f t="shared" ref="E2" ca="1" si="2">C2/1000</f>
        <v>1.6262399999999999</v>
      </c>
    </row>
    <row r="3" spans="1:5" x14ac:dyDescent="0.25">
      <c r="A3" s="1">
        <f t="shared" ca="1" si="0"/>
        <v>46055</v>
      </c>
      <c r="B3">
        <f ca="1">SUMIFS(Tabela1[Ativa (kwh)],Tabela1[data],A3)</f>
        <v>13443.359999999999</v>
      </c>
      <c r="C3">
        <f ca="1">SUMIFS(Tabela1[Reativa (kvarh)],Tabela1[data],A3)</f>
        <v>2128.14</v>
      </c>
      <c r="D3">
        <f t="shared" ref="D3" ca="1" si="3">B3/1000</f>
        <v>13.443359999999998</v>
      </c>
      <c r="E3">
        <f t="shared" ref="E3" ca="1" si="4">C3/1000</f>
        <v>2.1281399999999997</v>
      </c>
    </row>
    <row r="4" spans="1:5" x14ac:dyDescent="0.25">
      <c r="A4" s="1">
        <f t="shared" ca="1" si="0"/>
        <v>46056</v>
      </c>
      <c r="B4">
        <f ca="1">SUMIFS(Tabela1[Ativa (kwh)],Tabela1[data],A4)</f>
        <v>14899.92</v>
      </c>
      <c r="C4">
        <f ca="1">SUMIFS(Tabela1[Reativa (kvarh)],Tabela1[data],A4)</f>
        <v>2819.4600000000005</v>
      </c>
      <c r="D4">
        <f t="shared" ref="D4:D20" ca="1" si="5">B4/1000</f>
        <v>14.89992</v>
      </c>
      <c r="E4">
        <f t="shared" ref="E4:E20" ca="1" si="6">C4/1000</f>
        <v>2.8194600000000003</v>
      </c>
    </row>
    <row r="5" spans="1:5" x14ac:dyDescent="0.25">
      <c r="A5" s="1">
        <f t="shared" ca="1" si="0"/>
        <v>46057</v>
      </c>
      <c r="B5">
        <f ca="1">SUMIFS(Tabela1[Ativa (kwh)],Tabela1[data],A5)</f>
        <v>13592.880000000001</v>
      </c>
      <c r="C5">
        <f ca="1">SUMIFS(Tabela1[Reativa (kvarh)],Tabela1[data],A5)</f>
        <v>2151.2400000000002</v>
      </c>
      <c r="D5">
        <f t="shared" ca="1" si="5"/>
        <v>13.592880000000001</v>
      </c>
      <c r="E5">
        <f t="shared" ca="1" si="6"/>
        <v>2.15124</v>
      </c>
    </row>
    <row r="6" spans="1:5" x14ac:dyDescent="0.25">
      <c r="A6" s="1">
        <f t="shared" ca="1" si="0"/>
        <v>46058</v>
      </c>
      <c r="B6">
        <f ca="1">SUMIFS(Tabela1[Ativa (kwh)],Tabela1[data],A6)</f>
        <v>14730.240000000003</v>
      </c>
      <c r="C6">
        <f ca="1">SUMIFS(Tabela1[Reativa (kvarh)],Tabela1[data],A6)</f>
        <v>2797.2</v>
      </c>
      <c r="D6">
        <f t="shared" ca="1" si="5"/>
        <v>14.730240000000004</v>
      </c>
      <c r="E6">
        <f t="shared" ca="1" si="6"/>
        <v>2.7971999999999997</v>
      </c>
    </row>
    <row r="7" spans="1:5" x14ac:dyDescent="0.25">
      <c r="A7" s="1">
        <f t="shared" ca="1" si="0"/>
        <v>46059</v>
      </c>
      <c r="B7">
        <f ca="1">SUMIFS(Tabela1[Ativa (kwh)],Tabela1[data],A7)</f>
        <v>14102.339999999998</v>
      </c>
      <c r="C7">
        <f ca="1">SUMIFS(Tabela1[Reativa (kvarh)],Tabela1[data],A7)</f>
        <v>2479.6800000000003</v>
      </c>
      <c r="D7">
        <f t="shared" ca="1" si="5"/>
        <v>14.102339999999998</v>
      </c>
      <c r="E7">
        <f t="shared" ca="1" si="6"/>
        <v>2.4796800000000001</v>
      </c>
    </row>
    <row r="8" spans="1:5" x14ac:dyDescent="0.25">
      <c r="A8" s="1">
        <f t="shared" ca="1" si="0"/>
        <v>46060</v>
      </c>
      <c r="B8">
        <f ca="1">SUMIFS(Tabela1[Ativa (kwh)],Tabela1[data],A8)</f>
        <v>14551.739999999998</v>
      </c>
      <c r="C8">
        <f ca="1">SUMIFS(Tabela1[Reativa (kvarh)],Tabela1[data],A8)</f>
        <v>2609.46</v>
      </c>
      <c r="D8">
        <f t="shared" ca="1" si="5"/>
        <v>14.551739999999999</v>
      </c>
      <c r="E8">
        <f t="shared" ca="1" si="6"/>
        <v>2.6094599999999999</v>
      </c>
    </row>
    <row r="9" spans="1:5" x14ac:dyDescent="0.25">
      <c r="A9" s="1">
        <f t="shared" ca="1" si="0"/>
        <v>46061</v>
      </c>
      <c r="B9">
        <f ca="1">SUMIFS(Tabela1[Ativa (kwh)],Tabela1[data],A9)</f>
        <v>10849.439999999999</v>
      </c>
      <c r="C9">
        <f ca="1">SUMIFS(Tabela1[Reativa (kvarh)],Tabela1[data],A9)</f>
        <v>1142.82</v>
      </c>
      <c r="D9">
        <f t="shared" ca="1" si="5"/>
        <v>10.84944</v>
      </c>
      <c r="E9">
        <f t="shared" ca="1" si="6"/>
        <v>1.1428199999999999</v>
      </c>
    </row>
    <row r="10" spans="1:5" x14ac:dyDescent="0.25">
      <c r="A10" s="1">
        <f t="shared" ca="1" si="0"/>
        <v>46062</v>
      </c>
      <c r="B10">
        <f ca="1">SUMIFS(Tabela1[Ativa (kwh)],Tabela1[data],A10)</f>
        <v>13959.96</v>
      </c>
      <c r="C10">
        <f ca="1">SUMIFS(Tabela1[Reativa (kvarh)],Tabela1[data],A10)</f>
        <v>2362.08</v>
      </c>
      <c r="D10">
        <f t="shared" ca="1" si="5"/>
        <v>13.959959999999999</v>
      </c>
      <c r="E10">
        <f t="shared" ca="1" si="6"/>
        <v>2.3620799999999997</v>
      </c>
    </row>
    <row r="11" spans="1:5" x14ac:dyDescent="0.25">
      <c r="A11" s="1">
        <f t="shared" ca="1" si="0"/>
        <v>46063</v>
      </c>
      <c r="B11">
        <f ca="1">SUMIFS(Tabela1[Ativa (kwh)],Tabela1[data],A11)</f>
        <v>13565.580000000002</v>
      </c>
      <c r="C11">
        <f ca="1">SUMIFS(Tabela1[Reativa (kvarh)],Tabela1[data],A11)</f>
        <v>2019.3600000000001</v>
      </c>
      <c r="D11">
        <f t="shared" ca="1" si="5"/>
        <v>13.565580000000002</v>
      </c>
      <c r="E11">
        <f t="shared" ca="1" si="6"/>
        <v>2.0193600000000003</v>
      </c>
    </row>
    <row r="12" spans="1:5" x14ac:dyDescent="0.25">
      <c r="A12" s="1">
        <f t="shared" ca="1" si="0"/>
        <v>46064</v>
      </c>
      <c r="B12">
        <f ca="1">SUMIFS(Tabela1[Ativa (kwh)],Tabela1[data],A12)</f>
        <v>14547.119999999999</v>
      </c>
      <c r="C12">
        <f ca="1">SUMIFS(Tabela1[Reativa (kvarh)],Tabela1[data],A12)</f>
        <v>2474.6400000000003</v>
      </c>
      <c r="D12">
        <f t="shared" ca="1" si="5"/>
        <v>14.54712</v>
      </c>
      <c r="E12">
        <f t="shared" ca="1" si="6"/>
        <v>2.4746400000000004</v>
      </c>
    </row>
    <row r="13" spans="1:5" x14ac:dyDescent="0.25">
      <c r="A13" s="1">
        <f t="shared" ca="1" si="0"/>
        <v>46065</v>
      </c>
      <c r="B13">
        <f ca="1">SUMIFS(Tabela1[Ativa (kwh)],Tabela1[data],A13)</f>
        <v>14613.9</v>
      </c>
      <c r="C13">
        <f ca="1">SUMIFS(Tabela1[Reativa (kvarh)],Tabela1[data],A13)</f>
        <v>2491.8599999999997</v>
      </c>
      <c r="D13">
        <f t="shared" ca="1" si="5"/>
        <v>14.613899999999999</v>
      </c>
      <c r="E13">
        <f t="shared" ca="1" si="6"/>
        <v>2.4918599999999995</v>
      </c>
    </row>
    <row r="14" spans="1:5" x14ac:dyDescent="0.25">
      <c r="A14" s="1">
        <f t="shared" ref="A14:A20" ca="1" si="7">A15-1</f>
        <v>46066</v>
      </c>
      <c r="B14">
        <f ca="1">SUMIFS(Tabela1[Ativa (kwh)],Tabela1[data],A14)</f>
        <v>15783.6</v>
      </c>
      <c r="C14">
        <f ca="1">SUMIFS(Tabela1[Reativa (kvarh)],Tabela1[data],A14)</f>
        <v>3041.2200000000003</v>
      </c>
      <c r="D14">
        <f t="shared" ca="1" si="5"/>
        <v>15.7836</v>
      </c>
      <c r="E14">
        <f t="shared" ca="1" si="6"/>
        <v>3.04122</v>
      </c>
    </row>
    <row r="15" spans="1:5" x14ac:dyDescent="0.25">
      <c r="A15" s="1">
        <f t="shared" ca="1" si="7"/>
        <v>46067</v>
      </c>
      <c r="B15">
        <f ca="1">SUMIFS(Tabela1[Ativa (kwh)],Tabela1[data],A15)</f>
        <v>14310.24</v>
      </c>
      <c r="C15">
        <f ca="1">SUMIFS(Tabela1[Reativa (kvarh)],Tabela1[data],A15)</f>
        <v>2245.3199999999997</v>
      </c>
      <c r="D15">
        <f t="shared" ca="1" si="5"/>
        <v>14.31024</v>
      </c>
      <c r="E15">
        <f t="shared" ca="1" si="6"/>
        <v>2.2453199999999995</v>
      </c>
    </row>
    <row r="16" spans="1:5" x14ac:dyDescent="0.25">
      <c r="A16" s="1">
        <f t="shared" ca="1" si="7"/>
        <v>46068</v>
      </c>
      <c r="B16">
        <f ca="1">SUMIFS(Tabela1[Ativa (kwh)],Tabela1[data],A16)</f>
        <v>13153.559999999998</v>
      </c>
      <c r="C16">
        <f ca="1">SUMIFS(Tabela1[Reativa (kvarh)],Tabela1[data],A16)</f>
        <v>2066.8200000000002</v>
      </c>
      <c r="D16">
        <f t="shared" ca="1" si="5"/>
        <v>13.153559999999997</v>
      </c>
      <c r="E16">
        <f t="shared" ca="1" si="6"/>
        <v>2.0668200000000003</v>
      </c>
    </row>
    <row r="17" spans="1:5" x14ac:dyDescent="0.25">
      <c r="A17" s="1">
        <f t="shared" ca="1" si="7"/>
        <v>46069</v>
      </c>
      <c r="B17">
        <f ca="1">SUMIFS(Tabela1[Ativa (kwh)],Tabela1[data],A17)</f>
        <v>14484.960000000001</v>
      </c>
      <c r="C17">
        <f ca="1">SUMIFS(Tabela1[Reativa (kvarh)],Tabela1[data],A17)</f>
        <v>2625.84</v>
      </c>
      <c r="D17">
        <f t="shared" ca="1" si="5"/>
        <v>14.484960000000001</v>
      </c>
      <c r="E17">
        <f t="shared" ca="1" si="6"/>
        <v>2.6258400000000002</v>
      </c>
    </row>
    <row r="18" spans="1:5" x14ac:dyDescent="0.25">
      <c r="A18" s="1">
        <f t="shared" ca="1" si="7"/>
        <v>46070</v>
      </c>
      <c r="B18">
        <f ca="1">SUMIFS(Tabela1[Ativa (kwh)],Tabela1[data],A18)</f>
        <v>13996.499999999995</v>
      </c>
      <c r="C18">
        <f ca="1">SUMIFS(Tabela1[Reativa (kvarh)],Tabela1[data],A18)</f>
        <v>2766.96</v>
      </c>
      <c r="D18">
        <f t="shared" ca="1" si="5"/>
        <v>13.996499999999994</v>
      </c>
      <c r="E18">
        <f t="shared" ca="1" si="6"/>
        <v>2.7669600000000001</v>
      </c>
    </row>
    <row r="19" spans="1:5" x14ac:dyDescent="0.25">
      <c r="A19" s="1">
        <f t="shared" ca="1" si="7"/>
        <v>46071</v>
      </c>
      <c r="B19">
        <f ca="1">SUMIFS(Tabela1[Ativa (kwh)],Tabela1[data],A19)</f>
        <v>14146.859999999997</v>
      </c>
      <c r="C19">
        <f ca="1">SUMIFS(Tabela1[Reativa (kvarh)],Tabela1[data],A19)</f>
        <v>2533.86</v>
      </c>
      <c r="D19">
        <f t="shared" ca="1" si="5"/>
        <v>14.146859999999997</v>
      </c>
      <c r="E19">
        <f t="shared" ca="1" si="6"/>
        <v>2.5338600000000002</v>
      </c>
    </row>
    <row r="20" spans="1:5" x14ac:dyDescent="0.25">
      <c r="A20" s="1">
        <f t="shared" ca="1" si="7"/>
        <v>46072</v>
      </c>
      <c r="B20">
        <f ca="1">SUMIFS(Tabela1[Ativa (kwh)],Tabela1[data],A20)</f>
        <v>15716.400000000001</v>
      </c>
      <c r="C20">
        <f ca="1">SUMIFS(Tabela1[Reativa (kvarh)],Tabela1[data],A20)</f>
        <v>3582.6000000000004</v>
      </c>
      <c r="D20">
        <f t="shared" ca="1" si="5"/>
        <v>15.716400000000002</v>
      </c>
      <c r="E20">
        <f t="shared" ca="1" si="6"/>
        <v>3.5826000000000002</v>
      </c>
    </row>
    <row r="21" spans="1:5" x14ac:dyDescent="0.25">
      <c r="A21" s="1">
        <f t="shared" ref="A21:A26" ca="1" si="8">A22-1</f>
        <v>46073</v>
      </c>
      <c r="B21">
        <f ca="1">SUMIFS(Tabela1[Ativa (kwh)],Tabela1[data],A21)</f>
        <v>15205.68</v>
      </c>
      <c r="C21">
        <f ca="1">SUMIFS(Tabela1[Reativa (kvarh)],Tabela1[data],A21)</f>
        <v>3071.0400000000004</v>
      </c>
      <c r="D21">
        <f ca="1">B21/1000</f>
        <v>15.205680000000001</v>
      </c>
      <c r="E21">
        <f ca="1">C21/1000</f>
        <v>3.0710400000000004</v>
      </c>
    </row>
    <row r="22" spans="1:5" x14ac:dyDescent="0.25">
      <c r="A22" s="1">
        <f t="shared" ca="1" si="8"/>
        <v>46074</v>
      </c>
      <c r="B22">
        <f ca="1">SUMIFS(Tabela1[Ativa (kwh)],Tabela1[data],A22)</f>
        <v>15608.880000000001</v>
      </c>
      <c r="C22">
        <f ca="1">SUMIFS(Tabela1[Reativa (kvarh)],Tabela1[data],A22)</f>
        <v>3656.52</v>
      </c>
      <c r="D22">
        <f t="shared" ref="D22:D30" ca="1" si="9">B22/1000</f>
        <v>15.608880000000001</v>
      </c>
      <c r="E22">
        <f t="shared" ref="E22:E30" ca="1" si="10">C22/1000</f>
        <v>3.65652</v>
      </c>
    </row>
    <row r="23" spans="1:5" x14ac:dyDescent="0.25">
      <c r="A23" s="1">
        <f t="shared" ca="1" si="8"/>
        <v>46075</v>
      </c>
      <c r="B23">
        <f ca="1">SUMIFS(Tabela1[Ativa (kwh)],Tabela1[data],A23)</f>
        <v>13204.8</v>
      </c>
      <c r="C23">
        <f ca="1">SUMIFS(Tabela1[Reativa (kvarh)],Tabela1[data],A23)</f>
        <v>2372.5800000000004</v>
      </c>
      <c r="D23">
        <f t="shared" ca="1" si="9"/>
        <v>13.204799999999999</v>
      </c>
      <c r="E23">
        <f t="shared" ca="1" si="10"/>
        <v>2.3725800000000006</v>
      </c>
    </row>
    <row r="24" spans="1:5" x14ac:dyDescent="0.25">
      <c r="A24" s="1">
        <f t="shared" ca="1" si="8"/>
        <v>46076</v>
      </c>
      <c r="B24">
        <f ca="1">SUMIFS(Tabela1[Ativa (kwh)],Tabela1[data],A24)</f>
        <v>15299.759999999998</v>
      </c>
      <c r="C24">
        <f ca="1">SUMIFS(Tabela1[Reativa (kvarh)],Tabela1[data],A24)</f>
        <v>3145.38</v>
      </c>
      <c r="D24">
        <f t="shared" ca="1" si="9"/>
        <v>15.299759999999999</v>
      </c>
      <c r="E24">
        <f t="shared" ca="1" si="10"/>
        <v>3.1453800000000003</v>
      </c>
    </row>
    <row r="25" spans="1:5" x14ac:dyDescent="0.25">
      <c r="A25" s="1">
        <f t="shared" ca="1" si="8"/>
        <v>46077</v>
      </c>
      <c r="B25">
        <f ca="1">SUMIFS(Tabela1[Ativa (kwh)],Tabela1[data],A25)</f>
        <v>15763.859999999999</v>
      </c>
      <c r="C25">
        <f ca="1">SUMIFS(Tabela1[Reativa (kvarh)],Tabela1[data],A25)</f>
        <v>3323.4599999999996</v>
      </c>
      <c r="D25">
        <f t="shared" ca="1" si="9"/>
        <v>15.763859999999999</v>
      </c>
      <c r="E25">
        <f t="shared" ca="1" si="10"/>
        <v>3.3234599999999994</v>
      </c>
    </row>
    <row r="26" spans="1:5" x14ac:dyDescent="0.25">
      <c r="A26" s="1">
        <f t="shared" ca="1" si="8"/>
        <v>46078</v>
      </c>
      <c r="B26">
        <f ca="1">SUMIFS(Tabela1[Ativa (kwh)],Tabela1[data],A26)</f>
        <v>15613.920000000004</v>
      </c>
      <c r="C26">
        <f ca="1">SUMIFS(Tabela1[Reativa (kvarh)],Tabela1[data],A26)</f>
        <v>3279.3599999999997</v>
      </c>
      <c r="D26">
        <f t="shared" ca="1" si="9"/>
        <v>15.613920000000004</v>
      </c>
      <c r="E26">
        <f t="shared" ca="1" si="10"/>
        <v>3.2793599999999996</v>
      </c>
    </row>
    <row r="27" spans="1:5" x14ac:dyDescent="0.25">
      <c r="A27" s="1">
        <f ca="1">A28-1</f>
        <v>46079</v>
      </c>
      <c r="B27">
        <f ca="1">SUMIFS(Tabela1[Ativa (kwh)],Tabela1[data],A27)</f>
        <v>14546.699999999999</v>
      </c>
      <c r="C27">
        <f ca="1">SUMIFS(Tabela1[Reativa (kvarh)],Tabela1[data],A27)</f>
        <v>2902.6199999999994</v>
      </c>
      <c r="D27">
        <f t="shared" ca="1" si="9"/>
        <v>14.5467</v>
      </c>
      <c r="E27">
        <f t="shared" ca="1" si="10"/>
        <v>2.9026199999999993</v>
      </c>
    </row>
    <row r="28" spans="1:5" x14ac:dyDescent="0.25">
      <c r="A28" s="1">
        <f ca="1">A29-1</f>
        <v>46080</v>
      </c>
      <c r="B28">
        <f ca="1">SUMIFS(Tabela1[Ativa (kwh)],Tabela1[data],A28)</f>
        <v>0</v>
      </c>
      <c r="C28">
        <f ca="1">SUMIFS(Tabela1[Reativa (kvarh)],Tabela1[data],A28)</f>
        <v>0</v>
      </c>
      <c r="D28">
        <f t="shared" ca="1" si="9"/>
        <v>0</v>
      </c>
      <c r="E28">
        <f t="shared" ca="1" si="10"/>
        <v>0</v>
      </c>
    </row>
    <row r="29" spans="1:5" x14ac:dyDescent="0.25">
      <c r="A29" s="1">
        <f ca="1">A30-1</f>
        <v>46081</v>
      </c>
      <c r="B29">
        <f ca="1">SUMIFS(Tabela1[Ativa (kwh)],Tabela1[data],A29)</f>
        <v>0</v>
      </c>
      <c r="C29">
        <f ca="1">SUMIFS(Tabela1[Reativa (kvarh)],Tabela1[data],A29)</f>
        <v>0</v>
      </c>
      <c r="D29">
        <f t="shared" ca="1" si="9"/>
        <v>0</v>
      </c>
      <c r="E29">
        <f t="shared" ca="1" si="10"/>
        <v>0</v>
      </c>
    </row>
    <row r="30" spans="1:5" x14ac:dyDescent="0.25">
      <c r="A30" s="1">
        <f ca="1">TODAY()-1</f>
        <v>46082</v>
      </c>
      <c r="B30">
        <f ca="1">SUMIFS(Tabela1[Ativa (kwh)],Tabela1[data],A30)</f>
        <v>0</v>
      </c>
      <c r="C30">
        <f ca="1">SUMIFS(Tabela1[Reativa (kvarh)],Tabela1[data],A30)</f>
        <v>0</v>
      </c>
      <c r="D30">
        <f t="shared" ca="1" si="9"/>
        <v>0</v>
      </c>
      <c r="E30">
        <f t="shared" ca="1" si="1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46082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0</v>
      </c>
      <c r="D5" s="4">
        <f ca="1">C5/1000</f>
        <v>0</v>
      </c>
    </row>
    <row r="6" spans="2:4" x14ac:dyDescent="0.25">
      <c r="B6" s="4">
        <v>2</v>
      </c>
      <c r="C6" s="4">
        <f ca="1">SUMIFS(Tabela1[Ativa (kwh)],Tabela1[data],$C$2,Tabela1[Hora],B6)</f>
        <v>0</v>
      </c>
      <c r="D6" s="4">
        <f t="shared" ref="D6:D28" ca="1" si="0">C6/1000</f>
        <v>0</v>
      </c>
    </row>
    <row r="7" spans="2:4" x14ac:dyDescent="0.25">
      <c r="B7" s="4">
        <v>3</v>
      </c>
      <c r="C7" s="4">
        <f ca="1">SUMIFS(Tabela1[Ativa (kwh)],Tabela1[data],$C$2,Tabela1[Hora],B7)</f>
        <v>0</v>
      </c>
      <c r="D7" s="4">
        <f t="shared" ca="1" si="0"/>
        <v>0</v>
      </c>
    </row>
    <row r="8" spans="2:4" x14ac:dyDescent="0.25">
      <c r="B8" s="4">
        <v>4</v>
      </c>
      <c r="C8" s="4">
        <f ca="1">SUMIFS(Tabela1[Ativa (kwh)],Tabela1[data],$C$2,Tabela1[Hora],B8)</f>
        <v>0</v>
      </c>
      <c r="D8" s="4">
        <f t="shared" ca="1" si="0"/>
        <v>0</v>
      </c>
    </row>
    <row r="9" spans="2:4" x14ac:dyDescent="0.25">
      <c r="B9" s="4">
        <v>5</v>
      </c>
      <c r="C9" s="4">
        <f ca="1">SUMIFS(Tabela1[Ativa (kwh)],Tabela1[data],$C$2,Tabela1[Hora],B9)</f>
        <v>0</v>
      </c>
      <c r="D9" s="4">
        <f t="shared" ca="1" si="0"/>
        <v>0</v>
      </c>
    </row>
    <row r="10" spans="2:4" x14ac:dyDescent="0.25">
      <c r="B10" s="4">
        <v>6</v>
      </c>
      <c r="C10" s="4">
        <f ca="1">SUMIFS(Tabela1[Ativa (kwh)],Tabela1[data],$C$2,Tabela1[Hora],B10)</f>
        <v>0</v>
      </c>
      <c r="D10" s="4">
        <f t="shared" ca="1" si="0"/>
        <v>0</v>
      </c>
    </row>
    <row r="11" spans="2:4" x14ac:dyDescent="0.25">
      <c r="B11" s="4">
        <v>7</v>
      </c>
      <c r="C11" s="4">
        <f ca="1">SUMIFS(Tabela1[Ativa (kwh)],Tabela1[data],$C$2,Tabela1[Hora],B11)</f>
        <v>0</v>
      </c>
      <c r="D11" s="4">
        <f t="shared" ca="1" si="0"/>
        <v>0</v>
      </c>
    </row>
    <row r="12" spans="2:4" x14ac:dyDescent="0.25">
      <c r="B12" s="4">
        <v>8</v>
      </c>
      <c r="C12" s="4">
        <f ca="1">SUMIFS(Tabela1[Ativa (kwh)],Tabela1[data],$C$2,Tabela1[Hora],B12)</f>
        <v>0</v>
      </c>
      <c r="D12" s="4">
        <f t="shared" ca="1" si="0"/>
        <v>0</v>
      </c>
    </row>
    <row r="13" spans="2:4" x14ac:dyDescent="0.25">
      <c r="B13" s="4">
        <v>9</v>
      </c>
      <c r="C13" s="4">
        <f ca="1">SUMIFS(Tabela1[Ativa (kwh)],Tabela1[data],$C$2,Tabela1[Hora],B13)</f>
        <v>0</v>
      </c>
      <c r="D13" s="4">
        <f t="shared" ca="1" si="0"/>
        <v>0</v>
      </c>
    </row>
    <row r="14" spans="2:4" x14ac:dyDescent="0.25">
      <c r="B14" s="4">
        <v>10</v>
      </c>
      <c r="C14" s="4">
        <f ca="1">SUMIFS(Tabela1[Ativa (kwh)],Tabela1[data],$C$2,Tabela1[Hora],B14)</f>
        <v>0</v>
      </c>
      <c r="D14" s="4">
        <f t="shared" ca="1" si="0"/>
        <v>0</v>
      </c>
    </row>
    <row r="15" spans="2:4" x14ac:dyDescent="0.25">
      <c r="B15" s="4">
        <v>11</v>
      </c>
      <c r="C15" s="4">
        <f ca="1">SUMIFS(Tabela1[Ativa (kwh)],Tabela1[data],$C$2,Tabela1[Hora],B15)</f>
        <v>0</v>
      </c>
      <c r="D15" s="4">
        <f t="shared" ca="1" si="0"/>
        <v>0</v>
      </c>
    </row>
    <row r="16" spans="2:4" x14ac:dyDescent="0.25">
      <c r="B16" s="4">
        <v>12</v>
      </c>
      <c r="C16" s="4">
        <f ca="1">SUMIFS(Tabela1[Ativa (kwh)],Tabela1[data],$C$2,Tabela1[Hora],B16)</f>
        <v>0</v>
      </c>
      <c r="D16" s="4">
        <f t="shared" ca="1" si="0"/>
        <v>0</v>
      </c>
    </row>
    <row r="17" spans="2:4" x14ac:dyDescent="0.25">
      <c r="B17" s="4">
        <v>13</v>
      </c>
      <c r="C17" s="4">
        <f ca="1">SUMIFS(Tabela1[Ativa (kwh)],Tabela1[data],$C$2,Tabela1[Hora],B17)</f>
        <v>0</v>
      </c>
      <c r="D17" s="4">
        <f t="shared" ca="1" si="0"/>
        <v>0</v>
      </c>
    </row>
    <row r="18" spans="2:4" x14ac:dyDescent="0.25">
      <c r="B18" s="4">
        <v>14</v>
      </c>
      <c r="C18" s="4">
        <f ca="1">SUMIFS(Tabela1[Ativa (kwh)],Tabela1[data],$C$2,Tabela1[Hora],B18)</f>
        <v>0</v>
      </c>
      <c r="D18" s="4">
        <f t="shared" ca="1" si="0"/>
        <v>0</v>
      </c>
    </row>
    <row r="19" spans="2:4" x14ac:dyDescent="0.25">
      <c r="B19" s="4">
        <v>15</v>
      </c>
      <c r="C19" s="4">
        <f ca="1">SUMIFS(Tabela1[Ativa (kwh)],Tabela1[data],$C$2,Tabela1[Hora],B19)</f>
        <v>0</v>
      </c>
      <c r="D19" s="4">
        <f t="shared" ca="1" si="0"/>
        <v>0</v>
      </c>
    </row>
    <row r="20" spans="2:4" x14ac:dyDescent="0.25">
      <c r="B20" s="4">
        <v>16</v>
      </c>
      <c r="C20" s="4">
        <f ca="1">SUMIFS(Tabela1[Ativa (kwh)],Tabela1[data],$C$2,Tabela1[Hora],B20)</f>
        <v>0</v>
      </c>
      <c r="D20" s="4">
        <f t="shared" ca="1" si="0"/>
        <v>0</v>
      </c>
    </row>
    <row r="21" spans="2:4" x14ac:dyDescent="0.25">
      <c r="B21" s="4">
        <v>17</v>
      </c>
      <c r="C21" s="4">
        <f ca="1">SUMIFS(Tabela1[Ativa (kwh)],Tabela1[data],$C$2,Tabela1[Hora],B21)</f>
        <v>0</v>
      </c>
      <c r="D21" s="4">
        <f t="shared" ca="1" si="0"/>
        <v>0</v>
      </c>
    </row>
    <row r="22" spans="2:4" x14ac:dyDescent="0.25">
      <c r="B22" s="4">
        <v>18</v>
      </c>
      <c r="C22" s="4">
        <f ca="1">SUMIFS(Tabela1[Ativa (kwh)],Tabela1[data],$C$2,Tabela1[Hora],B22)</f>
        <v>0</v>
      </c>
      <c r="D22" s="4">
        <f t="shared" ca="1" si="0"/>
        <v>0</v>
      </c>
    </row>
    <row r="23" spans="2:4" x14ac:dyDescent="0.25">
      <c r="B23" s="4">
        <v>19</v>
      </c>
      <c r="C23" s="4">
        <f ca="1">SUMIFS(Tabela1[Ativa (kwh)],Tabela1[data],$C$2,Tabela1[Hora],B23)</f>
        <v>0</v>
      </c>
      <c r="D23" s="4">
        <f t="shared" ca="1" si="0"/>
        <v>0</v>
      </c>
    </row>
    <row r="24" spans="2:4" x14ac:dyDescent="0.25">
      <c r="B24" s="4">
        <v>20</v>
      </c>
      <c r="C24" s="4">
        <f ca="1">SUMIFS(Tabela1[Ativa (kwh)],Tabela1[data],$C$2,Tabela1[Hora],B24)</f>
        <v>0</v>
      </c>
      <c r="D24" s="4">
        <f t="shared" ca="1" si="0"/>
        <v>0</v>
      </c>
    </row>
    <row r="25" spans="2:4" x14ac:dyDescent="0.25">
      <c r="B25" s="4">
        <v>21</v>
      </c>
      <c r="C25" s="4">
        <f ca="1">SUMIFS(Tabela1[Ativa (kwh)],Tabela1[data],$C$2,Tabela1[Hora],B25)</f>
        <v>0</v>
      </c>
      <c r="D25" s="4">
        <f t="shared" ca="1" si="0"/>
        <v>0</v>
      </c>
    </row>
    <row r="26" spans="2:4" x14ac:dyDescent="0.25">
      <c r="B26" s="4">
        <v>22</v>
      </c>
      <c r="C26" s="4">
        <f ca="1">SUMIFS(Tabela1[Ativa (kwh)],Tabela1[data],$C$2,Tabela1[Hora],B26)</f>
        <v>0</v>
      </c>
      <c r="D26" s="4">
        <f t="shared" ca="1" si="0"/>
        <v>0</v>
      </c>
    </row>
    <row r="27" spans="2:4" x14ac:dyDescent="0.25">
      <c r="B27" s="4">
        <v>23</v>
      </c>
      <c r="C27" s="4">
        <f ca="1">SUMIFS(Tabela1[Ativa (kwh)],Tabela1[data],$C$2,Tabela1[Hora],B27)</f>
        <v>0</v>
      </c>
      <c r="D27" s="4">
        <f t="shared" ca="1" si="0"/>
        <v>0</v>
      </c>
    </row>
    <row r="28" spans="2:4" x14ac:dyDescent="0.25">
      <c r="B28" s="4">
        <v>24</v>
      </c>
      <c r="C28" s="4">
        <f ca="1">SUMIFS(Tabela1[Ativa (kwh)],Tabela1[data],$C$2,Tabela1[Hora],B28)</f>
        <v>0</v>
      </c>
      <c r="D28" s="4">
        <f t="shared" ca="1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5"/>
  <sheetViews>
    <sheetView workbookViewId="0">
      <selection activeCell="D18" sqref="D18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45658</v>
      </c>
      <c r="B2" s="5">
        <f>MONTH(A2)</f>
        <v>1</v>
      </c>
      <c r="C2" s="5">
        <f>YEAR(A2)</f>
        <v>2025</v>
      </c>
      <c r="D2">
        <f>SUMIFS(Tabela1[Ativa (kwh)],Tabela1[Mês],B2,Tabela1[Ano],C2)</f>
        <v>425469.2399999997</v>
      </c>
      <c r="E2">
        <f t="shared" ref="E2:E12" si="0">D2/1000</f>
        <v>425.46923999999967</v>
      </c>
    </row>
    <row r="3" spans="1:10" x14ac:dyDescent="0.25">
      <c r="A3" s="1">
        <v>45689</v>
      </c>
      <c r="B3" s="5">
        <f t="shared" ref="B3:B14" si="1">MONTH(A3)</f>
        <v>2</v>
      </c>
      <c r="C3" s="5">
        <f t="shared" ref="C3:C14" si="2">YEAR(A3)</f>
        <v>2025</v>
      </c>
      <c r="D3">
        <f>SUMIFS(Tabela1[Ativa (kwh)],Tabela1[Mês],B3,Tabela1[Ano],C3)</f>
        <v>421577.93999999971</v>
      </c>
      <c r="E3">
        <f t="shared" si="0"/>
        <v>421.57793999999973</v>
      </c>
    </row>
    <row r="4" spans="1:10" x14ac:dyDescent="0.25">
      <c r="A4" s="1">
        <v>45717</v>
      </c>
      <c r="B4" s="5">
        <f t="shared" si="1"/>
        <v>3</v>
      </c>
      <c r="C4" s="5">
        <f t="shared" si="2"/>
        <v>2025</v>
      </c>
      <c r="D4">
        <f>SUMIFS(Tabela1[Ativa (kwh)],Tabela1[Mês],B4,Tabela1[Ano],C4)</f>
        <v>431352.18000000052</v>
      </c>
      <c r="E4">
        <f t="shared" si="0"/>
        <v>431.35218000000054</v>
      </c>
    </row>
    <row r="5" spans="1:10" x14ac:dyDescent="0.25">
      <c r="A5" s="1">
        <v>45748</v>
      </c>
      <c r="B5" s="5">
        <f t="shared" si="1"/>
        <v>4</v>
      </c>
      <c r="C5" s="5">
        <f t="shared" si="2"/>
        <v>2025</v>
      </c>
      <c r="D5">
        <f>SUMIFS(Tabela1[Ativa (kwh)],Tabela1[Mês],B5,Tabela1[Ano],C5)</f>
        <v>358837.07999999967</v>
      </c>
      <c r="E5">
        <f t="shared" si="0"/>
        <v>358.83707999999967</v>
      </c>
    </row>
    <row r="6" spans="1:10" x14ac:dyDescent="0.25">
      <c r="A6" s="1">
        <v>45778</v>
      </c>
      <c r="B6" s="5">
        <f t="shared" si="1"/>
        <v>5</v>
      </c>
      <c r="C6" s="5">
        <f t="shared" si="2"/>
        <v>2025</v>
      </c>
      <c r="D6">
        <f>SUMIFS(Tabela1[Ativa (kwh)],Tabela1[Mês],B6,Tabela1[Ano],C6)</f>
        <v>350009.52000000025</v>
      </c>
      <c r="E6">
        <f t="shared" si="0"/>
        <v>350.00952000000024</v>
      </c>
    </row>
    <row r="7" spans="1:10" x14ac:dyDescent="0.25">
      <c r="A7" s="1">
        <v>45809</v>
      </c>
      <c r="B7" s="5">
        <f t="shared" si="1"/>
        <v>6</v>
      </c>
      <c r="C7" s="5">
        <f t="shared" si="2"/>
        <v>2025</v>
      </c>
      <c r="D7">
        <f>SUMIFS(Tabela1[Ativa (kwh)],Tabela1[Mês],B7,Tabela1[Ano],C7)</f>
        <v>303693.18000000034</v>
      </c>
      <c r="E7">
        <f t="shared" si="0"/>
        <v>303.69318000000032</v>
      </c>
    </row>
    <row r="8" spans="1:10" x14ac:dyDescent="0.25">
      <c r="A8" s="1">
        <v>45839</v>
      </c>
      <c r="B8" s="5">
        <f t="shared" si="1"/>
        <v>7</v>
      </c>
      <c r="C8" s="5">
        <f t="shared" si="2"/>
        <v>2025</v>
      </c>
      <c r="D8">
        <f>SUMIFS(Tabela1[Ativa (kwh)],Tabela1[Mês],B8,Tabela1[Ano],C8)</f>
        <v>323105.1600000005</v>
      </c>
      <c r="E8">
        <f t="shared" si="0"/>
        <v>323.10516000000052</v>
      </c>
    </row>
    <row r="9" spans="1:10" x14ac:dyDescent="0.25">
      <c r="A9" s="1">
        <v>45870</v>
      </c>
      <c r="B9" s="5">
        <f t="shared" si="1"/>
        <v>8</v>
      </c>
      <c r="C9" s="5">
        <f t="shared" si="2"/>
        <v>2025</v>
      </c>
      <c r="D9">
        <f>SUMIFS(Tabela1[Ativa (kwh)],Tabela1[Mês],B9,Tabela1[Ano],C9)</f>
        <v>318037.01999999984</v>
      </c>
      <c r="E9">
        <f t="shared" si="0"/>
        <v>318.03701999999987</v>
      </c>
    </row>
    <row r="10" spans="1:10" x14ac:dyDescent="0.25">
      <c r="A10" s="1">
        <v>45901</v>
      </c>
      <c r="B10" s="5">
        <f t="shared" si="1"/>
        <v>9</v>
      </c>
      <c r="C10" s="5">
        <f t="shared" si="2"/>
        <v>2025</v>
      </c>
      <c r="D10">
        <f>SUMIFS(Tabela1[Ativa (kwh)],Tabela1[Mês],B10,Tabela1[Ano],C10)</f>
        <v>325728.06000000017</v>
      </c>
      <c r="E10">
        <f t="shared" si="0"/>
        <v>325.7280600000002</v>
      </c>
    </row>
    <row r="11" spans="1:10" x14ac:dyDescent="0.25">
      <c r="A11" s="1">
        <v>45931</v>
      </c>
      <c r="B11" s="5">
        <f t="shared" si="1"/>
        <v>10</v>
      </c>
      <c r="C11" s="5">
        <f t="shared" si="2"/>
        <v>2025</v>
      </c>
      <c r="D11">
        <f>SUMIFS(Tabela1[Ativa (kwh)],Tabela1[Mês],B11,Tabela1[Ano],C11)</f>
        <v>351357.72</v>
      </c>
      <c r="E11">
        <f t="shared" si="0"/>
        <v>351.35771999999997</v>
      </c>
      <c r="J11" s="4"/>
    </row>
    <row r="12" spans="1:10" x14ac:dyDescent="0.25">
      <c r="A12" s="1">
        <v>45962</v>
      </c>
      <c r="B12" s="5">
        <f t="shared" si="1"/>
        <v>11</v>
      </c>
      <c r="C12" s="5">
        <f t="shared" si="2"/>
        <v>2025</v>
      </c>
      <c r="D12">
        <f>SUMIFS(Tabela1[Ativa (kwh)],Tabela1[Mês],B12,Tabela1[Ano],C12)</f>
        <v>379097.45999999961</v>
      </c>
      <c r="E12">
        <f t="shared" si="0"/>
        <v>379.09745999999961</v>
      </c>
      <c r="J12" s="4"/>
    </row>
    <row r="13" spans="1:10" x14ac:dyDescent="0.25">
      <c r="A13" s="1">
        <v>45992</v>
      </c>
      <c r="B13" s="5">
        <f t="shared" si="1"/>
        <v>12</v>
      </c>
      <c r="C13" s="5">
        <f t="shared" si="2"/>
        <v>2025</v>
      </c>
      <c r="D13">
        <f>SUMIFS(Tabela1[Ativa (kwh)],Tabela1[Mês],B13,Tabela1[Ano],C13)</f>
        <v>468099.24000000081</v>
      </c>
      <c r="E13">
        <f>D13/1000</f>
        <v>468.0992400000008</v>
      </c>
    </row>
    <row r="14" spans="1:10" x14ac:dyDescent="0.25">
      <c r="A14" s="1">
        <v>46023</v>
      </c>
      <c r="B14" s="5">
        <f t="shared" si="1"/>
        <v>1</v>
      </c>
      <c r="C14" s="5">
        <f t="shared" si="2"/>
        <v>2026</v>
      </c>
      <c r="D14">
        <f>SUMIFS(Tabela1[Ativa (kwh)],Tabela1[Mês],B14,Tabela1[Ano],C14)</f>
        <v>434799.95999999973</v>
      </c>
      <c r="E14">
        <f>D14/1000</f>
        <v>434.79995999999971</v>
      </c>
    </row>
    <row r="15" spans="1:10" x14ac:dyDescent="0.25">
      <c r="A15" s="1">
        <v>46054</v>
      </c>
      <c r="B15" s="5">
        <f t="shared" ref="B15" si="3">MONTH(A15)</f>
        <v>2</v>
      </c>
      <c r="C15" s="5">
        <f t="shared" ref="C15" si="4">YEAR(A15)</f>
        <v>2026</v>
      </c>
      <c r="D15">
        <f>SUMIFS(Tabela1[Ativa (kwh)],Tabela1[Mês],B15,Tabela1[Ano],C15)</f>
        <v>372112.44000000024</v>
      </c>
      <c r="E15">
        <f>D15/1000</f>
        <v>372.11244000000022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2026-03-02T13:04:07Z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