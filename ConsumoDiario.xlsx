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27" documentId="8_{8D12E28F-71B1-4F28-B6C5-4462CC8675C5}" xr6:coauthVersionLast="47" xr6:coauthVersionMax="47" xr10:uidLastSave="{2D56AB56-5E54-46C7-A8C2-2DEB682AFBC2}"/>
  <bookViews>
    <workbookView xWindow="-120" yWindow="-120" windowWidth="20730" windowHeight="11040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457" i="1" l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<sst xmlns="http://schemas.openxmlformats.org/spreadsheetml/2006/main" count="36407" uniqueCount="46">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</sst>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abSelected="1" topLeftCell="A9345" workbookViewId="0">
      <selection activeCell="G9353" sqref="G9353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F9456" t="s">
        <v>44</v>
      </c>
      <c r="G9456" t="s">
        <v>45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F9457" t="s">
        <v>44</v>
      </c>
      <c r="G9457" t="s">
        <v>45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B9458" s="1"/>
      <c r="H9458" s="5"/>
    </row>
    <row r="9459" spans="1:9" x14ac:dyDescent="0.25">
      <c r="B9459" s="1"/>
      <c r="H9459" s="5"/>
    </row>
    <row r="9460" spans="1:9" x14ac:dyDescent="0.25">
      <c r="B9460" s="1"/>
      <c r="H9460" s="5"/>
    </row>
    <row r="9461" spans="1:9" x14ac:dyDescent="0.25">
      <c r="B9461" s="1"/>
      <c r="H9461" s="5"/>
    </row>
    <row r="9462" spans="1:9" x14ac:dyDescent="0.25">
      <c r="B9462" s="1"/>
      <c r="H9462" s="5"/>
    </row>
    <row r="9463" spans="1:9" x14ac:dyDescent="0.25">
      <c r="B9463" s="1"/>
      <c r="H9463" s="5"/>
    </row>
    <row r="9464" spans="1:9" x14ac:dyDescent="0.25">
      <c r="B9464" s="1"/>
      <c r="H9464" s="5"/>
    </row>
    <row r="9465" spans="1:9" x14ac:dyDescent="0.25">
      <c r="B9465" s="1"/>
      <c r="H9465" s="5"/>
    </row>
    <row r="9466" spans="1:9" x14ac:dyDescent="0.25">
      <c r="B9466" s="1"/>
      <c r="H9466" s="5"/>
    </row>
    <row r="9467" spans="1:9" x14ac:dyDescent="0.25">
      <c r="B9467" s="1"/>
      <c r="H9467" s="5"/>
    </row>
    <row r="9468" spans="1:9" x14ac:dyDescent="0.25">
      <c r="B9468" s="1"/>
      <c r="H9468" s="5"/>
    </row>
    <row r="9469" spans="1:9" x14ac:dyDescent="0.25">
      <c r="B9469" s="1"/>
      <c r="H9469" s="5"/>
    </row>
    <row r="9470" spans="1:9" x14ac:dyDescent="0.25">
      <c r="B9470" s="1"/>
      <c r="H9470" s="5"/>
    </row>
    <row r="9471" spans="1:9" x14ac:dyDescent="0.25">
      <c r="B9471" s="1"/>
      <c r="H9471" s="5"/>
    </row>
    <row r="9472" spans="1:9" x14ac:dyDescent="0.25">
      <c r="B9472" s="1"/>
      <c r="H9472" s="5"/>
    </row>
    <row r="9473" spans="2:8" x14ac:dyDescent="0.25">
      <c r="B9473" s="1"/>
      <c r="H9473" s="5"/>
    </row>
    <row r="9474" spans="2:8" x14ac:dyDescent="0.25">
      <c r="B9474" s="1"/>
      <c r="H9474" s="5"/>
    </row>
    <row r="9475" spans="2:8" x14ac:dyDescent="0.25">
      <c r="B9475" s="1"/>
      <c r="H9475" s="5"/>
    </row>
    <row r="9476" spans="2:8" x14ac:dyDescent="0.25">
      <c r="B9476" s="1"/>
      <c r="H9476" s="5"/>
    </row>
    <row r="9477" spans="2:8" x14ac:dyDescent="0.25">
      <c r="B9477" s="1"/>
      <c r="H9477" s="5"/>
    </row>
    <row r="9478" spans="2:8" x14ac:dyDescent="0.25">
      <c r="B9478" s="1"/>
      <c r="H9478" s="5"/>
    </row>
    <row r="9479" spans="2:8" x14ac:dyDescent="0.25">
      <c r="B9479" s="1"/>
      <c r="H9479" s="5"/>
    </row>
    <row r="9480" spans="2:8" x14ac:dyDescent="0.25">
      <c r="B9480" s="1"/>
      <c r="H9480" s="5"/>
    </row>
    <row r="9481" spans="2:8" x14ac:dyDescent="0.25">
      <c r="B9481" s="1"/>
      <c r="H9481" s="5"/>
    </row>
    <row r="9482" spans="2:8" x14ac:dyDescent="0.25">
      <c r="B9482" s="1"/>
      <c r="H9482" s="5"/>
    </row>
    <row r="9483" spans="2:8" x14ac:dyDescent="0.25">
      <c r="B9483" s="1"/>
      <c r="H9483" s="5"/>
    </row>
    <row r="9484" spans="2:8" x14ac:dyDescent="0.25">
      <c r="B9484" s="1"/>
      <c r="H9484" s="5"/>
    </row>
    <row r="9485" spans="2:8" x14ac:dyDescent="0.25">
      <c r="B9485" s="1"/>
      <c r="H9485" s="5"/>
    </row>
    <row r="9486" spans="2:8" x14ac:dyDescent="0.25">
      <c r="B9486" s="1"/>
      <c r="H9486" s="5"/>
    </row>
    <row r="9487" spans="2:8" x14ac:dyDescent="0.25">
      <c r="B9487" s="1"/>
      <c r="H9487" s="5"/>
    </row>
    <row r="9488" spans="2:8" x14ac:dyDescent="0.25">
      <c r="B9488" s="1"/>
      <c r="H9488" s="5"/>
    </row>
    <row r="9489" spans="2:8" x14ac:dyDescent="0.25">
      <c r="B9489" s="1"/>
      <c r="H9489" s="5"/>
    </row>
    <row r="9490" spans="2:8" x14ac:dyDescent="0.25">
      <c r="B9490" s="1"/>
      <c r="H9490" s="5"/>
    </row>
    <row r="9491" spans="2:8" x14ac:dyDescent="0.25">
      <c r="B9491" s="1"/>
      <c r="H9491" s="5"/>
    </row>
    <row r="9492" spans="2:8" x14ac:dyDescent="0.25">
      <c r="B9492" s="1"/>
      <c r="H9492" s="5"/>
    </row>
    <row r="9493" spans="2:8" x14ac:dyDescent="0.25">
      <c r="B9493" s="1"/>
      <c r="H9493" s="5"/>
    </row>
    <row r="9494" spans="2:8" x14ac:dyDescent="0.25">
      <c r="B9494" s="1"/>
      <c r="H9494" s="5"/>
    </row>
    <row r="9495" spans="2:8" x14ac:dyDescent="0.25">
      <c r="B9495" s="1"/>
      <c r="H9495" s="5"/>
    </row>
    <row r="9496" spans="2:8" x14ac:dyDescent="0.25">
      <c r="B9496" s="1"/>
      <c r="H9496" s="5"/>
    </row>
    <row r="9497" spans="2:8" x14ac:dyDescent="0.25">
      <c r="B9497" s="1"/>
      <c r="H9497" s="5"/>
    </row>
    <row r="9498" spans="2:8" x14ac:dyDescent="0.25">
      <c r="B9498" s="1"/>
      <c r="H9498" s="5"/>
    </row>
    <row r="9499" spans="2:8" x14ac:dyDescent="0.25">
      <c r="B9499" s="1"/>
      <c r="H9499" s="5"/>
    </row>
    <row r="9500" spans="2:8" x14ac:dyDescent="0.25">
      <c r="B9500" s="1"/>
      <c r="H9500" s="5"/>
    </row>
    <row r="9501" spans="2:8" x14ac:dyDescent="0.25">
      <c r="B9501" s="1"/>
      <c r="H9501" s="5"/>
    </row>
    <row r="9502" spans="2:8" x14ac:dyDescent="0.25">
      <c r="B9502" s="1"/>
      <c r="H9502" s="5"/>
    </row>
    <row r="9503" spans="2:8" x14ac:dyDescent="0.25">
      <c r="B9503" s="1"/>
      <c r="H9503" s="5"/>
    </row>
    <row r="9504" spans="2:8" x14ac:dyDescent="0.25">
      <c r="B9504" s="1"/>
      <c r="H9504" s="5"/>
    </row>
    <row r="9505" spans="2:8" x14ac:dyDescent="0.25">
      <c r="B9505" s="1"/>
      <c r="H9505" s="5"/>
    </row>
    <row r="9506" spans="2:8" x14ac:dyDescent="0.25">
      <c r="B9506" s="1"/>
      <c r="H9506" s="5"/>
    </row>
    <row r="9507" spans="2:8" x14ac:dyDescent="0.25">
      <c r="B9507" s="1"/>
      <c r="H9507" s="5"/>
    </row>
    <row r="9508" spans="2:8" x14ac:dyDescent="0.25">
      <c r="B9508" s="1"/>
      <c r="H9508" s="5"/>
    </row>
    <row r="9509" spans="2:8" x14ac:dyDescent="0.25">
      <c r="B9509" s="1"/>
      <c r="H9509" s="5"/>
    </row>
    <row r="9510" spans="2:8" x14ac:dyDescent="0.25">
      <c r="B9510" s="1"/>
      <c r="H9510" s="5"/>
    </row>
    <row r="9511" spans="2:8" x14ac:dyDescent="0.25">
      <c r="B9511" s="1"/>
      <c r="H9511" s="5"/>
    </row>
    <row r="9512" spans="2:8" x14ac:dyDescent="0.25">
      <c r="B9512" s="1"/>
      <c r="H9512" s="5"/>
    </row>
    <row r="9513" spans="2:8" x14ac:dyDescent="0.25">
      <c r="B9513" s="1"/>
      <c r="H9513" s="5"/>
    </row>
    <row r="9514" spans="2:8" x14ac:dyDescent="0.25">
      <c r="B9514" s="1"/>
      <c r="H9514" s="5"/>
    </row>
    <row r="9515" spans="2:8" x14ac:dyDescent="0.25">
      <c r="B9515" s="1"/>
      <c r="H9515" s="5"/>
    </row>
    <row r="9516" spans="2:8" x14ac:dyDescent="0.25">
      <c r="B9516" s="1"/>
      <c r="H9516" s="5"/>
    </row>
    <row r="9517" spans="2:8" x14ac:dyDescent="0.25">
      <c r="B9517" s="1"/>
      <c r="H9517" s="5"/>
    </row>
    <row r="9518" spans="2:8" x14ac:dyDescent="0.25">
      <c r="B9518" s="1"/>
      <c r="H9518" s="5"/>
    </row>
    <row r="9519" spans="2:8" x14ac:dyDescent="0.25">
      <c r="B9519" s="1"/>
      <c r="H9519" s="5"/>
    </row>
    <row r="9520" spans="2:8" x14ac:dyDescent="0.25">
      <c r="B9520" s="1"/>
      <c r="H9520" s="5"/>
    </row>
    <row r="9521" spans="2:8" x14ac:dyDescent="0.25">
      <c r="B9521" s="1"/>
      <c r="H9521" s="5"/>
    </row>
    <row r="9522" spans="2:8" x14ac:dyDescent="0.25">
      <c r="B9522" s="1"/>
      <c r="H9522" s="5"/>
    </row>
    <row r="9523" spans="2:8" x14ac:dyDescent="0.25">
      <c r="B9523" s="1"/>
      <c r="H9523" s="5"/>
    </row>
    <row r="9524" spans="2:8" x14ac:dyDescent="0.25">
      <c r="B9524" s="1"/>
      <c r="H9524" s="5"/>
    </row>
    <row r="9525" spans="2:8" x14ac:dyDescent="0.25">
      <c r="B9525" s="1"/>
      <c r="H9525" s="5"/>
    </row>
    <row r="9526" spans="2:8" x14ac:dyDescent="0.25">
      <c r="B9526" s="1"/>
      <c r="H9526" s="5"/>
    </row>
    <row r="9527" spans="2:8" x14ac:dyDescent="0.25">
      <c r="B9527" s="1"/>
      <c r="H9527" s="5"/>
    </row>
    <row r="9528" spans="2:8" x14ac:dyDescent="0.25">
      <c r="B9528" s="1"/>
      <c r="H9528" s="5"/>
    </row>
    <row r="9529" spans="2:8" x14ac:dyDescent="0.25">
      <c r="B9529" s="1"/>
      <c r="H9529" s="5"/>
    </row>
    <row r="9530" spans="2:8" x14ac:dyDescent="0.25">
      <c r="B9530" s="1"/>
      <c r="H9530" s="5"/>
    </row>
    <row r="9531" spans="2:8" x14ac:dyDescent="0.25">
      <c r="B9531" s="1"/>
      <c r="H9531" s="5"/>
    </row>
    <row r="9532" spans="2:8" x14ac:dyDescent="0.25">
      <c r="B9532" s="1"/>
      <c r="H9532" s="5"/>
    </row>
    <row r="9533" spans="2:8" x14ac:dyDescent="0.25">
      <c r="B9533" s="1"/>
      <c r="H9533" s="5"/>
    </row>
    <row r="9534" spans="2:8" x14ac:dyDescent="0.25">
      <c r="B9534" s="1"/>
      <c r="H9534" s="5"/>
    </row>
    <row r="9535" spans="2:8" x14ac:dyDescent="0.25">
      <c r="B9535" s="1"/>
      <c r="H9535" s="5"/>
    </row>
    <row r="9536" spans="2:8" x14ac:dyDescent="0.25">
      <c r="B9536" s="1"/>
      <c r="H9536" s="5"/>
    </row>
    <row r="9537" spans="2:8" x14ac:dyDescent="0.25">
      <c r="B9537" s="1"/>
      <c r="H9537" s="5"/>
    </row>
    <row r="9538" spans="2:8" x14ac:dyDescent="0.25">
      <c r="B9538" s="1"/>
      <c r="H9538" s="5"/>
    </row>
    <row r="9539" spans="2:8" x14ac:dyDescent="0.25">
      <c r="B9539" s="1"/>
      <c r="H9539" s="5"/>
    </row>
    <row r="9540" spans="2:8" x14ac:dyDescent="0.25">
      <c r="B9540" s="1"/>
      <c r="H9540" s="5"/>
    </row>
    <row r="9541" spans="2:8" x14ac:dyDescent="0.25">
      <c r="B9541" s="1"/>
      <c r="H9541" s="5"/>
    </row>
    <row r="9542" spans="2:8" x14ac:dyDescent="0.25">
      <c r="B9542" s="1"/>
      <c r="H9542" s="5"/>
    </row>
    <row r="9543" spans="2:8" x14ac:dyDescent="0.25">
      <c r="B9543" s="1"/>
      <c r="H9543" s="5"/>
    </row>
    <row r="9544" spans="2:8" x14ac:dyDescent="0.25">
      <c r="B9544" s="1"/>
      <c r="H9544" s="5"/>
    </row>
    <row r="9545" spans="2:8" x14ac:dyDescent="0.25">
      <c r="B9545" s="1"/>
      <c r="H9545" s="5"/>
    </row>
    <row r="9546" spans="2:8" x14ac:dyDescent="0.25">
      <c r="B9546" s="1"/>
      <c r="H9546" s="5"/>
    </row>
    <row r="9547" spans="2:8" x14ac:dyDescent="0.25">
      <c r="B9547" s="1"/>
      <c r="H9547" s="5"/>
    </row>
    <row r="9548" spans="2:8" x14ac:dyDescent="0.25">
      <c r="B9548" s="1"/>
      <c r="H9548" s="5"/>
    </row>
    <row r="9549" spans="2:8" x14ac:dyDescent="0.25">
      <c r="B9549" s="1"/>
      <c r="H9549" s="5"/>
    </row>
    <row r="9550" spans="2:8" x14ac:dyDescent="0.25">
      <c r="B9550" s="1"/>
      <c r="H9550" s="5"/>
    </row>
    <row r="9551" spans="2:8" x14ac:dyDescent="0.25">
      <c r="B9551" s="1"/>
      <c r="H9551" s="5"/>
    </row>
    <row r="9552" spans="2:8" x14ac:dyDescent="0.25">
      <c r="B9552" s="1"/>
      <c r="H9552" s="5"/>
    </row>
    <row r="9553" spans="2:8" x14ac:dyDescent="0.25">
      <c r="B9553" s="1"/>
      <c r="H9553" s="5"/>
    </row>
    <row r="9554" spans="2:8" x14ac:dyDescent="0.25">
      <c r="B9554" s="1"/>
      <c r="H9554" s="5"/>
    </row>
    <row r="9555" spans="2:8" x14ac:dyDescent="0.25">
      <c r="B9555" s="1"/>
      <c r="H9555" s="5"/>
    </row>
    <row r="9556" spans="2:8" x14ac:dyDescent="0.25">
      <c r="B9556" s="1"/>
      <c r="H9556" s="5"/>
    </row>
    <row r="9557" spans="2:8" x14ac:dyDescent="0.25">
      <c r="B9557" s="1"/>
      <c r="H9557" s="5"/>
    </row>
    <row r="9558" spans="2:8" x14ac:dyDescent="0.25">
      <c r="B9558" s="1"/>
      <c r="H9558" s="5"/>
    </row>
    <row r="9559" spans="2:8" x14ac:dyDescent="0.25">
      <c r="B9559" s="1"/>
      <c r="H9559" s="5"/>
    </row>
    <row r="9560" spans="2:8" x14ac:dyDescent="0.25">
      <c r="B9560" s="1"/>
      <c r="H9560" s="5"/>
    </row>
    <row r="9561" spans="2:8" x14ac:dyDescent="0.25">
      <c r="B9561" s="1"/>
      <c r="H9561" s="5"/>
    </row>
    <row r="9562" spans="2:8" x14ac:dyDescent="0.25">
      <c r="B9562" s="1"/>
      <c r="H9562" s="5"/>
    </row>
    <row r="9563" spans="2:8" x14ac:dyDescent="0.25">
      <c r="B9563" s="1"/>
      <c r="H9563" s="5"/>
    </row>
    <row r="9564" spans="2:8" x14ac:dyDescent="0.25">
      <c r="B9564" s="1"/>
      <c r="H9564" s="5"/>
    </row>
    <row r="9565" spans="2:8" x14ac:dyDescent="0.25">
      <c r="B9565" s="1"/>
      <c r="H9565" s="5"/>
    </row>
    <row r="9566" spans="2:8" x14ac:dyDescent="0.25">
      <c r="B9566" s="1"/>
      <c r="H9566" s="5"/>
    </row>
    <row r="9567" spans="2:8" x14ac:dyDescent="0.25">
      <c r="B9567" s="1"/>
      <c r="H9567" s="5"/>
    </row>
    <row r="9568" spans="2:8" x14ac:dyDescent="0.25">
      <c r="B9568" s="1"/>
      <c r="H9568" s="5"/>
    </row>
    <row r="9569" spans="2:8" x14ac:dyDescent="0.25">
      <c r="B9569" s="1"/>
      <c r="H9569" s="5"/>
    </row>
    <row r="9570" spans="2:8" x14ac:dyDescent="0.25">
      <c r="B9570" s="1"/>
      <c r="H9570" s="5"/>
    </row>
    <row r="9571" spans="2:8" x14ac:dyDescent="0.25">
      <c r="B9571" s="1"/>
      <c r="H9571" s="5"/>
    </row>
    <row r="9572" spans="2:8" x14ac:dyDescent="0.25">
      <c r="B9572" s="1"/>
      <c r="H9572" s="5"/>
    </row>
    <row r="9573" spans="2:8" x14ac:dyDescent="0.25">
      <c r="B9573" s="1"/>
      <c r="H9573" s="5"/>
    </row>
    <row r="9574" spans="2:8" x14ac:dyDescent="0.25">
      <c r="B9574" s="1"/>
      <c r="H9574" s="5"/>
    </row>
    <row r="9575" spans="2:8" x14ac:dyDescent="0.25">
      <c r="B9575" s="1"/>
      <c r="H9575" s="5"/>
    </row>
    <row r="9576" spans="2:8" x14ac:dyDescent="0.25">
      <c r="B9576" s="1"/>
      <c r="H9576" s="5"/>
    </row>
    <row r="9577" spans="2:8" x14ac:dyDescent="0.25">
      <c r="B9577" s="1"/>
      <c r="H9577" s="5"/>
    </row>
    <row r="9578" spans="2:8" x14ac:dyDescent="0.25">
      <c r="B9578" s="1"/>
      <c r="H9578" s="5"/>
    </row>
    <row r="9579" spans="2:8" x14ac:dyDescent="0.25">
      <c r="B9579" s="1"/>
      <c r="H9579" s="5"/>
    </row>
    <row r="9580" spans="2:8" x14ac:dyDescent="0.25">
      <c r="B9580" s="1"/>
      <c r="H9580" s="5"/>
    </row>
    <row r="9581" spans="2:8" x14ac:dyDescent="0.25">
      <c r="B9581" s="1"/>
      <c r="H9581" s="5"/>
    </row>
    <row r="9582" spans="2:8" x14ac:dyDescent="0.25">
      <c r="B9582" s="1"/>
      <c r="H9582" s="5"/>
    </row>
    <row r="9583" spans="2:8" x14ac:dyDescent="0.25">
      <c r="B9583" s="1"/>
      <c r="H9583" s="5"/>
    </row>
    <row r="9584" spans="2:8" x14ac:dyDescent="0.25">
      <c r="B9584" s="1"/>
      <c r="H9584" s="5"/>
    </row>
    <row r="9585" spans="2:8" x14ac:dyDescent="0.25">
      <c r="B9585" s="1"/>
      <c r="H9585" s="5"/>
    </row>
    <row r="9586" spans="2:8" x14ac:dyDescent="0.25">
      <c r="B9586" s="1"/>
      <c r="H9586" s="5"/>
    </row>
    <row r="9587" spans="2:8" x14ac:dyDescent="0.25">
      <c r="B9587" s="1"/>
      <c r="H9587" s="5"/>
    </row>
    <row r="9588" spans="2:8" x14ac:dyDescent="0.25">
      <c r="B9588" s="1"/>
      <c r="H9588" s="5"/>
    </row>
    <row r="9589" spans="2:8" x14ac:dyDescent="0.25">
      <c r="B9589" s="1"/>
      <c r="H9589" s="5"/>
    </row>
    <row r="9590" spans="2:8" x14ac:dyDescent="0.25">
      <c r="B9590" s="1"/>
      <c r="H9590" s="5"/>
    </row>
    <row r="9591" spans="2:8" x14ac:dyDescent="0.25">
      <c r="B9591" s="1"/>
      <c r="H9591" s="5"/>
    </row>
    <row r="9592" spans="2:8" x14ac:dyDescent="0.25">
      <c r="B9592" s="1"/>
      <c r="H9592" s="5"/>
    </row>
    <row r="9593" spans="2:8" x14ac:dyDescent="0.25">
      <c r="B9593" s="1"/>
      <c r="H9593" s="5"/>
    </row>
    <row r="9594" spans="2:8" x14ac:dyDescent="0.25">
      <c r="B9594" s="1"/>
      <c r="H9594" s="5"/>
    </row>
    <row r="9595" spans="2:8" x14ac:dyDescent="0.25">
      <c r="B9595" s="1"/>
      <c r="H9595" s="5"/>
    </row>
    <row r="9596" spans="2:8" x14ac:dyDescent="0.25">
      <c r="B9596" s="1"/>
      <c r="H9596" s="5"/>
    </row>
    <row r="9597" spans="2:8" x14ac:dyDescent="0.25">
      <c r="B9597" s="1"/>
      <c r="H9597" s="5"/>
    </row>
    <row r="9598" spans="2:8" x14ac:dyDescent="0.25">
      <c r="B9598" s="1"/>
      <c r="H9598" s="5"/>
    </row>
    <row r="9599" spans="2:8" x14ac:dyDescent="0.25">
      <c r="B9599" s="1"/>
      <c r="H9599" s="5"/>
    </row>
    <row r="9600" spans="2:8" x14ac:dyDescent="0.25">
      <c r="B9600" s="1"/>
      <c r="H9600" s="5"/>
    </row>
    <row r="9601" spans="2:8" x14ac:dyDescent="0.25">
      <c r="B9601" s="1"/>
      <c r="H9601" s="5"/>
    </row>
    <row r="9602" spans="2:8" x14ac:dyDescent="0.25">
      <c r="B9602" s="1"/>
      <c r="H9602" s="5"/>
    </row>
    <row r="9603" spans="2:8" x14ac:dyDescent="0.25">
      <c r="B9603" s="1"/>
      <c r="H9603" s="5"/>
    </row>
    <row r="9604" spans="2:8" x14ac:dyDescent="0.25">
      <c r="B9604" s="1"/>
      <c r="H9604" s="5"/>
    </row>
    <row r="9605" spans="2:8" x14ac:dyDescent="0.25">
      <c r="B9605" s="1"/>
      <c r="H9605" s="5"/>
    </row>
    <row r="9606" spans="2:8" x14ac:dyDescent="0.25">
      <c r="B9606" s="1"/>
      <c r="H9606" s="5"/>
    </row>
    <row r="9607" spans="2:8" x14ac:dyDescent="0.25">
      <c r="B9607" s="1"/>
      <c r="H9607" s="5"/>
    </row>
    <row r="9608" spans="2:8" x14ac:dyDescent="0.25">
      <c r="B9608" s="1"/>
      <c r="H9608" s="5"/>
    </row>
    <row r="9609" spans="2:8" x14ac:dyDescent="0.25">
      <c r="B9609" s="1"/>
      <c r="H9609" s="5"/>
    </row>
    <row r="9610" spans="2:8" x14ac:dyDescent="0.25">
      <c r="B9610" s="1"/>
      <c r="H9610" s="5"/>
    </row>
    <row r="9611" spans="2:8" x14ac:dyDescent="0.25">
      <c r="B9611" s="1"/>
      <c r="H9611" s="5"/>
    </row>
    <row r="9612" spans="2:8" x14ac:dyDescent="0.25">
      <c r="B9612" s="1"/>
      <c r="H9612" s="5"/>
    </row>
    <row r="9613" spans="2:8" x14ac:dyDescent="0.25">
      <c r="B9613" s="1"/>
      <c r="H9613" s="5"/>
    </row>
    <row r="9614" spans="2:8" x14ac:dyDescent="0.25">
      <c r="B9614" s="1"/>
      <c r="H9614" s="5"/>
    </row>
    <row r="9615" spans="2:8" x14ac:dyDescent="0.25">
      <c r="B9615" s="1"/>
      <c r="H9615" s="5"/>
    </row>
    <row r="9616" spans="2:8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9" sqref="C9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46023</v>
      </c>
      <c r="B2">
        <f ca="1">SUMIFS(Tabela1[Ativa (kwh)],Tabela1[data],A2)</f>
        <v>7323.54</v>
      </c>
      <c r="C2">
        <f ca="1">SUMIFS(Tabela1[Reativa (kvarh)],Tabela1[data],A2)</f>
        <v>309.54000000000002</v>
      </c>
      <c r="D2">
        <f t="shared" ref="D2" ca="1" si="1">B2/1000</f>
        <v>7.3235400000000004</v>
      </c>
      <c r="E2">
        <f t="shared" ref="E2" ca="1" si="2">C2/1000</f>
        <v>0.30954000000000004</v>
      </c>
    </row>
    <row r="3" spans="1:5" x14ac:dyDescent="0.25">
      <c r="A3" s="1">
        <f t="shared" ca="1" si="0"/>
        <v>46024</v>
      </c>
      <c r="B3">
        <f ca="1">SUMIFS(Tabela1[Ativa (kwh)],Tabela1[data],A3)</f>
        <v>15687.840000000002</v>
      </c>
      <c r="C3">
        <f ca="1">SUMIFS(Tabela1[Reativa (kvarh)],Tabela1[data],A3)</f>
        <v>2995.44</v>
      </c>
      <c r="D3">
        <f t="shared" ref="D3" ca="1" si="3">B3/1000</f>
        <v>15.687840000000001</v>
      </c>
      <c r="E3">
        <f t="shared" ref="E3" ca="1" si="4">C3/1000</f>
        <v>2.9954399999999999</v>
      </c>
    </row>
    <row r="4" spans="1:5" x14ac:dyDescent="0.25">
      <c r="A4" s="1">
        <f t="shared" ca="1" si="0"/>
        <v>46025</v>
      </c>
      <c r="B4">
        <f ca="1">SUMIFS(Tabela1[Ativa (kwh)],Tabela1[data],A4)</f>
        <v>15125.460000000001</v>
      </c>
      <c r="C4">
        <f ca="1">SUMIFS(Tabela1[Reativa (kvarh)],Tabela1[data],A4)</f>
        <v>2753.94</v>
      </c>
      <c r="D4">
        <f t="shared" ref="D4:D20" ca="1" si="5">B4/1000</f>
        <v>15.12546</v>
      </c>
      <c r="E4">
        <f t="shared" ref="E4:E20" ca="1" si="6">C4/1000</f>
        <v>2.7539400000000001</v>
      </c>
    </row>
    <row r="5" spans="1:5" x14ac:dyDescent="0.25">
      <c r="A5" s="1">
        <f t="shared" ca="1" si="0"/>
        <v>46026</v>
      </c>
      <c r="B5">
        <f ca="1">SUMIFS(Tabela1[Ativa (kwh)],Tabela1[data],A5)</f>
        <v>13570.619999999997</v>
      </c>
      <c r="C5">
        <f ca="1">SUMIFS(Tabela1[Reativa (kvarh)],Tabela1[data],A5)</f>
        <v>2467.08</v>
      </c>
      <c r="D5">
        <f t="shared" ca="1" si="5"/>
        <v>13.570619999999996</v>
      </c>
      <c r="E5">
        <f t="shared" ca="1" si="6"/>
        <v>2.4670799999999997</v>
      </c>
    </row>
    <row r="6" spans="1:5" x14ac:dyDescent="0.25">
      <c r="A6" s="1">
        <f t="shared" ca="1" si="0"/>
        <v>46027</v>
      </c>
      <c r="B6">
        <f ca="1">SUMIFS(Tabela1[Ativa (kwh)],Tabela1[data],A6)</f>
        <v>13544.16</v>
      </c>
      <c r="C6">
        <f ca="1">SUMIFS(Tabela1[Reativa (kvarh)],Tabela1[data],A6)</f>
        <v>2223.06</v>
      </c>
      <c r="D6">
        <f t="shared" ca="1" si="5"/>
        <v>13.54416</v>
      </c>
      <c r="E6">
        <f t="shared" ca="1" si="6"/>
        <v>2.2230599999999998</v>
      </c>
    </row>
    <row r="7" spans="1:5" x14ac:dyDescent="0.25">
      <c r="A7" s="1">
        <f t="shared" ca="1" si="0"/>
        <v>46028</v>
      </c>
      <c r="B7">
        <f ca="1">SUMIFS(Tabela1[Ativa (kwh)],Tabela1[data],A7)</f>
        <v>14560.98</v>
      </c>
      <c r="C7">
        <f ca="1">SUMIFS(Tabela1[Reativa (kvarh)],Tabela1[data],A7)</f>
        <v>2827.0200000000004</v>
      </c>
      <c r="D7">
        <f t="shared" ca="1" si="5"/>
        <v>14.560979999999999</v>
      </c>
      <c r="E7">
        <f t="shared" ca="1" si="6"/>
        <v>2.8270200000000005</v>
      </c>
    </row>
    <row r="8" spans="1:5" x14ac:dyDescent="0.25">
      <c r="A8" s="1">
        <f t="shared" ca="1" si="0"/>
        <v>46029</v>
      </c>
      <c r="B8">
        <f ca="1">SUMIFS(Tabela1[Ativa (kwh)],Tabela1[data],A8)</f>
        <v>14550.48</v>
      </c>
      <c r="C8">
        <f ca="1">SUMIFS(Tabela1[Reativa (kvarh)],Tabela1[data],A8)</f>
        <v>2692.6199999999994</v>
      </c>
      <c r="D8">
        <f t="shared" ca="1" si="5"/>
        <v>14.55048</v>
      </c>
      <c r="E8">
        <f t="shared" ca="1" si="6"/>
        <v>2.6926199999999993</v>
      </c>
    </row>
    <row r="9" spans="1:5" x14ac:dyDescent="0.25">
      <c r="A9" s="1">
        <f t="shared" ca="1" si="0"/>
        <v>46030</v>
      </c>
      <c r="B9">
        <f ca="1">SUMIFS(Tabela1[Ativa (kwh)],Tabela1[data],A9)</f>
        <v>15160.740000000003</v>
      </c>
      <c r="C9">
        <f ca="1">SUMIFS(Tabela1[Reativa (kvarh)],Tabela1[data],A9)</f>
        <v>2955.96</v>
      </c>
      <c r="D9">
        <f t="shared" ca="1" si="5"/>
        <v>15.160740000000004</v>
      </c>
      <c r="E9">
        <f t="shared" ca="1" si="6"/>
        <v>2.9559600000000001</v>
      </c>
    </row>
    <row r="10" spans="1:5" x14ac:dyDescent="0.25">
      <c r="A10" s="1">
        <f t="shared" ca="1" si="0"/>
        <v>46031</v>
      </c>
      <c r="B10">
        <f ca="1">SUMIFS(Tabela1[Ativa (kwh)],Tabela1[data],A10)</f>
        <v>16163.280000000002</v>
      </c>
      <c r="C10">
        <f ca="1">SUMIFS(Tabela1[Reativa (kvarh)],Tabela1[data],A10)</f>
        <v>3351.1799999999994</v>
      </c>
      <c r="D10">
        <f t="shared" ca="1" si="5"/>
        <v>16.163280000000004</v>
      </c>
      <c r="E10">
        <f t="shared" ca="1" si="6"/>
        <v>3.3511799999999994</v>
      </c>
    </row>
    <row r="11" spans="1:5" x14ac:dyDescent="0.25">
      <c r="A11" s="1">
        <f t="shared" ca="1" si="0"/>
        <v>46032</v>
      </c>
      <c r="B11">
        <f ca="1">SUMIFS(Tabela1[Ativa (kwh)],Tabela1[data],A11)</f>
        <v>15982.679999999997</v>
      </c>
      <c r="C11">
        <f ca="1">SUMIFS(Tabela1[Reativa (kvarh)],Tabela1[data],A11)</f>
        <v>3376.3800000000006</v>
      </c>
      <c r="D11">
        <f t="shared" ca="1" si="5"/>
        <v>15.982679999999997</v>
      </c>
      <c r="E11">
        <f t="shared" ca="1" si="6"/>
        <v>3.3763800000000006</v>
      </c>
    </row>
    <row r="12" spans="1:5" x14ac:dyDescent="0.25">
      <c r="A12" s="1">
        <f t="shared" ca="1" si="0"/>
        <v>46033</v>
      </c>
      <c r="B12">
        <f ca="1">SUMIFS(Tabela1[Ativa (kwh)],Tabela1[data],A12)</f>
        <v>13762.560000000001</v>
      </c>
      <c r="C12">
        <f ca="1">SUMIFS(Tabela1[Reativa (kvarh)],Tabela1[data],A12)</f>
        <v>2068.9199999999996</v>
      </c>
      <c r="D12">
        <f t="shared" ca="1" si="5"/>
        <v>13.762560000000001</v>
      </c>
      <c r="E12">
        <f t="shared" ca="1" si="6"/>
        <v>2.0689199999999994</v>
      </c>
    </row>
    <row r="13" spans="1:5" x14ac:dyDescent="0.25">
      <c r="A13" s="1">
        <f t="shared" ca="1" si="0"/>
        <v>46034</v>
      </c>
      <c r="B13">
        <f ca="1">SUMIFS(Tabela1[Ativa (kwh)],Tabela1[data],A13)</f>
        <v>16434.599999999999</v>
      </c>
      <c r="C13">
        <f ca="1">SUMIFS(Tabela1[Reativa (kvarh)],Tabela1[data],A13)</f>
        <v>3642.66</v>
      </c>
      <c r="D13">
        <f t="shared" ca="1" si="5"/>
        <v>16.4346</v>
      </c>
      <c r="E13">
        <f t="shared" ca="1" si="6"/>
        <v>3.6426599999999998</v>
      </c>
    </row>
    <row r="14" spans="1:5" x14ac:dyDescent="0.25">
      <c r="A14" s="1">
        <f t="shared" ref="A14:A20" ca="1" si="7">A15-1</f>
        <v>46035</v>
      </c>
      <c r="B14">
        <f ca="1">SUMIFS(Tabela1[Ativa (kwh)],Tabela1[data],A14)</f>
        <v>14823.9</v>
      </c>
      <c r="C14">
        <f ca="1">SUMIFS(Tabela1[Reativa (kvarh)],Tabela1[data],A14)</f>
        <v>2710.68</v>
      </c>
      <c r="D14">
        <f t="shared" ca="1" si="5"/>
        <v>14.8239</v>
      </c>
      <c r="E14">
        <f t="shared" ca="1" si="6"/>
        <v>2.71068</v>
      </c>
    </row>
    <row r="15" spans="1:5" x14ac:dyDescent="0.25">
      <c r="A15" s="1">
        <f t="shared" ca="1" si="7"/>
        <v>46036</v>
      </c>
      <c r="B15">
        <f ca="1">SUMIFS(Tabela1[Ativa (kwh)],Tabela1[data],A15)</f>
        <v>13618.079999999998</v>
      </c>
      <c r="C15">
        <f ca="1">SUMIFS(Tabela1[Reativa (kvarh)],Tabela1[data],A15)</f>
        <v>2440.62</v>
      </c>
      <c r="D15">
        <f t="shared" ca="1" si="5"/>
        <v>13.618079999999997</v>
      </c>
      <c r="E15">
        <f t="shared" ca="1" si="6"/>
        <v>2.44062</v>
      </c>
    </row>
    <row r="16" spans="1:5" x14ac:dyDescent="0.25">
      <c r="A16" s="1">
        <f t="shared" ca="1" si="7"/>
        <v>46037</v>
      </c>
      <c r="B16">
        <f ca="1">SUMIFS(Tabela1[Ativa (kwh)],Tabela1[data],A16)</f>
        <v>15137.640000000001</v>
      </c>
      <c r="C16">
        <f ca="1">SUMIFS(Tabela1[Reativa (kvarh)],Tabela1[data],A16)</f>
        <v>3173.0999999999995</v>
      </c>
      <c r="D16">
        <f t="shared" ca="1" si="5"/>
        <v>15.137640000000001</v>
      </c>
      <c r="E16">
        <f t="shared" ca="1" si="6"/>
        <v>3.1730999999999994</v>
      </c>
    </row>
    <row r="17" spans="1:5" x14ac:dyDescent="0.25">
      <c r="A17" s="1">
        <f t="shared" ca="1" si="7"/>
        <v>46038</v>
      </c>
      <c r="B17">
        <f ca="1">SUMIFS(Tabela1[Ativa (kwh)],Tabela1[data],A17)</f>
        <v>14939.820000000002</v>
      </c>
      <c r="C17">
        <f ca="1">SUMIFS(Tabela1[Reativa (kvarh)],Tabela1[data],A17)</f>
        <v>3063.48</v>
      </c>
      <c r="D17">
        <f t="shared" ca="1" si="5"/>
        <v>14.939820000000001</v>
      </c>
      <c r="E17">
        <f t="shared" ca="1" si="6"/>
        <v>3.0634800000000002</v>
      </c>
    </row>
    <row r="18" spans="1:5" x14ac:dyDescent="0.25">
      <c r="A18" s="1">
        <f t="shared" ca="1" si="7"/>
        <v>46039</v>
      </c>
      <c r="B18">
        <f ca="1">SUMIFS(Tabela1[Ativa (kwh)],Tabela1[data],A18)</f>
        <v>14940.660000000002</v>
      </c>
      <c r="C18">
        <f ca="1">SUMIFS(Tabela1[Reativa (kvarh)],Tabela1[data],A18)</f>
        <v>2964.78</v>
      </c>
      <c r="D18">
        <f t="shared" ca="1" si="5"/>
        <v>14.940660000000001</v>
      </c>
      <c r="E18">
        <f t="shared" ca="1" si="6"/>
        <v>2.9647800000000002</v>
      </c>
    </row>
    <row r="19" spans="1:5" x14ac:dyDescent="0.25">
      <c r="A19" s="1">
        <f t="shared" ca="1" si="7"/>
        <v>46040</v>
      </c>
      <c r="B19">
        <f ca="1">SUMIFS(Tabela1[Ativa (kwh)],Tabela1[data],A19)</f>
        <v>14079.660000000002</v>
      </c>
      <c r="C19">
        <f ca="1">SUMIFS(Tabela1[Reativa (kvarh)],Tabela1[data],A19)</f>
        <v>2550.2399999999998</v>
      </c>
      <c r="D19">
        <f t="shared" ca="1" si="5"/>
        <v>14.079660000000002</v>
      </c>
      <c r="E19">
        <f t="shared" ca="1" si="6"/>
        <v>2.5502399999999996</v>
      </c>
    </row>
    <row r="20" spans="1:5" x14ac:dyDescent="0.25">
      <c r="A20" s="1">
        <f t="shared" ca="1" si="7"/>
        <v>46041</v>
      </c>
      <c r="B20">
        <f ca="1">SUMIFS(Tabela1[Ativa (kwh)],Tabela1[data],A20)</f>
        <v>14305.62</v>
      </c>
      <c r="C20">
        <f ca="1">SUMIFS(Tabela1[Reativa (kvarh)],Tabela1[data],A20)</f>
        <v>2668.26</v>
      </c>
      <c r="D20">
        <f t="shared" ca="1" si="5"/>
        <v>14.305620000000001</v>
      </c>
      <c r="E20">
        <f t="shared" ca="1" si="6"/>
        <v>2.6682600000000001</v>
      </c>
    </row>
    <row r="21" spans="1:5" x14ac:dyDescent="0.25">
      <c r="A21" s="1">
        <f t="shared" ref="A21:A26" ca="1" si="8">A22-1</f>
        <v>46042</v>
      </c>
      <c r="B21">
        <f ca="1">SUMIFS(Tabela1[Ativa (kwh)],Tabela1[data],A21)</f>
        <v>12807.479999999998</v>
      </c>
      <c r="C21">
        <f ca="1">SUMIFS(Tabela1[Reativa (kvarh)],Tabela1[data],A21)</f>
        <v>1900.5</v>
      </c>
      <c r="D21">
        <f ca="1">B21/1000</f>
        <v>12.807479999999998</v>
      </c>
      <c r="E21">
        <f ca="1">C21/1000</f>
        <v>1.9005000000000001</v>
      </c>
    </row>
    <row r="22" spans="1:5" x14ac:dyDescent="0.25">
      <c r="A22" s="1">
        <f t="shared" ca="1" si="8"/>
        <v>46043</v>
      </c>
      <c r="B22">
        <f ca="1">SUMIFS(Tabela1[Ativa (kwh)],Tabela1[data],A22)</f>
        <v>12381.18</v>
      </c>
      <c r="C22">
        <f ca="1">SUMIFS(Tabela1[Reativa (kvarh)],Tabela1[data],A22)</f>
        <v>1631.28</v>
      </c>
      <c r="D22">
        <f t="shared" ref="D22:D30" ca="1" si="9">B22/1000</f>
        <v>12.381180000000001</v>
      </c>
      <c r="E22">
        <f t="shared" ref="E22:E30" ca="1" si="10">C22/1000</f>
        <v>1.6312800000000001</v>
      </c>
    </row>
    <row r="23" spans="1:5" x14ac:dyDescent="0.25">
      <c r="A23" s="1">
        <f t="shared" ca="1" si="8"/>
        <v>46044</v>
      </c>
      <c r="B23">
        <f ca="1">SUMIFS(Tabela1[Ativa (kwh)],Tabela1[data],A23)</f>
        <v>12840.659999999998</v>
      </c>
      <c r="C23">
        <f ca="1">SUMIFS(Tabela1[Reativa (kvarh)],Tabela1[data],A23)</f>
        <v>1766.9399999999998</v>
      </c>
      <c r="D23">
        <f t="shared" ca="1" si="9"/>
        <v>12.840659999999998</v>
      </c>
      <c r="E23">
        <f t="shared" ca="1" si="10"/>
        <v>1.7669399999999997</v>
      </c>
    </row>
    <row r="24" spans="1:5" x14ac:dyDescent="0.25">
      <c r="A24" s="1">
        <f t="shared" ca="1" si="8"/>
        <v>46045</v>
      </c>
      <c r="B24">
        <f ca="1">SUMIFS(Tabela1[Ativa (kwh)],Tabela1[data],A24)</f>
        <v>13196.400000000001</v>
      </c>
      <c r="C24">
        <f ca="1">SUMIFS(Tabela1[Reativa (kvarh)],Tabela1[data],A24)</f>
        <v>1843.8000000000002</v>
      </c>
      <c r="D24">
        <f t="shared" ca="1" si="9"/>
        <v>13.196400000000001</v>
      </c>
      <c r="E24">
        <f t="shared" ca="1" si="10"/>
        <v>1.8438000000000001</v>
      </c>
    </row>
    <row r="25" spans="1:5" x14ac:dyDescent="0.25">
      <c r="A25" s="1">
        <f t="shared" ca="1" si="8"/>
        <v>46046</v>
      </c>
      <c r="B25">
        <f ca="1">SUMIFS(Tabela1[Ativa (kwh)],Tabela1[data],A25)</f>
        <v>13135.08</v>
      </c>
      <c r="C25">
        <f ca="1">SUMIFS(Tabela1[Reativa (kvarh)],Tabela1[data],A25)</f>
        <v>1895.8800000000003</v>
      </c>
      <c r="D25">
        <f t="shared" ca="1" si="9"/>
        <v>13.13508</v>
      </c>
      <c r="E25">
        <f t="shared" ca="1" si="10"/>
        <v>1.8958800000000002</v>
      </c>
    </row>
    <row r="26" spans="1:5" x14ac:dyDescent="0.25">
      <c r="A26" s="1">
        <f t="shared" ca="1" si="8"/>
        <v>46047</v>
      </c>
      <c r="B26">
        <f ca="1">SUMIFS(Tabela1[Ativa (kwh)],Tabela1[data],A26)</f>
        <v>12241.32</v>
      </c>
      <c r="C26">
        <f ca="1">SUMIFS(Tabela1[Reativa (kvarh)],Tabela1[data],A26)</f>
        <v>1618.68</v>
      </c>
      <c r="D26">
        <f t="shared" ca="1" si="9"/>
        <v>12.24132</v>
      </c>
      <c r="E26">
        <f t="shared" ca="1" si="10"/>
        <v>1.6186800000000001</v>
      </c>
    </row>
    <row r="27" spans="1:5" x14ac:dyDescent="0.25">
      <c r="A27" s="1">
        <f ca="1">A28-1</f>
        <v>46048</v>
      </c>
      <c r="B27">
        <f ca="1">SUMIFS(Tabela1[Ativa (kwh)],Tabela1[data],A27)</f>
        <v>13613.039999999999</v>
      </c>
      <c r="C27">
        <f ca="1">SUMIFS(Tabela1[Reativa (kvarh)],Tabela1[data],A27)</f>
        <v>2065.1400000000003</v>
      </c>
      <c r="D27">
        <f t="shared" ca="1" si="9"/>
        <v>13.61304</v>
      </c>
      <c r="E27">
        <f t="shared" ca="1" si="10"/>
        <v>2.0651400000000004</v>
      </c>
    </row>
    <row r="28" spans="1:5" x14ac:dyDescent="0.25">
      <c r="A28" s="1">
        <f ca="1">A29-1</f>
        <v>46049</v>
      </c>
      <c r="B28">
        <f ca="1">SUMIFS(Tabela1[Ativa (kwh)],Tabela1[data],A28)</f>
        <v>14142.659999999998</v>
      </c>
      <c r="C28">
        <f ca="1">SUMIFS(Tabela1[Reativa (kvarh)],Tabela1[data],A28)</f>
        <v>2213.4</v>
      </c>
      <c r="D28">
        <f t="shared" ca="1" si="9"/>
        <v>14.142659999999998</v>
      </c>
      <c r="E28">
        <f t="shared" ca="1" si="10"/>
        <v>2.2134</v>
      </c>
    </row>
    <row r="29" spans="1:5" x14ac:dyDescent="0.25">
      <c r="A29" s="1">
        <f ca="1">A30-1</f>
        <v>46050</v>
      </c>
      <c r="B29">
        <f ca="1">SUMIFS(Tabela1[Ativa (kwh)],Tabela1[data],A29)</f>
        <v>14193.899999999998</v>
      </c>
      <c r="C29">
        <f ca="1">SUMIFS(Tabela1[Reativa (kvarh)],Tabela1[data],A29)</f>
        <v>2321.3400000000006</v>
      </c>
      <c r="D29">
        <f t="shared" ca="1" si="9"/>
        <v>14.193899999999998</v>
      </c>
      <c r="E29">
        <f t="shared" ca="1" si="10"/>
        <v>2.3213400000000006</v>
      </c>
    </row>
    <row r="30" spans="1:5" x14ac:dyDescent="0.25">
      <c r="A30" s="1">
        <f ca="1">TODAY()-1</f>
        <v>46051</v>
      </c>
      <c r="B30">
        <f ca="1">SUMIFS(Tabela1[Ativa (kwh)],Tabela1[data],A30)</f>
        <v>13730.22</v>
      </c>
      <c r="C30">
        <f ca="1">SUMIFS(Tabela1[Reativa (kvarh)],Tabela1[data],A30)</f>
        <v>2350.3199999999997</v>
      </c>
      <c r="D30">
        <f t="shared" ca="1" si="9"/>
        <v>13.730219999999999</v>
      </c>
      <c r="E30">
        <f t="shared" ca="1" si="10"/>
        <v>2.3503199999999995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3"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46051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246.12</v>
      </c>
      <c r="D5" s="4">
        <f ca="1">C5/1000</f>
        <v>0.24612000000000001</v>
      </c>
    </row>
    <row r="6" spans="2:4" x14ac:dyDescent="0.25">
      <c r="B6" s="4">
        <v>2</v>
      </c>
      <c r="C6" s="4">
        <f ca="1">SUMIFS(Tabela1[Ativa (kwh)],Tabela1[data],$C$2,Tabela1[Hora],B6)</f>
        <v>238.56</v>
      </c>
      <c r="D6" s="4">
        <f t="shared" ref="D6:D28" ca="1" si="0">C6/1000</f>
        <v>0.23855999999999999</v>
      </c>
    </row>
    <row r="7" spans="2:4" x14ac:dyDescent="0.25">
      <c r="B7" s="4">
        <v>3</v>
      </c>
      <c r="C7" s="4">
        <f ca="1">SUMIFS(Tabela1[Ativa (kwh)],Tabela1[data],$C$2,Tabela1[Hora],B7)</f>
        <v>231</v>
      </c>
      <c r="D7" s="4">
        <f t="shared" ca="1" si="0"/>
        <v>0.23100000000000001</v>
      </c>
    </row>
    <row r="8" spans="2:4" x14ac:dyDescent="0.25">
      <c r="B8" s="4">
        <v>4</v>
      </c>
      <c r="C8" s="4">
        <f ca="1">SUMIFS(Tabela1[Ativa (kwh)],Tabela1[data],$C$2,Tabela1[Hora],B8)</f>
        <v>230.58</v>
      </c>
      <c r="D8" s="4">
        <f t="shared" ca="1" si="0"/>
        <v>0.23058000000000001</v>
      </c>
    </row>
    <row r="9" spans="2:4" x14ac:dyDescent="0.25">
      <c r="B9" s="4">
        <v>5</v>
      </c>
      <c r="C9" s="4">
        <f ca="1">SUMIFS(Tabela1[Ativa (kwh)],Tabela1[data],$C$2,Tabela1[Hora],B9)</f>
        <v>236.04</v>
      </c>
      <c r="D9" s="4">
        <f t="shared" ca="1" si="0"/>
        <v>0.23604</v>
      </c>
    </row>
    <row r="10" spans="2:4" x14ac:dyDescent="0.25">
      <c r="B10" s="4">
        <v>6</v>
      </c>
      <c r="C10" s="4">
        <f ca="1">SUMIFS(Tabela1[Ativa (kwh)],Tabela1[data],$C$2,Tabela1[Hora],B10)</f>
        <v>227.64</v>
      </c>
      <c r="D10" s="4">
        <f t="shared" ca="1" si="0"/>
        <v>0.22763999999999998</v>
      </c>
    </row>
    <row r="11" spans="2:4" x14ac:dyDescent="0.25">
      <c r="B11" s="4">
        <v>7</v>
      </c>
      <c r="C11" s="4">
        <f ca="1">SUMIFS(Tabela1[Ativa (kwh)],Tabela1[data],$C$2,Tabela1[Hora],B11)</f>
        <v>236.46</v>
      </c>
      <c r="D11" s="4">
        <f t="shared" ca="1" si="0"/>
        <v>0.23646</v>
      </c>
    </row>
    <row r="12" spans="2:4" x14ac:dyDescent="0.25">
      <c r="B12" s="4">
        <v>8</v>
      </c>
      <c r="C12" s="4">
        <f ca="1">SUMIFS(Tabela1[Ativa (kwh)],Tabela1[data],$C$2,Tabela1[Hora],B12)</f>
        <v>263.76</v>
      </c>
      <c r="D12" s="4">
        <f t="shared" ca="1" si="0"/>
        <v>0.26375999999999999</v>
      </c>
    </row>
    <row r="13" spans="2:4" x14ac:dyDescent="0.25">
      <c r="B13" s="4">
        <v>9</v>
      </c>
      <c r="C13" s="4">
        <f ca="1">SUMIFS(Tabela1[Ativa (kwh)],Tabela1[data],$C$2,Tabela1[Hora],B13)</f>
        <v>374.22</v>
      </c>
      <c r="D13" s="4">
        <f t="shared" ca="1" si="0"/>
        <v>0.37422000000000005</v>
      </c>
    </row>
    <row r="14" spans="2:4" x14ac:dyDescent="0.25">
      <c r="B14" s="4">
        <v>10</v>
      </c>
      <c r="C14" s="4">
        <f ca="1">SUMIFS(Tabela1[Ativa (kwh)],Tabela1[data],$C$2,Tabela1[Hora],B14)</f>
        <v>473.76</v>
      </c>
      <c r="D14" s="4">
        <f t="shared" ca="1" si="0"/>
        <v>0.47376000000000001</v>
      </c>
    </row>
    <row r="15" spans="2:4" x14ac:dyDescent="0.25">
      <c r="B15" s="4">
        <v>11</v>
      </c>
      <c r="C15" s="4">
        <f ca="1">SUMIFS(Tabela1[Ativa (kwh)],Tabela1[data],$C$2,Tabela1[Hora],B15)</f>
        <v>897.12</v>
      </c>
      <c r="D15" s="4">
        <f t="shared" ca="1" si="0"/>
        <v>0.89712000000000003</v>
      </c>
    </row>
    <row r="16" spans="2:4" x14ac:dyDescent="0.25">
      <c r="B16" s="4">
        <v>12</v>
      </c>
      <c r="C16" s="4">
        <f ca="1">SUMIFS(Tabela1[Ativa (kwh)],Tabela1[data],$C$2,Tabela1[Hora],B16)</f>
        <v>973.98</v>
      </c>
      <c r="D16" s="4">
        <f t="shared" ca="1" si="0"/>
        <v>0.97398000000000007</v>
      </c>
    </row>
    <row r="17" spans="2:4" x14ac:dyDescent="0.25">
      <c r="B17" s="4">
        <v>13</v>
      </c>
      <c r="C17" s="4">
        <f ca="1">SUMIFS(Tabela1[Ativa (kwh)],Tabela1[data],$C$2,Tabela1[Hora],B17)</f>
        <v>986.58</v>
      </c>
      <c r="D17" s="4">
        <f t="shared" ca="1" si="0"/>
        <v>0.98658000000000001</v>
      </c>
    </row>
    <row r="18" spans="2:4" x14ac:dyDescent="0.25">
      <c r="B18" s="4">
        <v>14</v>
      </c>
      <c r="C18" s="4">
        <f ca="1">SUMIFS(Tabela1[Ativa (kwh)],Tabela1[data],$C$2,Tabela1[Hora],B18)</f>
        <v>997.08</v>
      </c>
      <c r="D18" s="4">
        <f t="shared" ca="1" si="0"/>
        <v>0.99708000000000008</v>
      </c>
    </row>
    <row r="19" spans="2:4" x14ac:dyDescent="0.25">
      <c r="B19" s="4">
        <v>15</v>
      </c>
      <c r="C19" s="4">
        <f ca="1">SUMIFS(Tabela1[Ativa (kwh)],Tabela1[data],$C$2,Tabela1[Hora],B19)</f>
        <v>994.56</v>
      </c>
      <c r="D19" s="4">
        <f t="shared" ca="1" si="0"/>
        <v>0.99456</v>
      </c>
    </row>
    <row r="20" spans="2:4" x14ac:dyDescent="0.25">
      <c r="B20" s="4">
        <v>16</v>
      </c>
      <c r="C20" s="4">
        <f ca="1">SUMIFS(Tabela1[Ativa (kwh)],Tabela1[data],$C$2,Tabela1[Hora],B20)</f>
        <v>971.04</v>
      </c>
      <c r="D20" s="4">
        <f t="shared" ca="1" si="0"/>
        <v>0.97104000000000001</v>
      </c>
    </row>
    <row r="21" spans="2:4" x14ac:dyDescent="0.25">
      <c r="B21" s="4">
        <v>17</v>
      </c>
      <c r="C21" s="4">
        <f ca="1">SUMIFS(Tabela1[Ativa (kwh)],Tabela1[data],$C$2,Tabela1[Hora],B21)</f>
        <v>949.2</v>
      </c>
      <c r="D21" s="4">
        <f t="shared" ca="1" si="0"/>
        <v>0.94920000000000004</v>
      </c>
    </row>
    <row r="22" spans="2:4" x14ac:dyDescent="0.25">
      <c r="B22" s="4">
        <v>18</v>
      </c>
      <c r="C22" s="4">
        <f ca="1">SUMIFS(Tabela1[Ativa (kwh)],Tabela1[data],$C$2,Tabela1[Hora],B22)</f>
        <v>924</v>
      </c>
      <c r="D22" s="4">
        <f t="shared" ca="1" si="0"/>
        <v>0.92400000000000004</v>
      </c>
    </row>
    <row r="23" spans="2:4" x14ac:dyDescent="0.25">
      <c r="B23" s="4">
        <v>19</v>
      </c>
      <c r="C23" s="4">
        <f ca="1">SUMIFS(Tabela1[Ativa (kwh)],Tabela1[data],$C$2,Tabela1[Hora],B23)</f>
        <v>846.72</v>
      </c>
      <c r="D23" s="4">
        <f t="shared" ca="1" si="0"/>
        <v>0.84672000000000003</v>
      </c>
    </row>
    <row r="24" spans="2:4" x14ac:dyDescent="0.25">
      <c r="B24" s="4">
        <v>20</v>
      </c>
      <c r="C24" s="4">
        <f ca="1">SUMIFS(Tabela1[Ativa (kwh)],Tabela1[data],$C$2,Tabela1[Hora],B24)</f>
        <v>825.72</v>
      </c>
      <c r="D24" s="4">
        <f t="shared" ca="1" si="0"/>
        <v>0.82572000000000001</v>
      </c>
    </row>
    <row r="25" spans="2:4" x14ac:dyDescent="0.25">
      <c r="B25" s="4">
        <v>21</v>
      </c>
      <c r="C25" s="4">
        <f ca="1">SUMIFS(Tabela1[Ativa (kwh)],Tabela1[data],$C$2,Tabela1[Hora],B25)</f>
        <v>827.4</v>
      </c>
      <c r="D25" s="4">
        <f t="shared" ca="1" si="0"/>
        <v>0.82740000000000002</v>
      </c>
    </row>
    <row r="26" spans="2:4" x14ac:dyDescent="0.25">
      <c r="B26" s="4">
        <v>22</v>
      </c>
      <c r="C26" s="4">
        <f ca="1">SUMIFS(Tabela1[Ativa (kwh)],Tabela1[data],$C$2,Tabela1[Hora],B26)</f>
        <v>778.68</v>
      </c>
      <c r="D26" s="4">
        <f t="shared" ca="1" si="0"/>
        <v>0.77867999999999993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M28" sqref="M2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405994.25999999972</v>
      </c>
      <c r="E14">
        <f>D14/1000</f>
        <v>405.99425999999971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2026-01-30T13:13:57Z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