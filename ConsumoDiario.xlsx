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49" documentId="8_{8D12E28F-71B1-4F28-B6C5-4462CC8675C5}" xr6:coauthVersionLast="47" xr6:coauthVersionMax="47" xr10:uidLastSave="{1512B133-E79B-4F23-89ED-C751154FA071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69" i="1" l="1"/>
  <c r="H9769" i="1"/>
  <c r="I9768" i="1"/>
  <c r="H9768" i="1"/>
  <c r="I9767" i="1"/>
  <c r="H9767" i="1"/>
  <c r="I9766" i="1"/>
  <c r="H9766" i="1"/>
  <c r="I9765" i="1"/>
  <c r="H9765" i="1"/>
  <c r="I9764" i="1"/>
  <c r="H9764" i="1"/>
  <c r="I9763" i="1"/>
  <c r="H9763" i="1"/>
  <c r="I9762" i="1"/>
  <c r="H9762" i="1"/>
  <c r="I9761" i="1"/>
  <c r="H9761" i="1"/>
  <c r="I9760" i="1"/>
  <c r="H9760" i="1"/>
  <c r="I9759" i="1"/>
  <c r="H9759" i="1"/>
  <c r="I9758" i="1"/>
  <c r="H9758" i="1"/>
  <c r="I9757" i="1"/>
  <c r="H9757" i="1"/>
  <c r="I9756" i="1"/>
  <c r="H9756" i="1"/>
  <c r="I9755" i="1"/>
  <c r="H9755" i="1"/>
  <c r="I9754" i="1"/>
  <c r="H9754" i="1"/>
  <c r="I9753" i="1"/>
  <c r="H9753" i="1"/>
  <c r="I9752" i="1"/>
  <c r="H9752" i="1"/>
  <c r="I9751" i="1"/>
  <c r="H9751" i="1"/>
  <c r="I9750" i="1"/>
  <c r="H9750" i="1"/>
  <c r="I9749" i="1"/>
  <c r="H9749" i="1"/>
  <c r="I9748" i="1"/>
  <c r="H9748" i="1"/>
  <c r="I9747" i="1"/>
  <c r="H9747" i="1"/>
  <c r="I9746" i="1"/>
  <c r="H9746" i="1"/>
  <c r="I9745" i="1"/>
  <c r="H9745" i="1"/>
  <c r="I9744" i="1"/>
  <c r="H9744" i="1"/>
  <c r="I9743" i="1"/>
  <c r="H9743" i="1"/>
  <c r="I9742" i="1"/>
  <c r="H9742" i="1"/>
  <c r="I9741" i="1"/>
  <c r="H9741" i="1"/>
  <c r="I9740" i="1"/>
  <c r="H9740" i="1"/>
  <c r="I9739" i="1"/>
  <c r="H9739" i="1"/>
  <c r="I9738" i="1"/>
  <c r="H9738" i="1"/>
  <c r="I9737" i="1"/>
  <c r="H9737" i="1"/>
  <c r="I9736" i="1"/>
  <c r="H9736" i="1"/>
  <c r="I9735" i="1"/>
  <c r="H9735" i="1"/>
  <c r="I9734" i="1"/>
  <c r="H9734" i="1"/>
  <c r="I9733" i="1"/>
  <c r="H9733" i="1"/>
  <c r="I9732" i="1"/>
  <c r="H9732" i="1"/>
  <c r="I9731" i="1"/>
  <c r="H9731" i="1"/>
  <c r="I9730" i="1"/>
  <c r="H9730" i="1"/>
  <c r="I9729" i="1"/>
  <c r="H9729" i="1"/>
  <c r="I9728" i="1"/>
  <c r="H9728" i="1"/>
  <c r="I9727" i="1"/>
  <c r="H9727" i="1"/>
  <c r="I9726" i="1"/>
  <c r="H9726" i="1"/>
  <c r="I9725" i="1"/>
  <c r="H9725" i="1"/>
  <c r="I9724" i="1"/>
  <c r="H9724" i="1"/>
  <c r="I9723" i="1"/>
  <c r="H9723" i="1"/>
  <c r="I9722" i="1"/>
  <c r="H9722" i="1"/>
  <c r="I9721" i="1"/>
  <c r="H9721" i="1"/>
  <c r="I9720" i="1"/>
  <c r="H9720" i="1"/>
  <c r="I9719" i="1"/>
  <c r="H9719" i="1"/>
  <c r="I9718" i="1"/>
  <c r="H9718" i="1"/>
  <c r="I9717" i="1"/>
  <c r="H9717" i="1"/>
  <c r="I9716" i="1"/>
  <c r="H9716" i="1"/>
  <c r="I9715" i="1"/>
  <c r="H9715" i="1"/>
  <c r="I9714" i="1"/>
  <c r="H9714" i="1"/>
  <c r="I9713" i="1"/>
  <c r="H9713" i="1"/>
  <c r="I9712" i="1"/>
  <c r="H9712" i="1"/>
  <c r="I9711" i="1"/>
  <c r="H9711" i="1"/>
  <c r="I9710" i="1"/>
  <c r="H9710" i="1"/>
  <c r="I9709" i="1"/>
  <c r="H9709" i="1"/>
  <c r="I9708" i="1"/>
  <c r="H9708" i="1"/>
  <c r="I9707" i="1"/>
  <c r="H9707" i="1"/>
  <c r="I9706" i="1"/>
  <c r="H9706" i="1"/>
  <c r="I9705" i="1"/>
  <c r="H9705" i="1"/>
  <c r="I9704" i="1"/>
  <c r="H9704" i="1"/>
  <c r="I9703" i="1"/>
  <c r="H9703" i="1"/>
  <c r="I9702" i="1"/>
  <c r="H9702" i="1"/>
  <c r="I9701" i="1"/>
  <c r="H9701" i="1"/>
  <c r="I9700" i="1"/>
  <c r="H9700" i="1"/>
  <c r="I9699" i="1"/>
  <c r="H9699" i="1"/>
  <c r="I9698" i="1"/>
  <c r="H9698" i="1"/>
  <c r="I9697" i="1"/>
  <c r="H9697" i="1"/>
  <c r="I9696" i="1"/>
  <c r="H9696" i="1"/>
  <c r="I9695" i="1"/>
  <c r="H9695" i="1"/>
  <c r="I9694" i="1"/>
  <c r="H9694" i="1"/>
  <c r="I9693" i="1"/>
  <c r="H9693" i="1"/>
  <c r="I9692" i="1"/>
  <c r="H9692" i="1"/>
  <c r="I9691" i="1"/>
  <c r="H9691" i="1"/>
  <c r="I9690" i="1"/>
  <c r="H9690" i="1"/>
  <c r="I9689" i="1"/>
  <c r="H9689" i="1"/>
  <c r="I9688" i="1"/>
  <c r="H9688" i="1"/>
  <c r="I9687" i="1"/>
  <c r="H9687" i="1"/>
  <c r="I9686" i="1"/>
  <c r="H9686" i="1"/>
  <c r="I9685" i="1"/>
  <c r="H9685" i="1"/>
  <c r="I9684" i="1"/>
  <c r="H9684" i="1"/>
  <c r="I9683" i="1"/>
  <c r="H9683" i="1"/>
  <c r="I9682" i="1"/>
  <c r="H9682" i="1"/>
  <c r="I9681" i="1"/>
  <c r="H9681" i="1"/>
  <c r="I9680" i="1"/>
  <c r="H9680" i="1"/>
  <c r="I9679" i="1"/>
  <c r="H9679" i="1"/>
  <c r="I9678" i="1"/>
  <c r="H9678" i="1"/>
  <c r="I9677" i="1"/>
  <c r="H9677" i="1"/>
  <c r="I9676" i="1"/>
  <c r="H9676" i="1"/>
  <c r="I9675" i="1"/>
  <c r="H9675" i="1"/>
  <c r="I9674" i="1"/>
  <c r="H9674" i="1"/>
  <c r="I9673" i="1"/>
  <c r="H9673" i="1"/>
  <c r="I9672" i="1"/>
  <c r="H9672" i="1"/>
  <c r="I9671" i="1"/>
  <c r="H9671" i="1"/>
  <c r="I9670" i="1"/>
  <c r="H9670" i="1"/>
  <c r="I9669" i="1"/>
  <c r="H9669" i="1"/>
  <c r="I9668" i="1"/>
  <c r="H9668" i="1"/>
  <c r="I9667" i="1"/>
  <c r="H9667" i="1"/>
  <c r="I9666" i="1"/>
  <c r="H9666" i="1"/>
  <c r="I9665" i="1"/>
  <c r="H9665" i="1"/>
  <c r="I9664" i="1"/>
  <c r="H9664" i="1"/>
  <c r="I9663" i="1"/>
  <c r="H9663" i="1"/>
  <c r="I9662" i="1"/>
  <c r="H9662" i="1"/>
  <c r="I9661" i="1"/>
  <c r="H9661" i="1"/>
  <c r="I9660" i="1"/>
  <c r="H9660" i="1"/>
  <c r="I9659" i="1"/>
  <c r="H9659" i="1"/>
  <c r="I9658" i="1"/>
  <c r="H9658" i="1"/>
  <c r="I9657" i="1"/>
  <c r="H9657" i="1"/>
  <c r="I9656" i="1"/>
  <c r="H9656" i="1"/>
  <c r="I9655" i="1"/>
  <c r="H9655" i="1"/>
  <c r="I9654" i="1"/>
  <c r="H9654" i="1"/>
  <c r="I9653" i="1"/>
  <c r="H9653" i="1"/>
  <c r="I9652" i="1"/>
  <c r="H9652" i="1"/>
  <c r="I9651" i="1"/>
  <c r="H9651" i="1"/>
  <c r="I9650" i="1"/>
  <c r="H9650" i="1"/>
  <c r="I9649" i="1"/>
  <c r="H9649" i="1"/>
  <c r="I9648" i="1"/>
  <c r="H9648" i="1"/>
  <c r="I9647" i="1"/>
  <c r="H9647" i="1"/>
  <c r="I9646" i="1"/>
  <c r="H9646" i="1"/>
  <c r="I9645" i="1"/>
  <c r="H9645" i="1"/>
  <c r="I9644" i="1"/>
  <c r="H9644" i="1"/>
  <c r="I9643" i="1"/>
  <c r="H9643" i="1"/>
  <c r="I9642" i="1"/>
  <c r="H9642" i="1"/>
  <c r="I9641" i="1"/>
  <c r="H9641" i="1"/>
  <c r="I9640" i="1"/>
  <c r="H9640" i="1"/>
  <c r="I9639" i="1"/>
  <c r="H9639" i="1"/>
  <c r="I9638" i="1"/>
  <c r="H9638" i="1"/>
  <c r="I9637" i="1"/>
  <c r="H9637" i="1"/>
  <c r="I9636" i="1"/>
  <c r="H9636" i="1"/>
  <c r="I9635" i="1"/>
  <c r="H9635" i="1"/>
  <c r="I9634" i="1"/>
  <c r="H9634" i="1"/>
  <c r="I9633" i="1"/>
  <c r="H9633" i="1"/>
  <c r="I9632" i="1"/>
  <c r="H9632" i="1"/>
  <c r="I9631" i="1"/>
  <c r="H9631" i="1"/>
  <c r="I9630" i="1"/>
  <c r="H9630" i="1"/>
  <c r="I9629" i="1"/>
  <c r="H9629" i="1"/>
  <c r="I9628" i="1"/>
  <c r="H9628" i="1"/>
  <c r="I9627" i="1"/>
  <c r="H9627" i="1"/>
  <c r="I9626" i="1"/>
  <c r="H9626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D15" i="4" s="1"/>
  <c r="E15" i="4" s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<sst xmlns="http://schemas.openxmlformats.org/spreadsheetml/2006/main" count="37343" uniqueCount="46">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</sst>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718" workbookViewId="0">
      <selection activeCell="F9772" sqref="F9772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F9746" t="s">
        <v>44</v>
      </c>
      <c r="G9746" t="s">
        <v>45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F9747" t="s">
        <v>44</v>
      </c>
      <c r="G9747" t="s">
        <v>45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F9748" t="s">
        <v>44</v>
      </c>
      <c r="G9748" t="s">
        <v>45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F9749" t="s">
        <v>44</v>
      </c>
      <c r="G9749" t="s">
        <v>45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F9750" t="s">
        <v>44</v>
      </c>
      <c r="G9750" t="s">
        <v>45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F9751" t="s">
        <v>44</v>
      </c>
      <c r="G9751" t="s">
        <v>45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F9752" t="s">
        <v>44</v>
      </c>
      <c r="G9752" t="s">
        <v>45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F9753" t="s">
        <v>44</v>
      </c>
      <c r="G9753" t="s">
        <v>45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F9754" t="s">
        <v>44</v>
      </c>
      <c r="G9754" t="s">
        <v>45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F9755" t="s">
        <v>44</v>
      </c>
      <c r="G9755" t="s">
        <v>45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F9756" t="s">
        <v>44</v>
      </c>
      <c r="G9756" t="s">
        <v>45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F9757" t="s">
        <v>44</v>
      </c>
      <c r="G9757" t="s">
        <v>45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F9758" t="s">
        <v>44</v>
      </c>
      <c r="G9758" t="s">
        <v>45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F9759" t="s">
        <v>44</v>
      </c>
      <c r="G9759" t="s">
        <v>45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F9760" t="s">
        <v>44</v>
      </c>
      <c r="G9760" t="s">
        <v>45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F9761" t="s">
        <v>44</v>
      </c>
      <c r="G9761" t="s">
        <v>45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F9762" t="s">
        <v>44</v>
      </c>
      <c r="G9762" t="s">
        <v>45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F9763" t="s">
        <v>44</v>
      </c>
      <c r="G9763" t="s">
        <v>45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F9764" t="s">
        <v>44</v>
      </c>
      <c r="G9764" t="s">
        <v>45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F9765" t="s">
        <v>44</v>
      </c>
      <c r="G9765" t="s">
        <v>45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F9766" t="s">
        <v>44</v>
      </c>
      <c r="G9766" t="s">
        <v>45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F9767" t="s">
        <v>44</v>
      </c>
      <c r="G9767" t="s">
        <v>45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F9768" t="s">
        <v>44</v>
      </c>
      <c r="G9768" t="s">
        <v>45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F9769" t="s">
        <v>44</v>
      </c>
      <c r="G9769" t="s">
        <v>45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B9770" s="1"/>
      <c r="H9770" s="5"/>
    </row>
    <row r="9771" spans="1:9" x14ac:dyDescent="0.25">
      <c r="B9771" s="1"/>
      <c r="H9771" s="5"/>
    </row>
    <row r="9772" spans="1:9" x14ac:dyDescent="0.25">
      <c r="B9772" s="1"/>
      <c r="H9772" s="5"/>
    </row>
    <row r="9773" spans="1:9" x14ac:dyDescent="0.25">
      <c r="B9773" s="1"/>
      <c r="H9773" s="5"/>
    </row>
    <row r="9774" spans="1:9" x14ac:dyDescent="0.25">
      <c r="B9774" s="1"/>
      <c r="H9774" s="5"/>
    </row>
    <row r="9775" spans="1:9" x14ac:dyDescent="0.25">
      <c r="B9775" s="1"/>
      <c r="H9775" s="5"/>
    </row>
    <row r="9776" spans="1:9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46036</v>
      </c>
      <c r="B2">
        <f ca="1">SUMIFS(Tabela1[Ativa (kwh)],Tabela1[data],A2)</f>
        <v>13618.079999999998</v>
      </c>
      <c r="C2">
        <f ca="1">SUMIFS(Tabela1[Reativa (kvarh)],Tabela1[data],A2)</f>
        <v>2440.62</v>
      </c>
      <c r="D2">
        <f t="shared" ref="D2" ca="1" si="1">B2/1000</f>
        <v>13.618079999999997</v>
      </c>
      <c r="E2">
        <f t="shared" ref="E2" ca="1" si="2">C2/1000</f>
        <v>2.44062</v>
      </c>
    </row>
    <row r="3" spans="1:5" x14ac:dyDescent="0.25">
      <c r="A3" s="1">
        <f t="shared" ca="1" si="0"/>
        <v>46037</v>
      </c>
      <c r="B3">
        <f ca="1">SUMIFS(Tabela1[Ativa (kwh)],Tabela1[data],A3)</f>
        <v>15137.640000000001</v>
      </c>
      <c r="C3">
        <f ca="1">SUMIFS(Tabela1[Reativa (kvarh)],Tabela1[data],A3)</f>
        <v>3173.0999999999995</v>
      </c>
      <c r="D3">
        <f t="shared" ref="D3" ca="1" si="3">B3/1000</f>
        <v>15.137640000000001</v>
      </c>
      <c r="E3">
        <f t="shared" ref="E3" ca="1" si="4">C3/1000</f>
        <v>3.1730999999999994</v>
      </c>
    </row>
    <row r="4" spans="1:5" x14ac:dyDescent="0.25">
      <c r="A4" s="1">
        <f t="shared" ca="1" si="0"/>
        <v>46038</v>
      </c>
      <c r="B4">
        <f ca="1">SUMIFS(Tabela1[Ativa (kwh)],Tabela1[data],A4)</f>
        <v>14939.820000000002</v>
      </c>
      <c r="C4">
        <f ca="1">SUMIFS(Tabela1[Reativa (kvarh)],Tabela1[data],A4)</f>
        <v>3063.48</v>
      </c>
      <c r="D4">
        <f t="shared" ref="D4:D20" ca="1" si="5">B4/1000</f>
        <v>14.939820000000001</v>
      </c>
      <c r="E4">
        <f t="shared" ref="E4:E20" ca="1" si="6">C4/1000</f>
        <v>3.0634800000000002</v>
      </c>
    </row>
    <row r="5" spans="1:5" x14ac:dyDescent="0.25">
      <c r="A5" s="1">
        <f t="shared" ca="1" si="0"/>
        <v>46039</v>
      </c>
      <c r="B5">
        <f ca="1">SUMIFS(Tabela1[Ativa (kwh)],Tabela1[data],A5)</f>
        <v>14940.660000000002</v>
      </c>
      <c r="C5">
        <f ca="1">SUMIFS(Tabela1[Reativa (kvarh)],Tabela1[data],A5)</f>
        <v>2964.78</v>
      </c>
      <c r="D5">
        <f t="shared" ca="1" si="5"/>
        <v>14.940660000000001</v>
      </c>
      <c r="E5">
        <f t="shared" ca="1" si="6"/>
        <v>2.9647800000000002</v>
      </c>
    </row>
    <row r="6" spans="1:5" x14ac:dyDescent="0.25">
      <c r="A6" s="1">
        <f t="shared" ca="1" si="0"/>
        <v>46040</v>
      </c>
      <c r="B6">
        <f ca="1">SUMIFS(Tabela1[Ativa (kwh)],Tabela1[data],A6)</f>
        <v>14079.660000000002</v>
      </c>
      <c r="C6">
        <f ca="1">SUMIFS(Tabela1[Reativa (kvarh)],Tabela1[data],A6)</f>
        <v>2550.2399999999998</v>
      </c>
      <c r="D6">
        <f t="shared" ca="1" si="5"/>
        <v>14.079660000000002</v>
      </c>
      <c r="E6">
        <f t="shared" ca="1" si="6"/>
        <v>2.5502399999999996</v>
      </c>
    </row>
    <row r="7" spans="1:5" x14ac:dyDescent="0.25">
      <c r="A7" s="1">
        <f t="shared" ca="1" si="0"/>
        <v>46041</v>
      </c>
      <c r="B7">
        <f ca="1">SUMIFS(Tabela1[Ativa (kwh)],Tabela1[data],A7)</f>
        <v>14305.62</v>
      </c>
      <c r="C7">
        <f ca="1">SUMIFS(Tabela1[Reativa (kvarh)],Tabela1[data],A7)</f>
        <v>2668.26</v>
      </c>
      <c r="D7">
        <f t="shared" ca="1" si="5"/>
        <v>14.305620000000001</v>
      </c>
      <c r="E7">
        <f t="shared" ca="1" si="6"/>
        <v>2.6682600000000001</v>
      </c>
    </row>
    <row r="8" spans="1:5" x14ac:dyDescent="0.25">
      <c r="A8" s="1">
        <f t="shared" ca="1" si="0"/>
        <v>46042</v>
      </c>
      <c r="B8">
        <f ca="1">SUMIFS(Tabela1[Ativa (kwh)],Tabela1[data],A8)</f>
        <v>12807.479999999998</v>
      </c>
      <c r="C8">
        <f ca="1">SUMIFS(Tabela1[Reativa (kvarh)],Tabela1[data],A8)</f>
        <v>1900.5</v>
      </c>
      <c r="D8">
        <f t="shared" ca="1" si="5"/>
        <v>12.807479999999998</v>
      </c>
      <c r="E8">
        <f t="shared" ca="1" si="6"/>
        <v>1.9005000000000001</v>
      </c>
    </row>
    <row r="9" spans="1:5" x14ac:dyDescent="0.25">
      <c r="A9" s="1">
        <f t="shared" ca="1" si="0"/>
        <v>46043</v>
      </c>
      <c r="B9">
        <f ca="1">SUMIFS(Tabela1[Ativa (kwh)],Tabela1[data],A9)</f>
        <v>12381.18</v>
      </c>
      <c r="C9">
        <f ca="1">SUMIFS(Tabela1[Reativa (kvarh)],Tabela1[data],A9)</f>
        <v>1631.28</v>
      </c>
      <c r="D9">
        <f t="shared" ca="1" si="5"/>
        <v>12.381180000000001</v>
      </c>
      <c r="E9">
        <f t="shared" ca="1" si="6"/>
        <v>1.6312800000000001</v>
      </c>
    </row>
    <row r="10" spans="1:5" x14ac:dyDescent="0.25">
      <c r="A10" s="1">
        <f t="shared" ca="1" si="0"/>
        <v>46044</v>
      </c>
      <c r="B10">
        <f ca="1">SUMIFS(Tabela1[Ativa (kwh)],Tabela1[data],A10)</f>
        <v>12840.659999999998</v>
      </c>
      <c r="C10">
        <f ca="1">SUMIFS(Tabela1[Reativa (kvarh)],Tabela1[data],A10)</f>
        <v>1766.9399999999998</v>
      </c>
      <c r="D10">
        <f t="shared" ca="1" si="5"/>
        <v>12.840659999999998</v>
      </c>
      <c r="E10">
        <f t="shared" ca="1" si="6"/>
        <v>1.7669399999999997</v>
      </c>
    </row>
    <row r="11" spans="1:5" x14ac:dyDescent="0.25">
      <c r="A11" s="1">
        <f t="shared" ca="1" si="0"/>
        <v>46045</v>
      </c>
      <c r="B11">
        <f ca="1">SUMIFS(Tabela1[Ativa (kwh)],Tabela1[data],A11)</f>
        <v>13196.400000000001</v>
      </c>
      <c r="C11">
        <f ca="1">SUMIFS(Tabela1[Reativa (kvarh)],Tabela1[data],A11)</f>
        <v>1843.8000000000002</v>
      </c>
      <c r="D11">
        <f t="shared" ca="1" si="5"/>
        <v>13.196400000000001</v>
      </c>
      <c r="E11">
        <f t="shared" ca="1" si="6"/>
        <v>1.8438000000000001</v>
      </c>
    </row>
    <row r="12" spans="1:5" x14ac:dyDescent="0.25">
      <c r="A12" s="1">
        <f t="shared" ca="1" si="0"/>
        <v>46046</v>
      </c>
      <c r="B12">
        <f ca="1">SUMIFS(Tabela1[Ativa (kwh)],Tabela1[data],A12)</f>
        <v>13135.08</v>
      </c>
      <c r="C12">
        <f ca="1">SUMIFS(Tabela1[Reativa (kvarh)],Tabela1[data],A12)</f>
        <v>1895.8800000000003</v>
      </c>
      <c r="D12">
        <f t="shared" ca="1" si="5"/>
        <v>13.13508</v>
      </c>
      <c r="E12">
        <f t="shared" ca="1" si="6"/>
        <v>1.8958800000000002</v>
      </c>
    </row>
    <row r="13" spans="1:5" x14ac:dyDescent="0.25">
      <c r="A13" s="1">
        <f t="shared" ca="1" si="0"/>
        <v>46047</v>
      </c>
      <c r="B13">
        <f ca="1">SUMIFS(Tabela1[Ativa (kwh)],Tabela1[data],A13)</f>
        <v>12241.32</v>
      </c>
      <c r="C13">
        <f ca="1">SUMIFS(Tabela1[Reativa (kvarh)],Tabela1[data],A13)</f>
        <v>1618.68</v>
      </c>
      <c r="D13">
        <f t="shared" ca="1" si="5"/>
        <v>12.24132</v>
      </c>
      <c r="E13">
        <f t="shared" ca="1" si="6"/>
        <v>1.6186800000000001</v>
      </c>
    </row>
    <row r="14" spans="1:5" x14ac:dyDescent="0.25">
      <c r="A14" s="1">
        <f t="shared" ref="A14:A20" ca="1" si="7">A15-1</f>
        <v>46048</v>
      </c>
      <c r="B14">
        <f ca="1">SUMIFS(Tabela1[Ativa (kwh)],Tabela1[data],A14)</f>
        <v>13613.039999999999</v>
      </c>
      <c r="C14">
        <f ca="1">SUMIFS(Tabela1[Reativa (kvarh)],Tabela1[data],A14)</f>
        <v>2065.1400000000003</v>
      </c>
      <c r="D14">
        <f t="shared" ca="1" si="5"/>
        <v>13.61304</v>
      </c>
      <c r="E14">
        <f t="shared" ca="1" si="6"/>
        <v>2.0651400000000004</v>
      </c>
    </row>
    <row r="15" spans="1:5" x14ac:dyDescent="0.25">
      <c r="A15" s="1">
        <f t="shared" ca="1" si="7"/>
        <v>46049</v>
      </c>
      <c r="B15">
        <f ca="1">SUMIFS(Tabela1[Ativa (kwh)],Tabela1[data],A15)</f>
        <v>14142.659999999998</v>
      </c>
      <c r="C15">
        <f ca="1">SUMIFS(Tabela1[Reativa (kvarh)],Tabela1[data],A15)</f>
        <v>2213.4</v>
      </c>
      <c r="D15">
        <f t="shared" ca="1" si="5"/>
        <v>14.142659999999998</v>
      </c>
      <c r="E15">
        <f t="shared" ca="1" si="6"/>
        <v>2.2134</v>
      </c>
    </row>
    <row r="16" spans="1:5" x14ac:dyDescent="0.25">
      <c r="A16" s="1">
        <f t="shared" ca="1" si="7"/>
        <v>46050</v>
      </c>
      <c r="B16">
        <f ca="1">SUMIFS(Tabela1[Ativa (kwh)],Tabela1[data],A16)</f>
        <v>14193.899999999998</v>
      </c>
      <c r="C16">
        <f ca="1">SUMIFS(Tabela1[Reativa (kvarh)],Tabela1[data],A16)</f>
        <v>2321.3400000000006</v>
      </c>
      <c r="D16">
        <f t="shared" ca="1" si="5"/>
        <v>14.193899999999998</v>
      </c>
      <c r="E16">
        <f t="shared" ca="1" si="6"/>
        <v>2.3213400000000006</v>
      </c>
    </row>
    <row r="17" spans="1:5" x14ac:dyDescent="0.25">
      <c r="A17" s="1">
        <f t="shared" ca="1" si="7"/>
        <v>46051</v>
      </c>
      <c r="B17">
        <f ca="1">SUMIFS(Tabela1[Ativa (kwh)],Tabela1[data],A17)</f>
        <v>14400.539999999999</v>
      </c>
      <c r="C17">
        <f ca="1">SUMIFS(Tabela1[Reativa (kvarh)],Tabela1[data],A17)</f>
        <v>2362.4999999999995</v>
      </c>
      <c r="D17">
        <f t="shared" ca="1" si="5"/>
        <v>14.400539999999999</v>
      </c>
      <c r="E17">
        <f t="shared" ca="1" si="6"/>
        <v>2.3624999999999994</v>
      </c>
    </row>
    <row r="18" spans="1:5" x14ac:dyDescent="0.25">
      <c r="A18" s="1">
        <f t="shared" ca="1" si="7"/>
        <v>46052</v>
      </c>
      <c r="B18">
        <f ca="1">SUMIFS(Tabela1[Ativa (kwh)],Tabela1[data],A18)</f>
        <v>14121.660000000002</v>
      </c>
      <c r="C18">
        <f ca="1">SUMIFS(Tabela1[Reativa (kvarh)],Tabela1[data],A18)</f>
        <v>2515.8000000000002</v>
      </c>
      <c r="D18">
        <f t="shared" ca="1" si="5"/>
        <v>14.121660000000002</v>
      </c>
      <c r="E18">
        <f t="shared" ca="1" si="6"/>
        <v>2.5158</v>
      </c>
    </row>
    <row r="19" spans="1:5" x14ac:dyDescent="0.25">
      <c r="A19" s="1">
        <f t="shared" ca="1" si="7"/>
        <v>46053</v>
      </c>
      <c r="B19">
        <f ca="1">SUMIFS(Tabela1[Ativa (kwh)],Tabela1[data],A19)</f>
        <v>14013.720000000001</v>
      </c>
      <c r="C19">
        <f ca="1">SUMIFS(Tabela1[Reativa (kvarh)],Tabela1[data],A19)</f>
        <v>2095.8000000000002</v>
      </c>
      <c r="D19">
        <f t="shared" ca="1" si="5"/>
        <v>14.013720000000001</v>
      </c>
      <c r="E19">
        <f t="shared" ca="1" si="6"/>
        <v>2.0958000000000001</v>
      </c>
    </row>
    <row r="20" spans="1:5" x14ac:dyDescent="0.25">
      <c r="A20" s="1">
        <f t="shared" ca="1" si="7"/>
        <v>46054</v>
      </c>
      <c r="B20">
        <f ca="1">SUMIFS(Tabela1[Ativa (kwh)],Tabela1[data],A20)</f>
        <v>12420.239999999998</v>
      </c>
      <c r="C20">
        <f ca="1">SUMIFS(Tabela1[Reativa (kvarh)],Tabela1[data],A20)</f>
        <v>1626.24</v>
      </c>
      <c r="D20">
        <f t="shared" ca="1" si="5"/>
        <v>12.420239999999998</v>
      </c>
      <c r="E20">
        <f t="shared" ca="1" si="6"/>
        <v>1.6262399999999999</v>
      </c>
    </row>
    <row r="21" spans="1:5" x14ac:dyDescent="0.25">
      <c r="A21" s="1">
        <f t="shared" ref="A21:A26" ca="1" si="8">A22-1</f>
        <v>46055</v>
      </c>
      <c r="B21">
        <f ca="1">SUMIFS(Tabela1[Ativa (kwh)],Tabela1[data],A21)</f>
        <v>13443.359999999999</v>
      </c>
      <c r="C21">
        <f ca="1">SUMIFS(Tabela1[Reativa (kvarh)],Tabela1[data],A21)</f>
        <v>2128.14</v>
      </c>
      <c r="D21">
        <f ca="1">B21/1000</f>
        <v>13.443359999999998</v>
      </c>
      <c r="E21">
        <f ca="1">C21/1000</f>
        <v>2.1281399999999997</v>
      </c>
    </row>
    <row r="22" spans="1:5" x14ac:dyDescent="0.25">
      <c r="A22" s="1">
        <f t="shared" ca="1" si="8"/>
        <v>46056</v>
      </c>
      <c r="B22">
        <f ca="1">SUMIFS(Tabela1[Ativa (kwh)],Tabela1[data],A22)</f>
        <v>14899.92</v>
      </c>
      <c r="C22">
        <f ca="1">SUMIFS(Tabela1[Reativa (kvarh)],Tabela1[data],A22)</f>
        <v>2819.4600000000005</v>
      </c>
      <c r="D22">
        <f t="shared" ref="D22:D30" ca="1" si="9">B22/1000</f>
        <v>14.89992</v>
      </c>
      <c r="E22">
        <f t="shared" ref="E22:E30" ca="1" si="10">C22/1000</f>
        <v>2.8194600000000003</v>
      </c>
    </row>
    <row r="23" spans="1:5" x14ac:dyDescent="0.25">
      <c r="A23" s="1">
        <f t="shared" ca="1" si="8"/>
        <v>46057</v>
      </c>
      <c r="B23">
        <f ca="1">SUMIFS(Tabela1[Ativa (kwh)],Tabela1[data],A23)</f>
        <v>13592.880000000001</v>
      </c>
      <c r="C23">
        <f ca="1">SUMIFS(Tabela1[Reativa (kvarh)],Tabela1[data],A23)</f>
        <v>2151.2400000000002</v>
      </c>
      <c r="D23">
        <f t="shared" ca="1" si="9"/>
        <v>13.592880000000001</v>
      </c>
      <c r="E23">
        <f t="shared" ca="1" si="10"/>
        <v>2.15124</v>
      </c>
    </row>
    <row r="24" spans="1:5" x14ac:dyDescent="0.25">
      <c r="A24" s="1">
        <f t="shared" ca="1" si="8"/>
        <v>46058</v>
      </c>
      <c r="B24">
        <f ca="1">SUMIFS(Tabela1[Ativa (kwh)],Tabela1[data],A24)</f>
        <v>14730.240000000003</v>
      </c>
      <c r="C24">
        <f ca="1">SUMIFS(Tabela1[Reativa (kvarh)],Tabela1[data],A24)</f>
        <v>2797.2</v>
      </c>
      <c r="D24">
        <f t="shared" ca="1" si="9"/>
        <v>14.730240000000004</v>
      </c>
      <c r="E24">
        <f t="shared" ca="1" si="10"/>
        <v>2.7971999999999997</v>
      </c>
    </row>
    <row r="25" spans="1:5" x14ac:dyDescent="0.25">
      <c r="A25" s="1">
        <f t="shared" ca="1" si="8"/>
        <v>46059</v>
      </c>
      <c r="B25">
        <f ca="1">SUMIFS(Tabela1[Ativa (kwh)],Tabela1[data],A25)</f>
        <v>14102.339999999998</v>
      </c>
      <c r="C25">
        <f ca="1">SUMIFS(Tabela1[Reativa (kvarh)],Tabela1[data],A25)</f>
        <v>2479.6800000000003</v>
      </c>
      <c r="D25">
        <f t="shared" ca="1" si="9"/>
        <v>14.102339999999998</v>
      </c>
      <c r="E25">
        <f t="shared" ca="1" si="10"/>
        <v>2.4796800000000001</v>
      </c>
    </row>
    <row r="26" spans="1:5" x14ac:dyDescent="0.25">
      <c r="A26" s="1">
        <f t="shared" ca="1" si="8"/>
        <v>46060</v>
      </c>
      <c r="B26">
        <f ca="1">SUMIFS(Tabela1[Ativa (kwh)],Tabela1[data],A26)</f>
        <v>14551.739999999998</v>
      </c>
      <c r="C26">
        <f ca="1">SUMIFS(Tabela1[Reativa (kvarh)],Tabela1[data],A26)</f>
        <v>2609.46</v>
      </c>
      <c r="D26">
        <f t="shared" ca="1" si="9"/>
        <v>14.551739999999999</v>
      </c>
      <c r="E26">
        <f t="shared" ca="1" si="10"/>
        <v>2.6094599999999999</v>
      </c>
    </row>
    <row r="27" spans="1:5" x14ac:dyDescent="0.25">
      <c r="A27" s="1">
        <f ca="1">A28-1</f>
        <v>46061</v>
      </c>
      <c r="B27">
        <f ca="1">SUMIFS(Tabela1[Ativa (kwh)],Tabela1[data],A27)</f>
        <v>10849.439999999999</v>
      </c>
      <c r="C27">
        <f ca="1">SUMIFS(Tabela1[Reativa (kvarh)],Tabela1[data],A27)</f>
        <v>1142.82</v>
      </c>
      <c r="D27">
        <f t="shared" ca="1" si="9"/>
        <v>10.84944</v>
      </c>
      <c r="E27">
        <f t="shared" ca="1" si="10"/>
        <v>1.1428199999999999</v>
      </c>
    </row>
    <row r="28" spans="1:5" x14ac:dyDescent="0.25">
      <c r="A28" s="1">
        <f ca="1">A29-1</f>
        <v>46062</v>
      </c>
      <c r="B28">
        <f ca="1">SUMIFS(Tabela1[Ativa (kwh)],Tabela1[data],A28)</f>
        <v>13959.96</v>
      </c>
      <c r="C28">
        <f ca="1">SUMIFS(Tabela1[Reativa (kvarh)],Tabela1[data],A28)</f>
        <v>2362.08</v>
      </c>
      <c r="D28">
        <f t="shared" ca="1" si="9"/>
        <v>13.959959999999999</v>
      </c>
      <c r="E28">
        <f t="shared" ca="1" si="10"/>
        <v>2.3620799999999997</v>
      </c>
    </row>
    <row r="29" spans="1:5" x14ac:dyDescent="0.25">
      <c r="A29" s="1">
        <f ca="1">A30-1</f>
        <v>46063</v>
      </c>
      <c r="B29">
        <f ca="1">SUMIFS(Tabela1[Ativa (kwh)],Tabela1[data],A29)</f>
        <v>13565.580000000002</v>
      </c>
      <c r="C29">
        <f ca="1">SUMIFS(Tabela1[Reativa (kvarh)],Tabela1[data],A29)</f>
        <v>2019.3600000000001</v>
      </c>
      <c r="D29">
        <f t="shared" ca="1" si="9"/>
        <v>13.565580000000002</v>
      </c>
      <c r="E29">
        <f t="shared" ca="1" si="10"/>
        <v>2.0193600000000003</v>
      </c>
    </row>
    <row r="30" spans="1:5" x14ac:dyDescent="0.25">
      <c r="A30" s="1">
        <f ca="1">TODAY()-1</f>
        <v>46064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46064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K22" sqref="K22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136115.7000000001</v>
      </c>
      <c r="E15">
        <f>D15/1000</f>
        <v>136.11570000000009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2026-02-12T12:28:50Z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