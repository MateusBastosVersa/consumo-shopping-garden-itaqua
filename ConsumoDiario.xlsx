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.sharepoint.com/sites/NovaVersaEnergia/Documentos Compartilhados/09_Equipe e Administrativo/Mateus/PYTHON/ConsumoITQ/"/>
    </mc:Choice>
  </mc:AlternateContent>
  <xr:revisionPtr revIDLastSave="92" documentId="8_{8D12E28F-71B1-4F28-B6C5-4462CC8675C5}" xr6:coauthVersionLast="47" xr6:coauthVersionMax="47" xr10:uidLastSave="{CABEBA2F-D5C5-4D57-A283-E3497BCB2D3C}"/>
  <bookViews>
    <workbookView xWindow="-120" yWindow="-120" windowWidth="51840" windowHeight="21120" activeTab="3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610" i="1" l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465" i="1"/>
  <c r="H10465" i="1"/>
  <c r="I10464" i="1"/>
  <c r="H10464" i="1"/>
  <c r="I10463" i="1"/>
  <c r="H10463" i="1"/>
  <c r="I10462" i="1"/>
  <c r="H10462" i="1"/>
  <c r="I10461" i="1"/>
  <c r="H10461" i="1"/>
  <c r="I10460" i="1"/>
  <c r="H10460" i="1"/>
  <c r="I10459" i="1"/>
  <c r="H10459" i="1"/>
  <c r="I10458" i="1"/>
  <c r="H10458" i="1"/>
  <c r="I10457" i="1"/>
  <c r="H10457" i="1"/>
  <c r="I10456" i="1"/>
  <c r="H10456" i="1"/>
  <c r="I10455" i="1"/>
  <c r="H10455" i="1"/>
  <c r="I10454" i="1"/>
  <c r="H10454" i="1"/>
  <c r="I10453" i="1"/>
  <c r="H10453" i="1"/>
  <c r="I10452" i="1"/>
  <c r="H10452" i="1"/>
  <c r="I10451" i="1"/>
  <c r="H10451" i="1"/>
  <c r="I10450" i="1"/>
  <c r="H10450" i="1"/>
  <c r="I10449" i="1"/>
  <c r="H10449" i="1"/>
  <c r="I10448" i="1"/>
  <c r="H10448" i="1"/>
  <c r="I10447" i="1"/>
  <c r="H10447" i="1"/>
  <c r="I10446" i="1"/>
  <c r="H10446" i="1"/>
  <c r="I10445" i="1"/>
  <c r="H10445" i="1"/>
  <c r="I10444" i="1"/>
  <c r="H10444" i="1"/>
  <c r="I10443" i="1"/>
  <c r="H10443" i="1"/>
  <c r="I10442" i="1"/>
  <c r="H10442" i="1"/>
  <c r="I10441" i="1"/>
  <c r="H10441" i="1"/>
  <c r="I10440" i="1"/>
  <c r="H10440" i="1"/>
  <c r="I10439" i="1"/>
  <c r="H10439" i="1"/>
  <c r="I10438" i="1"/>
  <c r="H10438" i="1"/>
  <c r="I10437" i="1"/>
  <c r="H10437" i="1"/>
  <c r="I10436" i="1"/>
  <c r="H10436" i="1"/>
  <c r="I10435" i="1"/>
  <c r="H10435" i="1"/>
  <c r="I10434" i="1"/>
  <c r="H10434" i="1"/>
  <c r="I10433" i="1"/>
  <c r="H10433" i="1"/>
  <c r="I10432" i="1"/>
  <c r="H10432" i="1"/>
  <c r="I10431" i="1"/>
  <c r="H10431" i="1"/>
  <c r="I10430" i="1"/>
  <c r="H10430" i="1"/>
  <c r="I10429" i="1"/>
  <c r="H10429" i="1"/>
  <c r="I10428" i="1"/>
  <c r="H10428" i="1"/>
  <c r="I10427" i="1"/>
  <c r="H10427" i="1"/>
  <c r="I10426" i="1"/>
  <c r="H10426" i="1"/>
  <c r="I10425" i="1"/>
  <c r="H10425" i="1"/>
  <c r="I10424" i="1"/>
  <c r="H10424" i="1"/>
  <c r="I10423" i="1"/>
  <c r="H10423" i="1"/>
  <c r="I10422" i="1"/>
  <c r="H10422" i="1"/>
  <c r="I10421" i="1"/>
  <c r="H10421" i="1"/>
  <c r="I10420" i="1"/>
  <c r="H10420" i="1"/>
  <c r="I10419" i="1"/>
  <c r="H10419" i="1"/>
  <c r="I10418" i="1"/>
  <c r="H10418" i="1"/>
  <c r="I10417" i="1"/>
  <c r="H10417" i="1"/>
  <c r="I10416" i="1"/>
  <c r="H10416" i="1"/>
  <c r="I10415" i="1"/>
  <c r="H10415" i="1"/>
  <c r="I10414" i="1"/>
  <c r="H10414" i="1"/>
  <c r="I10413" i="1"/>
  <c r="H10413" i="1"/>
  <c r="I10412" i="1"/>
  <c r="H10412" i="1"/>
  <c r="I10411" i="1"/>
  <c r="H10411" i="1"/>
  <c r="I10410" i="1"/>
  <c r="H10410" i="1"/>
  <c r="I10409" i="1"/>
  <c r="H10409" i="1"/>
  <c r="I10408" i="1"/>
  <c r="H10408" i="1"/>
  <c r="I10407" i="1"/>
  <c r="H10407" i="1"/>
  <c r="I10406" i="1"/>
  <c r="H10406" i="1"/>
  <c r="I10405" i="1"/>
  <c r="H10405" i="1"/>
  <c r="I10404" i="1"/>
  <c r="H10404" i="1"/>
  <c r="I10403" i="1"/>
  <c r="H10403" i="1"/>
  <c r="I10402" i="1"/>
  <c r="H10402" i="1"/>
  <c r="I10401" i="1"/>
  <c r="H10401" i="1"/>
  <c r="I10400" i="1"/>
  <c r="H10400" i="1"/>
  <c r="I10399" i="1"/>
  <c r="H10399" i="1"/>
  <c r="I10398" i="1"/>
  <c r="H10398" i="1"/>
  <c r="I10397" i="1"/>
  <c r="H10397" i="1"/>
  <c r="I10396" i="1"/>
  <c r="H10396" i="1"/>
  <c r="I10395" i="1"/>
  <c r="H10395" i="1"/>
  <c r="I10394" i="1"/>
  <c r="H10394" i="1"/>
  <c r="I10393" i="1"/>
  <c r="H10393" i="1"/>
  <c r="I10392" i="1"/>
  <c r="H10392" i="1"/>
  <c r="I10391" i="1"/>
  <c r="H10391" i="1"/>
  <c r="I10390" i="1"/>
  <c r="H10390" i="1"/>
  <c r="I10389" i="1"/>
  <c r="H10389" i="1"/>
  <c r="I10388" i="1"/>
  <c r="H10388" i="1"/>
  <c r="I10387" i="1"/>
  <c r="H10387" i="1"/>
  <c r="I10386" i="1"/>
  <c r="H10386" i="1"/>
  <c r="I10385" i="1"/>
  <c r="H10385" i="1"/>
  <c r="I10384" i="1"/>
  <c r="H10384" i="1"/>
  <c r="I10383" i="1"/>
  <c r="H10383" i="1"/>
  <c r="I10382" i="1"/>
  <c r="H10382" i="1"/>
  <c r="I10381" i="1"/>
  <c r="H10381" i="1"/>
  <c r="I10380" i="1"/>
  <c r="H10380" i="1"/>
  <c r="I10379" i="1"/>
  <c r="H10379" i="1"/>
  <c r="I10378" i="1"/>
  <c r="H10378" i="1"/>
  <c r="I10377" i="1"/>
  <c r="H10377" i="1"/>
  <c r="I10376" i="1"/>
  <c r="H10376" i="1"/>
  <c r="I10375" i="1"/>
  <c r="H10375" i="1"/>
  <c r="I10374" i="1"/>
  <c r="H10374" i="1"/>
  <c r="I10373" i="1"/>
  <c r="H10373" i="1"/>
  <c r="I10372" i="1"/>
  <c r="H10372" i="1"/>
  <c r="I10371" i="1"/>
  <c r="H10371" i="1"/>
  <c r="I10370" i="1"/>
  <c r="H10370" i="1"/>
  <c r="I10585" i="1"/>
  <c r="H10585" i="1"/>
  <c r="I10584" i="1"/>
  <c r="H10584" i="1"/>
  <c r="I10583" i="1"/>
  <c r="H10583" i="1"/>
  <c r="I10582" i="1"/>
  <c r="H10582" i="1"/>
  <c r="I10581" i="1"/>
  <c r="H10581" i="1"/>
  <c r="I10580" i="1"/>
  <c r="H10580" i="1"/>
  <c r="I10579" i="1"/>
  <c r="H10579" i="1"/>
  <c r="I10578" i="1"/>
  <c r="H10578" i="1"/>
  <c r="I10577" i="1"/>
  <c r="H10577" i="1"/>
  <c r="I10576" i="1"/>
  <c r="H10576" i="1"/>
  <c r="I10575" i="1"/>
  <c r="H10575" i="1"/>
  <c r="I10574" i="1"/>
  <c r="H10574" i="1"/>
  <c r="I10573" i="1"/>
  <c r="H10573" i="1"/>
  <c r="I10572" i="1"/>
  <c r="H10572" i="1"/>
  <c r="I10571" i="1"/>
  <c r="H10571" i="1"/>
  <c r="I10570" i="1"/>
  <c r="H10570" i="1"/>
  <c r="I10569" i="1"/>
  <c r="H10569" i="1"/>
  <c r="I10568" i="1"/>
  <c r="H10568" i="1"/>
  <c r="I10567" i="1"/>
  <c r="H10567" i="1"/>
  <c r="I10566" i="1"/>
  <c r="H10566" i="1"/>
  <c r="I10565" i="1"/>
  <c r="H10565" i="1"/>
  <c r="I10564" i="1"/>
  <c r="H10564" i="1"/>
  <c r="I10563" i="1"/>
  <c r="H10563" i="1"/>
  <c r="I10562" i="1"/>
  <c r="H10562" i="1"/>
  <c r="I10561" i="1"/>
  <c r="H10561" i="1"/>
  <c r="I10560" i="1"/>
  <c r="H10560" i="1"/>
  <c r="I10559" i="1"/>
  <c r="H10559" i="1"/>
  <c r="I10558" i="1"/>
  <c r="H10558" i="1"/>
  <c r="I10557" i="1"/>
  <c r="H10557" i="1"/>
  <c r="I10556" i="1"/>
  <c r="H10556" i="1"/>
  <c r="I10555" i="1"/>
  <c r="H10555" i="1"/>
  <c r="I10554" i="1"/>
  <c r="H10554" i="1"/>
  <c r="I10553" i="1"/>
  <c r="H10553" i="1"/>
  <c r="I10552" i="1"/>
  <c r="H10552" i="1"/>
  <c r="I10551" i="1"/>
  <c r="H10551" i="1"/>
  <c r="I10550" i="1"/>
  <c r="H10550" i="1"/>
  <c r="I10549" i="1"/>
  <c r="H10549" i="1"/>
  <c r="I10548" i="1"/>
  <c r="H10548" i="1"/>
  <c r="I10547" i="1"/>
  <c r="H10547" i="1"/>
  <c r="I10546" i="1"/>
  <c r="H10546" i="1"/>
  <c r="I10545" i="1"/>
  <c r="H10545" i="1"/>
  <c r="I10544" i="1"/>
  <c r="H10544" i="1"/>
  <c r="I10543" i="1"/>
  <c r="H10543" i="1"/>
  <c r="I10542" i="1"/>
  <c r="H10542" i="1"/>
  <c r="I10541" i="1"/>
  <c r="H10541" i="1"/>
  <c r="I10540" i="1"/>
  <c r="H10540" i="1"/>
  <c r="I10539" i="1"/>
  <c r="H10539" i="1"/>
  <c r="I10538" i="1"/>
  <c r="H10538" i="1"/>
  <c r="I10537" i="1"/>
  <c r="H10537" i="1"/>
  <c r="I10536" i="1"/>
  <c r="H10536" i="1"/>
  <c r="I10535" i="1"/>
  <c r="H10535" i="1"/>
  <c r="I10534" i="1"/>
  <c r="H10534" i="1"/>
  <c r="I10533" i="1"/>
  <c r="H10533" i="1"/>
  <c r="I10532" i="1"/>
  <c r="H10532" i="1"/>
  <c r="I10531" i="1"/>
  <c r="H10531" i="1"/>
  <c r="I10530" i="1"/>
  <c r="H10530" i="1"/>
  <c r="I10529" i="1"/>
  <c r="H10529" i="1"/>
  <c r="I10528" i="1"/>
  <c r="H10528" i="1"/>
  <c r="I10527" i="1"/>
  <c r="H10527" i="1"/>
  <c r="I10526" i="1"/>
  <c r="H10526" i="1"/>
  <c r="I10525" i="1"/>
  <c r="H10525" i="1"/>
  <c r="I10524" i="1"/>
  <c r="H10524" i="1"/>
  <c r="I10523" i="1"/>
  <c r="H10523" i="1"/>
  <c r="I10522" i="1"/>
  <c r="H10522" i="1"/>
  <c r="I10521" i="1"/>
  <c r="H10521" i="1"/>
  <c r="I10520" i="1"/>
  <c r="H10520" i="1"/>
  <c r="I10519" i="1"/>
  <c r="H10519" i="1"/>
  <c r="I10518" i="1"/>
  <c r="H10518" i="1"/>
  <c r="I10517" i="1"/>
  <c r="H10517" i="1"/>
  <c r="I10516" i="1"/>
  <c r="H10516" i="1"/>
  <c r="I10515" i="1"/>
  <c r="H10515" i="1"/>
  <c r="I10514" i="1"/>
  <c r="H10514" i="1"/>
  <c r="I10513" i="1"/>
  <c r="H10513" i="1"/>
  <c r="I10512" i="1"/>
  <c r="H10512" i="1"/>
  <c r="I10511" i="1"/>
  <c r="H10511" i="1"/>
  <c r="I10510" i="1"/>
  <c r="H10510" i="1"/>
  <c r="I10509" i="1"/>
  <c r="H10509" i="1"/>
  <c r="I10508" i="1"/>
  <c r="H10508" i="1"/>
  <c r="I10507" i="1"/>
  <c r="H10507" i="1"/>
  <c r="I10506" i="1"/>
  <c r="H10506" i="1"/>
  <c r="I10505" i="1"/>
  <c r="H10505" i="1"/>
  <c r="I10504" i="1"/>
  <c r="H10504" i="1"/>
  <c r="I10503" i="1"/>
  <c r="H10503" i="1"/>
  <c r="I10502" i="1"/>
  <c r="H10502" i="1"/>
  <c r="I10501" i="1"/>
  <c r="H10501" i="1"/>
  <c r="I10500" i="1"/>
  <c r="H10500" i="1"/>
  <c r="I10499" i="1"/>
  <c r="H10499" i="1"/>
  <c r="I10498" i="1"/>
  <c r="H10498" i="1"/>
  <c r="I10497" i="1"/>
  <c r="H10497" i="1"/>
  <c r="I10496" i="1"/>
  <c r="H10496" i="1"/>
  <c r="I10495" i="1"/>
  <c r="H10495" i="1"/>
  <c r="I10494" i="1"/>
  <c r="H10494" i="1"/>
  <c r="I10493" i="1"/>
  <c r="H10493" i="1"/>
  <c r="I10492" i="1"/>
  <c r="H10492" i="1"/>
  <c r="I10491" i="1"/>
  <c r="H10491" i="1"/>
  <c r="I10490" i="1"/>
  <c r="H10490" i="1"/>
  <c r="I10489" i="1"/>
  <c r="H10489" i="1"/>
  <c r="I10488" i="1"/>
  <c r="H10488" i="1"/>
  <c r="I10487" i="1"/>
  <c r="H10487" i="1"/>
  <c r="I10486" i="1"/>
  <c r="H10486" i="1"/>
  <c r="I10485" i="1"/>
  <c r="H10485" i="1"/>
  <c r="I10484" i="1"/>
  <c r="H10484" i="1"/>
  <c r="I10483" i="1"/>
  <c r="H10483" i="1"/>
  <c r="I10482" i="1"/>
  <c r="H10482" i="1"/>
  <c r="I10481" i="1"/>
  <c r="H10481" i="1"/>
  <c r="I10480" i="1"/>
  <c r="H10480" i="1"/>
  <c r="I10479" i="1"/>
  <c r="H10479" i="1"/>
  <c r="I10478" i="1"/>
  <c r="H10478" i="1"/>
  <c r="I10477" i="1"/>
  <c r="H10477" i="1"/>
  <c r="I10476" i="1"/>
  <c r="H10476" i="1"/>
  <c r="I10475" i="1"/>
  <c r="H10475" i="1"/>
  <c r="I10474" i="1"/>
  <c r="H10474" i="1"/>
  <c r="I10473" i="1"/>
  <c r="H10473" i="1"/>
  <c r="I10472" i="1"/>
  <c r="H10472" i="1"/>
  <c r="I10471" i="1"/>
  <c r="H10471" i="1"/>
  <c r="I10470" i="1"/>
  <c r="H10470" i="1"/>
  <c r="I10469" i="1"/>
  <c r="H10469" i="1"/>
  <c r="I10468" i="1"/>
  <c r="H10468" i="1"/>
  <c r="I10467" i="1"/>
  <c r="H10467" i="1"/>
  <c r="I10466" i="1"/>
  <c r="H10466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I10369" i="1"/>
  <c r="I10368" i="1"/>
  <c r="I10367" i="1"/>
  <c r="I10366" i="1"/>
  <c r="I10365" i="1"/>
  <c r="I10364" i="1"/>
  <c r="I10363" i="1"/>
  <c r="I10362" i="1"/>
  <c r="I10361" i="1"/>
  <c r="I10360" i="1"/>
  <c r="I10359" i="1"/>
  <c r="I10358" i="1"/>
  <c r="I10357" i="1"/>
  <c r="I10356" i="1"/>
  <c r="I10355" i="1"/>
  <c r="I10354" i="1"/>
  <c r="I10353" i="1"/>
  <c r="I10352" i="1"/>
  <c r="I10351" i="1"/>
  <c r="I10350" i="1"/>
  <c r="I10349" i="1"/>
  <c r="I10348" i="1"/>
  <c r="I10347" i="1"/>
  <c r="I10346" i="1"/>
  <c r="I10345" i="1"/>
  <c r="I10344" i="1"/>
  <c r="I10343" i="1"/>
  <c r="I10342" i="1"/>
  <c r="I10341" i="1"/>
  <c r="I10340" i="1"/>
  <c r="I10339" i="1"/>
  <c r="I10338" i="1"/>
  <c r="I10337" i="1"/>
  <c r="I10336" i="1"/>
  <c r="I10335" i="1"/>
  <c r="I10334" i="1"/>
  <c r="I10333" i="1"/>
  <c r="I10332" i="1"/>
  <c r="I10331" i="1"/>
  <c r="I10330" i="1"/>
  <c r="I10329" i="1"/>
  <c r="I10328" i="1"/>
  <c r="I10327" i="1"/>
  <c r="I10326" i="1"/>
  <c r="I10325" i="1"/>
  <c r="I10324" i="1"/>
  <c r="I10323" i="1"/>
  <c r="I10322" i="1"/>
  <c r="I10321" i="1"/>
  <c r="I10320" i="1"/>
  <c r="I10319" i="1"/>
  <c r="I10318" i="1"/>
  <c r="I10317" i="1"/>
  <c r="I10316" i="1"/>
  <c r="I10315" i="1"/>
  <c r="I10314" i="1"/>
  <c r="I10313" i="1"/>
  <c r="I10312" i="1"/>
  <c r="I10311" i="1"/>
  <c r="I10310" i="1"/>
  <c r="I10309" i="1"/>
  <c r="I10308" i="1"/>
  <c r="I10307" i="1"/>
  <c r="I10306" i="1"/>
  <c r="I10305" i="1"/>
  <c r="I10304" i="1"/>
  <c r="I10303" i="1"/>
  <c r="I10302" i="1"/>
  <c r="I10301" i="1"/>
  <c r="I10300" i="1"/>
  <c r="I10299" i="1"/>
  <c r="I10298" i="1"/>
  <c r="C14" i="4"/>
  <c r="B14" i="4"/>
  <c r="I10297" i="1"/>
  <c r="I10296" i="1"/>
  <c r="I10295" i="1"/>
  <c r="I10294" i="1"/>
  <c r="I10293" i="1"/>
  <c r="I10292" i="1"/>
  <c r="I10291" i="1"/>
  <c r="I10290" i="1"/>
  <c r="I10289" i="1"/>
  <c r="I10288" i="1"/>
  <c r="I10287" i="1"/>
  <c r="I10286" i="1"/>
  <c r="I10285" i="1"/>
  <c r="I10284" i="1"/>
  <c r="I10283" i="1"/>
  <c r="I10282" i="1"/>
  <c r="I10281" i="1"/>
  <c r="I10280" i="1"/>
  <c r="I10279" i="1"/>
  <c r="I10278" i="1"/>
  <c r="I10277" i="1"/>
  <c r="I10276" i="1"/>
  <c r="I10275" i="1"/>
  <c r="I10274" i="1"/>
  <c r="I10273" i="1"/>
  <c r="I10272" i="1"/>
  <c r="I10271" i="1"/>
  <c r="I10270" i="1"/>
  <c r="I10269" i="1"/>
  <c r="I10268" i="1"/>
  <c r="I10267" i="1"/>
  <c r="I10266" i="1"/>
  <c r="I10265" i="1"/>
  <c r="I10264" i="1"/>
  <c r="I10263" i="1"/>
  <c r="I10262" i="1"/>
  <c r="I10261" i="1"/>
  <c r="I10260" i="1"/>
  <c r="I10259" i="1"/>
  <c r="I10258" i="1"/>
  <c r="I10257" i="1"/>
  <c r="I10256" i="1"/>
  <c r="I10255" i="1"/>
  <c r="I10254" i="1"/>
  <c r="I10253" i="1"/>
  <c r="I10252" i="1"/>
  <c r="I10251" i="1"/>
  <c r="I10250" i="1"/>
  <c r="I10249" i="1"/>
  <c r="I10248" i="1"/>
  <c r="I10247" i="1"/>
  <c r="I10246" i="1"/>
  <c r="I10245" i="1"/>
  <c r="I10244" i="1"/>
  <c r="I10243" i="1"/>
  <c r="I10242" i="1"/>
  <c r="I10241" i="1"/>
  <c r="I10240" i="1"/>
  <c r="I10239" i="1"/>
  <c r="I10238" i="1"/>
  <c r="I10237" i="1"/>
  <c r="I10236" i="1"/>
  <c r="I10235" i="1"/>
  <c r="I10234" i="1"/>
  <c r="I10233" i="1"/>
  <c r="I10232" i="1"/>
  <c r="I10231" i="1"/>
  <c r="I10230" i="1"/>
  <c r="I10229" i="1"/>
  <c r="I10228" i="1"/>
  <c r="I10227" i="1"/>
  <c r="I10226" i="1"/>
  <c r="I10225" i="1"/>
  <c r="I10224" i="1"/>
  <c r="I10223" i="1"/>
  <c r="I10222" i="1"/>
  <c r="I10221" i="1"/>
  <c r="I10220" i="1"/>
  <c r="I10219" i="1"/>
  <c r="I10218" i="1"/>
  <c r="I10217" i="1"/>
  <c r="I10216" i="1"/>
  <c r="I10215" i="1"/>
  <c r="I10214" i="1"/>
  <c r="I10213" i="1"/>
  <c r="I10212" i="1"/>
  <c r="I10211" i="1"/>
  <c r="I10210" i="1"/>
  <c r="I10209" i="1"/>
  <c r="I10208" i="1"/>
  <c r="I10207" i="1"/>
  <c r="I10206" i="1"/>
  <c r="I10205" i="1"/>
  <c r="I10204" i="1"/>
  <c r="I10203" i="1"/>
  <c r="I10202" i="1"/>
  <c r="I10201" i="1"/>
  <c r="I10200" i="1"/>
  <c r="I10199" i="1"/>
  <c r="I10198" i="1"/>
  <c r="I10197" i="1"/>
  <c r="I10196" i="1"/>
  <c r="I10195" i="1"/>
  <c r="I10194" i="1"/>
  <c r="I10193" i="1"/>
  <c r="I10192" i="1"/>
  <c r="I10191" i="1"/>
  <c r="I10190" i="1"/>
  <c r="I10189" i="1"/>
  <c r="I10188" i="1"/>
  <c r="I10187" i="1"/>
  <c r="I10186" i="1"/>
  <c r="I10185" i="1"/>
  <c r="I10184" i="1"/>
  <c r="I10183" i="1"/>
  <c r="I10182" i="1"/>
  <c r="I10181" i="1"/>
  <c r="I10180" i="1"/>
  <c r="I10179" i="1"/>
  <c r="I10178" i="1"/>
  <c r="I10177" i="1" l="1"/>
  <c r="H10177" i="1"/>
  <c r="I10176" i="1"/>
  <c r="H10176" i="1"/>
  <c r="I10175" i="1"/>
  <c r="H10175" i="1"/>
  <c r="I10174" i="1"/>
  <c r="H10174" i="1"/>
  <c r="I10173" i="1"/>
  <c r="H10173" i="1"/>
  <c r="I10172" i="1"/>
  <c r="H10172" i="1"/>
  <c r="I10171" i="1"/>
  <c r="H10171" i="1"/>
  <c r="I10170" i="1"/>
  <c r="H10170" i="1"/>
  <c r="I10169" i="1"/>
  <c r="H10169" i="1"/>
  <c r="I10168" i="1"/>
  <c r="H10168" i="1"/>
  <c r="I10167" i="1"/>
  <c r="H10167" i="1"/>
  <c r="I10166" i="1"/>
  <c r="H10166" i="1"/>
  <c r="I10165" i="1"/>
  <c r="H10165" i="1"/>
  <c r="I10164" i="1"/>
  <c r="H10164" i="1"/>
  <c r="I10163" i="1"/>
  <c r="H10163" i="1"/>
  <c r="I10162" i="1"/>
  <c r="H10162" i="1"/>
  <c r="I10161" i="1"/>
  <c r="H10161" i="1"/>
  <c r="I10160" i="1"/>
  <c r="H10160" i="1"/>
  <c r="I10159" i="1"/>
  <c r="H10159" i="1"/>
  <c r="I10158" i="1"/>
  <c r="H10158" i="1"/>
  <c r="I10157" i="1"/>
  <c r="H10157" i="1"/>
  <c r="I10156" i="1"/>
  <c r="H10156" i="1"/>
  <c r="I10155" i="1"/>
  <c r="H10155" i="1"/>
  <c r="I10154" i="1"/>
  <c r="H10154" i="1"/>
  <c r="I10153" i="1"/>
  <c r="H10153" i="1"/>
  <c r="I10152" i="1"/>
  <c r="H10152" i="1"/>
  <c r="I10151" i="1"/>
  <c r="H10151" i="1"/>
  <c r="I10150" i="1"/>
  <c r="H10150" i="1"/>
  <c r="I10149" i="1"/>
  <c r="H10149" i="1"/>
  <c r="I10148" i="1"/>
  <c r="H10148" i="1"/>
  <c r="I10147" i="1"/>
  <c r="H10147" i="1"/>
  <c r="I10146" i="1"/>
  <c r="H10146" i="1"/>
  <c r="I10145" i="1"/>
  <c r="H10145" i="1"/>
  <c r="I10144" i="1"/>
  <c r="H10144" i="1"/>
  <c r="I10143" i="1"/>
  <c r="H10143" i="1"/>
  <c r="I10142" i="1"/>
  <c r="H10142" i="1"/>
  <c r="I10141" i="1"/>
  <c r="H10141" i="1"/>
  <c r="I10140" i="1"/>
  <c r="H10140" i="1"/>
  <c r="I10139" i="1"/>
  <c r="H10139" i="1"/>
  <c r="I10138" i="1"/>
  <c r="H10138" i="1"/>
  <c r="I10137" i="1"/>
  <c r="H10137" i="1"/>
  <c r="I10136" i="1"/>
  <c r="H10136" i="1"/>
  <c r="I10135" i="1"/>
  <c r="H10135" i="1"/>
  <c r="I10134" i="1"/>
  <c r="H10134" i="1"/>
  <c r="I10133" i="1"/>
  <c r="H10133" i="1"/>
  <c r="I10132" i="1"/>
  <c r="H10132" i="1"/>
  <c r="I10131" i="1"/>
  <c r="H10131" i="1"/>
  <c r="I10130" i="1"/>
  <c r="H10130" i="1"/>
  <c r="I10129" i="1"/>
  <c r="H10129" i="1"/>
  <c r="I10128" i="1"/>
  <c r="H10128" i="1"/>
  <c r="I10127" i="1"/>
  <c r="H10127" i="1"/>
  <c r="I10126" i="1"/>
  <c r="H10126" i="1"/>
  <c r="I10125" i="1"/>
  <c r="H10125" i="1"/>
  <c r="I10124" i="1"/>
  <c r="H10124" i="1"/>
  <c r="I10123" i="1"/>
  <c r="H10123" i="1"/>
  <c r="I10122" i="1"/>
  <c r="H10122" i="1"/>
  <c r="I10121" i="1"/>
  <c r="H10121" i="1"/>
  <c r="I10120" i="1"/>
  <c r="H10120" i="1"/>
  <c r="I10119" i="1"/>
  <c r="H10119" i="1"/>
  <c r="I10118" i="1"/>
  <c r="H10118" i="1"/>
  <c r="I10117" i="1"/>
  <c r="H10117" i="1"/>
  <c r="I10116" i="1"/>
  <c r="H10116" i="1"/>
  <c r="I10115" i="1"/>
  <c r="H10115" i="1"/>
  <c r="I10114" i="1"/>
  <c r="H10114" i="1"/>
  <c r="I10113" i="1"/>
  <c r="H10113" i="1"/>
  <c r="I10112" i="1"/>
  <c r="H10112" i="1"/>
  <c r="I10111" i="1"/>
  <c r="H10111" i="1"/>
  <c r="I10110" i="1"/>
  <c r="H10110" i="1"/>
  <c r="I10109" i="1"/>
  <c r="H10109" i="1"/>
  <c r="I10108" i="1"/>
  <c r="H10108" i="1"/>
  <c r="I10107" i="1"/>
  <c r="H10107" i="1"/>
  <c r="I10106" i="1"/>
  <c r="H10106" i="1"/>
  <c r="I10105" i="1"/>
  <c r="H10105" i="1"/>
  <c r="I10104" i="1"/>
  <c r="H10104" i="1"/>
  <c r="I10103" i="1"/>
  <c r="H10103" i="1"/>
  <c r="I10102" i="1"/>
  <c r="H10102" i="1"/>
  <c r="I10101" i="1"/>
  <c r="H10101" i="1"/>
  <c r="I10100" i="1"/>
  <c r="H10100" i="1"/>
  <c r="I10099" i="1"/>
  <c r="H10099" i="1"/>
  <c r="I10098" i="1"/>
  <c r="H10098" i="1"/>
  <c r="I10097" i="1"/>
  <c r="H10097" i="1"/>
  <c r="I10096" i="1"/>
  <c r="H10096" i="1"/>
  <c r="I10095" i="1"/>
  <c r="H10095" i="1"/>
  <c r="I10094" i="1"/>
  <c r="H10094" i="1"/>
  <c r="I10093" i="1"/>
  <c r="H10093" i="1"/>
  <c r="I10092" i="1"/>
  <c r="H10092" i="1"/>
  <c r="I10091" i="1"/>
  <c r="H10091" i="1"/>
  <c r="I10090" i="1"/>
  <c r="H10090" i="1"/>
  <c r="I10089" i="1"/>
  <c r="H10089" i="1"/>
  <c r="I10088" i="1"/>
  <c r="H10088" i="1"/>
  <c r="I10087" i="1"/>
  <c r="H10087" i="1"/>
  <c r="I10086" i="1"/>
  <c r="H10086" i="1"/>
  <c r="I10085" i="1"/>
  <c r="H10085" i="1"/>
  <c r="I10084" i="1"/>
  <c r="H10084" i="1"/>
  <c r="I10083" i="1"/>
  <c r="H10083" i="1"/>
  <c r="I10082" i="1"/>
  <c r="H10082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I10081" i="1"/>
  <c r="I10080" i="1"/>
  <c r="I10079" i="1"/>
  <c r="I10078" i="1"/>
  <c r="I10077" i="1"/>
  <c r="I10076" i="1"/>
  <c r="I10075" i="1"/>
  <c r="I10074" i="1"/>
  <c r="I10073" i="1"/>
  <c r="I10072" i="1"/>
  <c r="I10071" i="1"/>
  <c r="I10070" i="1"/>
  <c r="I10069" i="1"/>
  <c r="I10068" i="1"/>
  <c r="I10067" i="1"/>
  <c r="I10066" i="1"/>
  <c r="I10065" i="1"/>
  <c r="I10064" i="1"/>
  <c r="I10063" i="1"/>
  <c r="I10062" i="1"/>
  <c r="I10061" i="1"/>
  <c r="I10060" i="1"/>
  <c r="I10059" i="1"/>
  <c r="I10058" i="1"/>
  <c r="I10057" i="1"/>
  <c r="I10056" i="1"/>
  <c r="I10055" i="1"/>
  <c r="I10054" i="1"/>
  <c r="I10053" i="1"/>
  <c r="I10052" i="1"/>
  <c r="I10051" i="1"/>
  <c r="I10050" i="1"/>
  <c r="I10049" i="1"/>
  <c r="I10048" i="1"/>
  <c r="I10047" i="1"/>
  <c r="I10046" i="1"/>
  <c r="I10045" i="1"/>
  <c r="I10044" i="1"/>
  <c r="I10043" i="1"/>
  <c r="I10042" i="1"/>
  <c r="I10041" i="1"/>
  <c r="I10040" i="1"/>
  <c r="I10039" i="1"/>
  <c r="I10038" i="1"/>
  <c r="I10037" i="1"/>
  <c r="I10036" i="1"/>
  <c r="I10035" i="1"/>
  <c r="I10034" i="1"/>
  <c r="I10033" i="1"/>
  <c r="I10032" i="1"/>
  <c r="I10031" i="1"/>
  <c r="I10030" i="1"/>
  <c r="I10029" i="1"/>
  <c r="I10028" i="1"/>
  <c r="I10027" i="1"/>
  <c r="I10026" i="1"/>
  <c r="I10025" i="1"/>
  <c r="I10024" i="1"/>
  <c r="I10023" i="1"/>
  <c r="I10022" i="1"/>
  <c r="I10021" i="1"/>
  <c r="I10020" i="1"/>
  <c r="I10019" i="1"/>
  <c r="I10018" i="1"/>
  <c r="I10017" i="1"/>
  <c r="I10016" i="1"/>
  <c r="I10015" i="1"/>
  <c r="I10014" i="1"/>
  <c r="I10013" i="1"/>
  <c r="I10012" i="1"/>
  <c r="I10011" i="1"/>
  <c r="I10010" i="1"/>
  <c r="I10009" i="1"/>
  <c r="I10008" i="1"/>
  <c r="I10007" i="1"/>
  <c r="I10006" i="1"/>
  <c r="I10005" i="1"/>
  <c r="I10004" i="1"/>
  <c r="I10003" i="1"/>
  <c r="I10002" i="1"/>
  <c r="I10001" i="1"/>
  <c r="I10000" i="1"/>
  <c r="I9999" i="1"/>
  <c r="I9998" i="1"/>
  <c r="I9997" i="1"/>
  <c r="I9996" i="1"/>
  <c r="I9995" i="1"/>
  <c r="I9994" i="1"/>
  <c r="I9993" i="1"/>
  <c r="I9992" i="1"/>
  <c r="I9991" i="1"/>
  <c r="I9990" i="1"/>
  <c r="I9989" i="1"/>
  <c r="I9988" i="1"/>
  <c r="I9987" i="1"/>
  <c r="I9986" i="1"/>
  <c r="I9985" i="1"/>
  <c r="I9984" i="1"/>
  <c r="I9983" i="1"/>
  <c r="I9982" i="1"/>
  <c r="I9981" i="1"/>
  <c r="I9980" i="1"/>
  <c r="I9979" i="1"/>
  <c r="I9978" i="1"/>
  <c r="I9977" i="1"/>
  <c r="I9976" i="1"/>
  <c r="I9975" i="1"/>
  <c r="I9974" i="1"/>
  <c r="I9973" i="1"/>
  <c r="I9972" i="1"/>
  <c r="I9971" i="1"/>
  <c r="I9970" i="1"/>
  <c r="I9969" i="1"/>
  <c r="I9968" i="1"/>
  <c r="I9967" i="1"/>
  <c r="I9966" i="1"/>
  <c r="I9965" i="1"/>
  <c r="I9964" i="1"/>
  <c r="I9963" i="1"/>
  <c r="I9962" i="1"/>
  <c r="I9961" i="1"/>
  <c r="I9960" i="1"/>
  <c r="I9959" i="1"/>
  <c r="I9958" i="1"/>
  <c r="I9957" i="1"/>
  <c r="I9956" i="1"/>
  <c r="I9955" i="1"/>
  <c r="I9954" i="1"/>
  <c r="I9953" i="1"/>
  <c r="I9952" i="1"/>
  <c r="I9951" i="1"/>
  <c r="I9950" i="1"/>
  <c r="I9949" i="1"/>
  <c r="I9948" i="1"/>
  <c r="I9947" i="1"/>
  <c r="I9946" i="1"/>
  <c r="I9945" i="1"/>
  <c r="I9944" i="1"/>
  <c r="I9943" i="1"/>
  <c r="I9942" i="1"/>
  <c r="I9941" i="1"/>
  <c r="I9940" i="1"/>
  <c r="I9939" i="1"/>
  <c r="I9938" i="1"/>
  <c r="I9937" i="1"/>
  <c r="I9936" i="1"/>
  <c r="I9935" i="1"/>
  <c r="I9934" i="1"/>
  <c r="I9933" i="1"/>
  <c r="I9932" i="1"/>
  <c r="I9931" i="1"/>
  <c r="I9930" i="1"/>
  <c r="I9929" i="1"/>
  <c r="I9928" i="1"/>
  <c r="I9927" i="1"/>
  <c r="I9926" i="1"/>
  <c r="I9925" i="1"/>
  <c r="I9924" i="1"/>
  <c r="I9923" i="1"/>
  <c r="I9922" i="1"/>
  <c r="I9921" i="1"/>
  <c r="I9920" i="1"/>
  <c r="I9919" i="1"/>
  <c r="I9918" i="1"/>
  <c r="I9917" i="1"/>
  <c r="I9916" i="1"/>
  <c r="I9915" i="1"/>
  <c r="I9914" i="1"/>
  <c r="I9913" i="1"/>
  <c r="I9912" i="1"/>
  <c r="I9911" i="1"/>
  <c r="I9910" i="1"/>
  <c r="I9909" i="1"/>
  <c r="I9908" i="1"/>
  <c r="I9907" i="1"/>
  <c r="I9906" i="1"/>
  <c r="I9905" i="1"/>
  <c r="I9904" i="1"/>
  <c r="I9903" i="1"/>
  <c r="I9902" i="1"/>
  <c r="I9901" i="1"/>
  <c r="I9900" i="1"/>
  <c r="I9899" i="1"/>
  <c r="I9898" i="1"/>
  <c r="I9897" i="1"/>
  <c r="I9896" i="1"/>
  <c r="I9895" i="1"/>
  <c r="I9894" i="1"/>
  <c r="I9893" i="1"/>
  <c r="I9892" i="1"/>
  <c r="I9891" i="1"/>
  <c r="I9890" i="1"/>
  <c r="I9889" i="1"/>
  <c r="I9888" i="1"/>
  <c r="I9887" i="1"/>
  <c r="I9886" i="1"/>
  <c r="I9885" i="1"/>
  <c r="I9884" i="1"/>
  <c r="I9883" i="1"/>
  <c r="I9882" i="1"/>
  <c r="I9881" i="1"/>
  <c r="I9880" i="1"/>
  <c r="I9879" i="1"/>
  <c r="I9878" i="1"/>
  <c r="I9877" i="1"/>
  <c r="I9876" i="1"/>
  <c r="I9875" i="1"/>
  <c r="I9874" i="1"/>
  <c r="I9873" i="1"/>
  <c r="I9872" i="1"/>
  <c r="I9871" i="1"/>
  <c r="I9870" i="1"/>
  <c r="I9869" i="1"/>
  <c r="I9868" i="1"/>
  <c r="I9867" i="1"/>
  <c r="I9866" i="1"/>
  <c r="I9865" i="1"/>
  <c r="I9864" i="1"/>
  <c r="I9863" i="1"/>
  <c r="I9862" i="1"/>
  <c r="I9861" i="1"/>
  <c r="I9860" i="1"/>
  <c r="I9859" i="1"/>
  <c r="I9858" i="1"/>
  <c r="I9857" i="1"/>
  <c r="I9856" i="1"/>
  <c r="I9855" i="1"/>
  <c r="I9854" i="1"/>
  <c r="I9853" i="1"/>
  <c r="I9852" i="1"/>
  <c r="I9851" i="1"/>
  <c r="I9850" i="1"/>
  <c r="I9849" i="1"/>
  <c r="I9848" i="1"/>
  <c r="I9847" i="1"/>
  <c r="I9846" i="1"/>
  <c r="I9845" i="1"/>
  <c r="I9844" i="1"/>
  <c r="I9843" i="1"/>
  <c r="I9842" i="1"/>
  <c r="I9841" i="1"/>
  <c r="I9840" i="1"/>
  <c r="I9839" i="1"/>
  <c r="I9838" i="1"/>
  <c r="I9837" i="1"/>
  <c r="I9836" i="1"/>
  <c r="I9835" i="1"/>
  <c r="I9834" i="1"/>
  <c r="I9833" i="1"/>
  <c r="I9832" i="1"/>
  <c r="I9831" i="1"/>
  <c r="I9830" i="1"/>
  <c r="I9829" i="1"/>
  <c r="I9828" i="1"/>
  <c r="I9827" i="1"/>
  <c r="I9826" i="1"/>
  <c r="I9825" i="1"/>
  <c r="I9824" i="1"/>
  <c r="I9823" i="1"/>
  <c r="I9822" i="1"/>
  <c r="I9821" i="1"/>
  <c r="I9820" i="1"/>
  <c r="I9819" i="1"/>
  <c r="I9818" i="1"/>
  <c r="I9817" i="1"/>
  <c r="I9816" i="1"/>
  <c r="I9815" i="1"/>
  <c r="I9814" i="1"/>
  <c r="I9813" i="1"/>
  <c r="I9812" i="1"/>
  <c r="I9811" i="1"/>
  <c r="I9810" i="1"/>
  <c r="I9809" i="1"/>
  <c r="I9808" i="1"/>
  <c r="I9807" i="1"/>
  <c r="I9806" i="1"/>
  <c r="I9805" i="1"/>
  <c r="I9804" i="1"/>
  <c r="I9803" i="1"/>
  <c r="I9802" i="1"/>
  <c r="I9801" i="1"/>
  <c r="I9800" i="1"/>
  <c r="I9799" i="1"/>
  <c r="I9798" i="1"/>
  <c r="I9797" i="1"/>
  <c r="I9796" i="1"/>
  <c r="I9795" i="1"/>
  <c r="I9794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C13" i="4" l="1"/>
  <c r="B13" i="4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2" i="4"/>
  <c r="C11" i="4"/>
  <c r="C10" i="4"/>
  <c r="C9" i="4"/>
  <c r="C8" i="4"/>
  <c r="C7" i="4"/>
  <c r="C6" i="4"/>
  <c r="C5" i="4"/>
  <c r="C4" i="4"/>
  <c r="C3" i="4"/>
  <c r="C2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13" i="4" l="1"/>
  <c r="E13" i="4" s="1"/>
  <c r="D14" i="4"/>
  <c r="E14" i="4" s="1"/>
  <c r="D3" i="4"/>
  <c r="E3" i="4" s="1"/>
  <c r="D6" i="4"/>
  <c r="E6" i="4" s="1"/>
  <c r="D7" i="4"/>
  <c r="E7" i="4" s="1"/>
  <c r="D8" i="4"/>
  <c r="E8" i="4" s="1"/>
  <c r="D9" i="4"/>
  <c r="E9" i="4" s="1"/>
  <c r="D2" i="4"/>
  <c r="E2" i="4" s="1"/>
  <c r="D10" i="4"/>
  <c r="E10" i="4" s="1"/>
  <c r="D4" i="4"/>
  <c r="E4" i="4" s="1"/>
  <c r="D5" i="4"/>
  <c r="E5" i="4" s="1"/>
  <c r="A20" i="2"/>
  <c r="D12" i="4"/>
  <c r="E12" i="4" s="1"/>
  <c r="D11" i="4"/>
  <c r="E11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<sst xmlns="http://schemas.openxmlformats.org/spreadsheetml/2006/main" count="40367" uniqueCount="44">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</sst>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0777" totalsRowShown="0">
  <autoFilter ref="A1:I10777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0777"/>
  <sheetViews>
    <sheetView topLeftCell="A10736" workbookViewId="0">
      <selection activeCell="E10768" sqref="E10768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A9554" t="s">
        <v>6</v>
      </c>
      <c r="B9554" s="1">
        <v>46056</v>
      </c>
      <c r="C9554">
        <v>1</v>
      </c>
      <c r="D9554">
        <v>251.58</v>
      </c>
      <c r="E9554">
        <v>0</v>
      </c>
      <c r="F9554" t="s">
        <v>7</v>
      </c>
      <c r="G9554" t="s">
        <v>11</v>
      </c>
      <c r="H9554" s="5">
        <f>MONTH(Tabela1[[#This Row],[data]])</f>
        <v>2</v>
      </c>
      <c r="I9554">
        <f>YEAR(Tabela1[[#This Row],[data]])</f>
        <v>2026</v>
      </c>
    </row>
    <row r="9555" spans="1:9" x14ac:dyDescent="0.25">
      <c r="A9555" t="s">
        <v>6</v>
      </c>
      <c r="B9555" s="1">
        <v>46056</v>
      </c>
      <c r="C9555">
        <v>2</v>
      </c>
      <c r="D9555">
        <v>238.56</v>
      </c>
      <c r="E9555">
        <v>0</v>
      </c>
      <c r="F9555" t="s">
        <v>7</v>
      </c>
      <c r="G9555" t="s">
        <v>11</v>
      </c>
      <c r="H9555" s="5">
        <f>MONTH(Tabela1[[#This Row],[data]])</f>
        <v>2</v>
      </c>
      <c r="I9555">
        <f>YEAR(Tabela1[[#This Row],[data]])</f>
        <v>2026</v>
      </c>
    </row>
    <row r="9556" spans="1:9" x14ac:dyDescent="0.25">
      <c r="A9556" t="s">
        <v>6</v>
      </c>
      <c r="B9556" s="1">
        <v>46056</v>
      </c>
      <c r="C9556">
        <v>3</v>
      </c>
      <c r="D9556">
        <v>230.58</v>
      </c>
      <c r="E9556">
        <v>0</v>
      </c>
      <c r="F9556" t="s">
        <v>7</v>
      </c>
      <c r="G9556" t="s">
        <v>11</v>
      </c>
      <c r="H9556" s="5">
        <f>MONTH(Tabela1[[#This Row],[data]])</f>
        <v>2</v>
      </c>
      <c r="I9556">
        <f>YEAR(Tabela1[[#This Row],[data]])</f>
        <v>2026</v>
      </c>
    </row>
    <row r="9557" spans="1:9" x14ac:dyDescent="0.25">
      <c r="A9557" t="s">
        <v>6</v>
      </c>
      <c r="B9557" s="1">
        <v>46056</v>
      </c>
      <c r="C9557">
        <v>4</v>
      </c>
      <c r="D9557">
        <v>226.8</v>
      </c>
      <c r="E9557">
        <v>0</v>
      </c>
      <c r="F9557" t="s">
        <v>7</v>
      </c>
      <c r="G9557" t="s">
        <v>11</v>
      </c>
      <c r="H9557" s="5">
        <f>MONTH(Tabela1[[#This Row],[data]])</f>
        <v>2</v>
      </c>
      <c r="I9557">
        <f>YEAR(Tabela1[[#This Row],[data]])</f>
        <v>2026</v>
      </c>
    </row>
    <row r="9558" spans="1:9" x14ac:dyDescent="0.25">
      <c r="A9558" t="s">
        <v>6</v>
      </c>
      <c r="B9558" s="1">
        <v>46056</v>
      </c>
      <c r="C9558">
        <v>5</v>
      </c>
      <c r="D9558">
        <v>229.74</v>
      </c>
      <c r="E9558">
        <v>0</v>
      </c>
      <c r="F9558" t="s">
        <v>7</v>
      </c>
      <c r="G9558" t="s">
        <v>11</v>
      </c>
      <c r="H9558" s="5">
        <f>MONTH(Tabela1[[#This Row],[data]])</f>
        <v>2</v>
      </c>
      <c r="I9558">
        <f>YEAR(Tabela1[[#This Row],[data]])</f>
        <v>2026</v>
      </c>
    </row>
    <row r="9559" spans="1:9" x14ac:dyDescent="0.25">
      <c r="A9559" t="s">
        <v>6</v>
      </c>
      <c r="B9559" s="1">
        <v>46056</v>
      </c>
      <c r="C9559">
        <v>6</v>
      </c>
      <c r="D9559">
        <v>228.06</v>
      </c>
      <c r="E9559">
        <v>0</v>
      </c>
      <c r="F9559" t="s">
        <v>7</v>
      </c>
      <c r="G9559" t="s">
        <v>11</v>
      </c>
      <c r="H9559" s="5">
        <f>MONTH(Tabela1[[#This Row],[data]])</f>
        <v>2</v>
      </c>
      <c r="I9559">
        <f>YEAR(Tabela1[[#This Row],[data]])</f>
        <v>2026</v>
      </c>
    </row>
    <row r="9560" spans="1:9" x14ac:dyDescent="0.25">
      <c r="A9560" t="s">
        <v>6</v>
      </c>
      <c r="B9560" s="1">
        <v>46056</v>
      </c>
      <c r="C9560">
        <v>7</v>
      </c>
      <c r="D9560">
        <v>229.32</v>
      </c>
      <c r="E9560">
        <v>0</v>
      </c>
      <c r="F9560" t="s">
        <v>7</v>
      </c>
      <c r="G9560" t="s">
        <v>11</v>
      </c>
      <c r="H9560" s="5">
        <f>MONTH(Tabela1[[#This Row],[data]])</f>
        <v>2</v>
      </c>
      <c r="I9560">
        <f>YEAR(Tabela1[[#This Row],[data]])</f>
        <v>2026</v>
      </c>
    </row>
    <row r="9561" spans="1:9" x14ac:dyDescent="0.25">
      <c r="A9561" t="s">
        <v>6</v>
      </c>
      <c r="B9561" s="1">
        <v>46056</v>
      </c>
      <c r="C9561">
        <v>8</v>
      </c>
      <c r="D9561">
        <v>249.06</v>
      </c>
      <c r="E9561">
        <v>0</v>
      </c>
      <c r="F9561" t="s">
        <v>7</v>
      </c>
      <c r="G9561" t="s">
        <v>11</v>
      </c>
      <c r="H9561" s="5">
        <f>MONTH(Tabela1[[#This Row],[data]])</f>
        <v>2</v>
      </c>
      <c r="I9561">
        <f>YEAR(Tabela1[[#This Row],[data]])</f>
        <v>2026</v>
      </c>
    </row>
    <row r="9562" spans="1:9" x14ac:dyDescent="0.25">
      <c r="A9562" t="s">
        <v>6</v>
      </c>
      <c r="B9562" s="1">
        <v>46056</v>
      </c>
      <c r="C9562">
        <v>9</v>
      </c>
      <c r="D9562">
        <v>334.32</v>
      </c>
      <c r="E9562">
        <v>0</v>
      </c>
      <c r="F9562" t="s">
        <v>7</v>
      </c>
      <c r="G9562" t="s">
        <v>11</v>
      </c>
      <c r="H9562" s="5">
        <f>MONTH(Tabela1[[#This Row],[data]])</f>
        <v>2</v>
      </c>
      <c r="I9562">
        <f>YEAR(Tabela1[[#This Row],[data]])</f>
        <v>2026</v>
      </c>
    </row>
    <row r="9563" spans="1:9" x14ac:dyDescent="0.25">
      <c r="A9563" t="s">
        <v>6</v>
      </c>
      <c r="B9563" s="1">
        <v>46056</v>
      </c>
      <c r="C9563">
        <v>10</v>
      </c>
      <c r="D9563">
        <v>489.72</v>
      </c>
      <c r="E9563">
        <v>36.54</v>
      </c>
      <c r="F9563" t="s">
        <v>7</v>
      </c>
      <c r="G9563" t="s">
        <v>11</v>
      </c>
      <c r="H9563" s="5">
        <f>MONTH(Tabela1[[#This Row],[data]])</f>
        <v>2</v>
      </c>
      <c r="I9563">
        <f>YEAR(Tabela1[[#This Row],[data]])</f>
        <v>2026</v>
      </c>
    </row>
    <row r="9564" spans="1:9" x14ac:dyDescent="0.25">
      <c r="A9564" t="s">
        <v>6</v>
      </c>
      <c r="B9564" s="1">
        <v>46056</v>
      </c>
      <c r="C9564">
        <v>11</v>
      </c>
      <c r="D9564">
        <v>945.84</v>
      </c>
      <c r="E9564">
        <v>220.08</v>
      </c>
      <c r="F9564" t="s">
        <v>7</v>
      </c>
      <c r="G9564" t="s">
        <v>11</v>
      </c>
      <c r="H9564" s="5">
        <f>MONTH(Tabela1[[#This Row],[data]])</f>
        <v>2</v>
      </c>
      <c r="I9564">
        <f>YEAR(Tabela1[[#This Row],[data]])</f>
        <v>2026</v>
      </c>
    </row>
    <row r="9565" spans="1:9" x14ac:dyDescent="0.25">
      <c r="A9565" t="s">
        <v>6</v>
      </c>
      <c r="B9565" s="1">
        <v>46056</v>
      </c>
      <c r="C9565">
        <v>12</v>
      </c>
      <c r="D9565">
        <v>979.86</v>
      </c>
      <c r="E9565">
        <v>230.58</v>
      </c>
      <c r="F9565" t="s">
        <v>7</v>
      </c>
      <c r="G9565" t="s">
        <v>11</v>
      </c>
      <c r="H9565" s="5">
        <f>MONTH(Tabela1[[#This Row],[data]])</f>
        <v>2</v>
      </c>
      <c r="I9565">
        <f>YEAR(Tabela1[[#This Row],[data]])</f>
        <v>2026</v>
      </c>
    </row>
    <row r="9566" spans="1:9" x14ac:dyDescent="0.25">
      <c r="A9566" t="s">
        <v>6</v>
      </c>
      <c r="B9566" s="1">
        <v>46056</v>
      </c>
      <c r="C9566">
        <v>13</v>
      </c>
      <c r="D9566">
        <v>982.38</v>
      </c>
      <c r="E9566">
        <v>259.14</v>
      </c>
      <c r="F9566" t="s">
        <v>7</v>
      </c>
      <c r="G9566" t="s">
        <v>11</v>
      </c>
      <c r="H9566" s="5">
        <f>MONTH(Tabela1[[#This Row],[data]])</f>
        <v>2</v>
      </c>
      <c r="I9566">
        <f>YEAR(Tabela1[[#This Row],[data]])</f>
        <v>2026</v>
      </c>
    </row>
    <row r="9567" spans="1:9" x14ac:dyDescent="0.25">
      <c r="A9567" t="s">
        <v>6</v>
      </c>
      <c r="B9567" s="1">
        <v>46056</v>
      </c>
      <c r="C9567">
        <v>14</v>
      </c>
      <c r="D9567" s="2">
        <v>1010.1</v>
      </c>
      <c r="E9567">
        <v>243.6</v>
      </c>
      <c r="F9567" t="s">
        <v>7</v>
      </c>
      <c r="G9567" t="s">
        <v>11</v>
      </c>
      <c r="H9567" s="5">
        <f>MONTH(Tabela1[[#This Row],[data]])</f>
        <v>2</v>
      </c>
      <c r="I9567">
        <f>YEAR(Tabela1[[#This Row],[data]])</f>
        <v>2026</v>
      </c>
    </row>
    <row r="9568" spans="1:9" x14ac:dyDescent="0.25">
      <c r="A9568" t="s">
        <v>6</v>
      </c>
      <c r="B9568" s="1">
        <v>46056</v>
      </c>
      <c r="C9568">
        <v>15</v>
      </c>
      <c r="D9568" s="2">
        <v>1004.22</v>
      </c>
      <c r="E9568">
        <v>231.42</v>
      </c>
      <c r="F9568" t="s">
        <v>7</v>
      </c>
      <c r="G9568" t="s">
        <v>11</v>
      </c>
      <c r="H9568" s="5">
        <f>MONTH(Tabela1[[#This Row],[data]])</f>
        <v>2</v>
      </c>
      <c r="I9568">
        <f>YEAR(Tabela1[[#This Row],[data]])</f>
        <v>2026</v>
      </c>
    </row>
    <row r="9569" spans="1:9" x14ac:dyDescent="0.25">
      <c r="A9569" t="s">
        <v>6</v>
      </c>
      <c r="B9569" s="1">
        <v>46056</v>
      </c>
      <c r="C9569">
        <v>16</v>
      </c>
      <c r="D9569" s="2">
        <v>1005.06</v>
      </c>
      <c r="E9569">
        <v>240.66</v>
      </c>
      <c r="F9569" t="s">
        <v>7</v>
      </c>
      <c r="G9569" t="s">
        <v>11</v>
      </c>
      <c r="H9569" s="5">
        <f>MONTH(Tabela1[[#This Row],[data]])</f>
        <v>2</v>
      </c>
      <c r="I9569">
        <f>YEAR(Tabela1[[#This Row],[data]])</f>
        <v>2026</v>
      </c>
    </row>
    <row r="9570" spans="1:9" x14ac:dyDescent="0.25">
      <c r="A9570" t="s">
        <v>6</v>
      </c>
      <c r="B9570" s="1">
        <v>46056</v>
      </c>
      <c r="C9570">
        <v>17</v>
      </c>
      <c r="D9570">
        <v>998.76</v>
      </c>
      <c r="E9570">
        <v>260.39999999999998</v>
      </c>
      <c r="F9570" t="s">
        <v>7</v>
      </c>
      <c r="G9570" t="s">
        <v>11</v>
      </c>
      <c r="H9570" s="5">
        <f>MONTH(Tabela1[[#This Row],[data]])</f>
        <v>2</v>
      </c>
      <c r="I9570">
        <f>YEAR(Tabela1[[#This Row],[data]])</f>
        <v>2026</v>
      </c>
    </row>
    <row r="9571" spans="1:9" x14ac:dyDescent="0.25">
      <c r="A9571" t="s">
        <v>6</v>
      </c>
      <c r="B9571" s="1">
        <v>46056</v>
      </c>
      <c r="C9571">
        <v>18</v>
      </c>
      <c r="D9571">
        <v>976.5</v>
      </c>
      <c r="E9571">
        <v>236.04</v>
      </c>
      <c r="F9571" t="s">
        <v>7</v>
      </c>
      <c r="G9571" t="s">
        <v>11</v>
      </c>
      <c r="H9571" s="5">
        <f>MONTH(Tabela1[[#This Row],[data]])</f>
        <v>2</v>
      </c>
      <c r="I9571">
        <f>YEAR(Tabela1[[#This Row],[data]])</f>
        <v>2026</v>
      </c>
    </row>
    <row r="9572" spans="1:9" x14ac:dyDescent="0.25">
      <c r="A9572" t="s">
        <v>6</v>
      </c>
      <c r="B9572" s="1">
        <v>46056</v>
      </c>
      <c r="C9572">
        <v>19</v>
      </c>
      <c r="D9572">
        <v>930.72</v>
      </c>
      <c r="E9572">
        <v>224.28</v>
      </c>
      <c r="F9572" t="s">
        <v>7</v>
      </c>
      <c r="G9572" t="s">
        <v>11</v>
      </c>
      <c r="H9572" s="5">
        <f>MONTH(Tabela1[[#This Row],[data]])</f>
        <v>2</v>
      </c>
      <c r="I9572">
        <f>YEAR(Tabela1[[#This Row],[data]])</f>
        <v>2026</v>
      </c>
    </row>
    <row r="9573" spans="1:9" x14ac:dyDescent="0.25">
      <c r="A9573" t="s">
        <v>6</v>
      </c>
      <c r="B9573" s="1">
        <v>46056</v>
      </c>
      <c r="C9573">
        <v>20</v>
      </c>
      <c r="D9573">
        <v>927.78</v>
      </c>
      <c r="E9573">
        <v>217.98</v>
      </c>
      <c r="F9573" t="s">
        <v>7</v>
      </c>
      <c r="G9573" t="s">
        <v>11</v>
      </c>
      <c r="H9573" s="5">
        <f>MONTH(Tabela1[[#This Row],[data]])</f>
        <v>2</v>
      </c>
      <c r="I9573">
        <f>YEAR(Tabela1[[#This Row],[data]])</f>
        <v>2026</v>
      </c>
    </row>
    <row r="9574" spans="1:9" x14ac:dyDescent="0.25">
      <c r="A9574" t="s">
        <v>6</v>
      </c>
      <c r="B9574" s="1">
        <v>46056</v>
      </c>
      <c r="C9574">
        <v>21</v>
      </c>
      <c r="D9574">
        <v>912.24</v>
      </c>
      <c r="E9574">
        <v>215.88</v>
      </c>
      <c r="F9574" t="s">
        <v>7</v>
      </c>
      <c r="G9574" t="s">
        <v>11</v>
      </c>
      <c r="H9574" s="5">
        <f>MONTH(Tabela1[[#This Row],[data]])</f>
        <v>2</v>
      </c>
      <c r="I9574">
        <f>YEAR(Tabela1[[#This Row],[data]])</f>
        <v>2026</v>
      </c>
    </row>
    <row r="9575" spans="1:9" x14ac:dyDescent="0.25">
      <c r="A9575" t="s">
        <v>6</v>
      </c>
      <c r="B9575" s="1">
        <v>46056</v>
      </c>
      <c r="C9575">
        <v>22</v>
      </c>
      <c r="D9575">
        <v>840</v>
      </c>
      <c r="E9575">
        <v>191.1</v>
      </c>
      <c r="F9575" t="s">
        <v>7</v>
      </c>
      <c r="G9575" t="s">
        <v>11</v>
      </c>
      <c r="H9575" s="5">
        <f>MONTH(Tabela1[[#This Row],[data]])</f>
        <v>2</v>
      </c>
      <c r="I9575">
        <f>YEAR(Tabela1[[#This Row],[data]])</f>
        <v>2026</v>
      </c>
    </row>
    <row r="9576" spans="1:9" x14ac:dyDescent="0.25">
      <c r="A9576" t="s">
        <v>6</v>
      </c>
      <c r="B9576" s="1">
        <v>46056</v>
      </c>
      <c r="C9576">
        <v>23</v>
      </c>
      <c r="D9576">
        <v>396.48</v>
      </c>
      <c r="E9576">
        <v>11.76</v>
      </c>
      <c r="F9576" t="s">
        <v>7</v>
      </c>
      <c r="G9576" t="s">
        <v>11</v>
      </c>
      <c r="H9576" s="5">
        <f>MONTH(Tabela1[[#This Row],[data]])</f>
        <v>2</v>
      </c>
      <c r="I9576">
        <f>YEAR(Tabela1[[#This Row],[data]])</f>
        <v>2026</v>
      </c>
    </row>
    <row r="9577" spans="1:9" x14ac:dyDescent="0.25">
      <c r="A9577" t="s">
        <v>6</v>
      </c>
      <c r="B9577" s="1">
        <v>46056</v>
      </c>
      <c r="C9577">
        <v>24</v>
      </c>
      <c r="D9577">
        <v>282.24</v>
      </c>
      <c r="E9577">
        <v>0</v>
      </c>
      <c r="F9577" t="s">
        <v>7</v>
      </c>
      <c r="G9577" t="s">
        <v>11</v>
      </c>
      <c r="H9577" s="5">
        <f>MONTH(Tabela1[[#This Row],[data]])</f>
        <v>2</v>
      </c>
      <c r="I9577">
        <f>YEAR(Tabela1[[#This Row],[data]])</f>
        <v>2026</v>
      </c>
    </row>
    <row r="9578" spans="1:9" x14ac:dyDescent="0.25">
      <c r="A9578" t="s">
        <v>6</v>
      </c>
      <c r="B9578" s="1">
        <v>46057</v>
      </c>
      <c r="C9578">
        <v>1</v>
      </c>
      <c r="D9578">
        <v>246.96</v>
      </c>
      <c r="E9578">
        <v>0</v>
      </c>
      <c r="F9578" t="s">
        <v>7</v>
      </c>
      <c r="G9578" t="s">
        <v>12</v>
      </c>
      <c r="H9578" s="5">
        <f>MONTH(Tabela1[[#This Row],[data]])</f>
        <v>2</v>
      </c>
      <c r="I9578">
        <f>YEAR(Tabela1[[#This Row],[data]])</f>
        <v>2026</v>
      </c>
    </row>
    <row r="9579" spans="1:9" x14ac:dyDescent="0.25">
      <c r="A9579" t="s">
        <v>6</v>
      </c>
      <c r="B9579" s="1">
        <v>46057</v>
      </c>
      <c r="C9579">
        <v>2</v>
      </c>
      <c r="D9579">
        <v>244.02</v>
      </c>
      <c r="E9579">
        <v>0</v>
      </c>
      <c r="F9579" t="s">
        <v>7</v>
      </c>
      <c r="G9579" t="s">
        <v>12</v>
      </c>
      <c r="H9579" s="5">
        <f>MONTH(Tabela1[[#This Row],[data]])</f>
        <v>2</v>
      </c>
      <c r="I9579">
        <f>YEAR(Tabela1[[#This Row],[data]])</f>
        <v>2026</v>
      </c>
    </row>
    <row r="9580" spans="1:9" x14ac:dyDescent="0.25">
      <c r="A9580" t="s">
        <v>6</v>
      </c>
      <c r="B9580" s="1">
        <v>46057</v>
      </c>
      <c r="C9580">
        <v>3</v>
      </c>
      <c r="D9580">
        <v>239.4</v>
      </c>
      <c r="E9580">
        <v>0</v>
      </c>
      <c r="F9580" t="s">
        <v>7</v>
      </c>
      <c r="G9580" t="s">
        <v>12</v>
      </c>
      <c r="H9580" s="5">
        <f>MONTH(Tabela1[[#This Row],[data]])</f>
        <v>2</v>
      </c>
      <c r="I9580">
        <f>YEAR(Tabela1[[#This Row],[data]])</f>
        <v>2026</v>
      </c>
    </row>
    <row r="9581" spans="1:9" x14ac:dyDescent="0.25">
      <c r="A9581" t="s">
        <v>6</v>
      </c>
      <c r="B9581" s="1">
        <v>46057</v>
      </c>
      <c r="C9581">
        <v>4</v>
      </c>
      <c r="D9581">
        <v>239.4</v>
      </c>
      <c r="E9581">
        <v>0</v>
      </c>
      <c r="F9581" t="s">
        <v>7</v>
      </c>
      <c r="G9581" t="s">
        <v>12</v>
      </c>
      <c r="H9581" s="5">
        <f>MONTH(Tabela1[[#This Row],[data]])</f>
        <v>2</v>
      </c>
      <c r="I9581">
        <f>YEAR(Tabela1[[#This Row],[data]])</f>
        <v>2026</v>
      </c>
    </row>
    <row r="9582" spans="1:9" x14ac:dyDescent="0.25">
      <c r="A9582" t="s">
        <v>6</v>
      </c>
      <c r="B9582" s="1">
        <v>46057</v>
      </c>
      <c r="C9582">
        <v>5</v>
      </c>
      <c r="D9582">
        <v>238.98</v>
      </c>
      <c r="E9582">
        <v>0</v>
      </c>
      <c r="F9582" t="s">
        <v>7</v>
      </c>
      <c r="G9582" t="s">
        <v>12</v>
      </c>
      <c r="H9582" s="5">
        <f>MONTH(Tabela1[[#This Row],[data]])</f>
        <v>2</v>
      </c>
      <c r="I9582">
        <f>YEAR(Tabela1[[#This Row],[data]])</f>
        <v>2026</v>
      </c>
    </row>
    <row r="9583" spans="1:9" x14ac:dyDescent="0.25">
      <c r="A9583" t="s">
        <v>6</v>
      </c>
      <c r="B9583" s="1">
        <v>46057</v>
      </c>
      <c r="C9583">
        <v>6</v>
      </c>
      <c r="D9583">
        <v>234.36</v>
      </c>
      <c r="E9583">
        <v>0</v>
      </c>
      <c r="F9583" t="s">
        <v>7</v>
      </c>
      <c r="G9583" t="s">
        <v>12</v>
      </c>
      <c r="H9583" s="5">
        <f>MONTH(Tabela1[[#This Row],[data]])</f>
        <v>2</v>
      </c>
      <c r="I9583">
        <f>YEAR(Tabela1[[#This Row],[data]])</f>
        <v>2026</v>
      </c>
    </row>
    <row r="9584" spans="1:9" x14ac:dyDescent="0.25">
      <c r="A9584" t="s">
        <v>6</v>
      </c>
      <c r="B9584" s="1">
        <v>46057</v>
      </c>
      <c r="C9584">
        <v>7</v>
      </c>
      <c r="D9584">
        <v>240.24</v>
      </c>
      <c r="E9584">
        <v>0</v>
      </c>
      <c r="F9584" t="s">
        <v>7</v>
      </c>
      <c r="G9584" t="s">
        <v>12</v>
      </c>
      <c r="H9584" s="5">
        <f>MONTH(Tabela1[[#This Row],[data]])</f>
        <v>2</v>
      </c>
      <c r="I9584">
        <f>YEAR(Tabela1[[#This Row],[data]])</f>
        <v>2026</v>
      </c>
    </row>
    <row r="9585" spans="1:9" x14ac:dyDescent="0.25">
      <c r="A9585" t="s">
        <v>6</v>
      </c>
      <c r="B9585" s="1">
        <v>46057</v>
      </c>
      <c r="C9585">
        <v>8</v>
      </c>
      <c r="D9585">
        <v>260.39999999999998</v>
      </c>
      <c r="E9585">
        <v>0</v>
      </c>
      <c r="F9585" t="s">
        <v>7</v>
      </c>
      <c r="G9585" t="s">
        <v>12</v>
      </c>
      <c r="H9585" s="5">
        <f>MONTH(Tabela1[[#This Row],[data]])</f>
        <v>2</v>
      </c>
      <c r="I9585">
        <f>YEAR(Tabela1[[#This Row],[data]])</f>
        <v>2026</v>
      </c>
    </row>
    <row r="9586" spans="1:9" x14ac:dyDescent="0.25">
      <c r="A9586" t="s">
        <v>6</v>
      </c>
      <c r="B9586" s="1">
        <v>46057</v>
      </c>
      <c r="C9586">
        <v>9</v>
      </c>
      <c r="D9586">
        <v>342.72</v>
      </c>
      <c r="E9586">
        <v>0</v>
      </c>
      <c r="F9586" t="s">
        <v>7</v>
      </c>
      <c r="G9586" t="s">
        <v>12</v>
      </c>
      <c r="H9586" s="5">
        <f>MONTH(Tabela1[[#This Row],[data]])</f>
        <v>2</v>
      </c>
      <c r="I9586">
        <f>YEAR(Tabela1[[#This Row],[data]])</f>
        <v>2026</v>
      </c>
    </row>
    <row r="9587" spans="1:9" x14ac:dyDescent="0.25">
      <c r="A9587" t="s">
        <v>6</v>
      </c>
      <c r="B9587" s="1">
        <v>46057</v>
      </c>
      <c r="C9587">
        <v>10</v>
      </c>
      <c r="D9587">
        <v>472.5</v>
      </c>
      <c r="E9587">
        <v>15.54</v>
      </c>
      <c r="F9587" t="s">
        <v>7</v>
      </c>
      <c r="G9587" t="s">
        <v>12</v>
      </c>
      <c r="H9587" s="5">
        <f>MONTH(Tabela1[[#This Row],[data]])</f>
        <v>2</v>
      </c>
      <c r="I9587">
        <f>YEAR(Tabela1[[#This Row],[data]])</f>
        <v>2026</v>
      </c>
    </row>
    <row r="9588" spans="1:9" x14ac:dyDescent="0.25">
      <c r="A9588" t="s">
        <v>6</v>
      </c>
      <c r="B9588" s="1">
        <v>46057</v>
      </c>
      <c r="C9588">
        <v>11</v>
      </c>
      <c r="D9588">
        <v>651.84</v>
      </c>
      <c r="E9588">
        <v>93.66</v>
      </c>
      <c r="F9588" t="s">
        <v>7</v>
      </c>
      <c r="G9588" t="s">
        <v>12</v>
      </c>
      <c r="H9588" s="5">
        <f>MONTH(Tabela1[[#This Row],[data]])</f>
        <v>2</v>
      </c>
      <c r="I9588">
        <f>YEAR(Tabela1[[#This Row],[data]])</f>
        <v>2026</v>
      </c>
    </row>
    <row r="9589" spans="1:9" x14ac:dyDescent="0.25">
      <c r="A9589" t="s">
        <v>6</v>
      </c>
      <c r="B9589" s="1">
        <v>46057</v>
      </c>
      <c r="C9589">
        <v>12</v>
      </c>
      <c r="D9589">
        <v>993.3</v>
      </c>
      <c r="E9589">
        <v>250.74</v>
      </c>
      <c r="F9589" t="s">
        <v>7</v>
      </c>
      <c r="G9589" t="s">
        <v>12</v>
      </c>
      <c r="H9589" s="5">
        <f>MONTH(Tabela1[[#This Row],[data]])</f>
        <v>2</v>
      </c>
      <c r="I9589">
        <f>YEAR(Tabela1[[#This Row],[data]])</f>
        <v>2026</v>
      </c>
    </row>
    <row r="9590" spans="1:9" x14ac:dyDescent="0.25">
      <c r="A9590" t="s">
        <v>6</v>
      </c>
      <c r="B9590" s="1">
        <v>46057</v>
      </c>
      <c r="C9590">
        <v>13</v>
      </c>
      <c r="D9590">
        <v>999.6</v>
      </c>
      <c r="E9590">
        <v>240.66</v>
      </c>
      <c r="F9590" t="s">
        <v>7</v>
      </c>
      <c r="G9590" t="s">
        <v>12</v>
      </c>
      <c r="H9590" s="5">
        <f>MONTH(Tabela1[[#This Row],[data]])</f>
        <v>2</v>
      </c>
      <c r="I9590">
        <f>YEAR(Tabela1[[#This Row],[data]])</f>
        <v>2026</v>
      </c>
    </row>
    <row r="9591" spans="1:9" x14ac:dyDescent="0.25">
      <c r="A9591" t="s">
        <v>6</v>
      </c>
      <c r="B9591" s="1">
        <v>46057</v>
      </c>
      <c r="C9591">
        <v>14</v>
      </c>
      <c r="D9591">
        <v>980.28</v>
      </c>
      <c r="E9591">
        <v>233.94</v>
      </c>
      <c r="F9591" t="s">
        <v>7</v>
      </c>
      <c r="G9591" t="s">
        <v>12</v>
      </c>
      <c r="H9591" s="5">
        <f>MONTH(Tabela1[[#This Row],[data]])</f>
        <v>2</v>
      </c>
      <c r="I9591">
        <f>YEAR(Tabela1[[#This Row],[data]])</f>
        <v>2026</v>
      </c>
    </row>
    <row r="9592" spans="1:9" x14ac:dyDescent="0.25">
      <c r="A9592" t="s">
        <v>6</v>
      </c>
      <c r="B9592" s="1">
        <v>46057</v>
      </c>
      <c r="C9592">
        <v>15</v>
      </c>
      <c r="D9592">
        <v>910.14</v>
      </c>
      <c r="E9592">
        <v>219.24</v>
      </c>
      <c r="F9592" t="s">
        <v>7</v>
      </c>
      <c r="G9592" t="s">
        <v>12</v>
      </c>
      <c r="H9592" s="5">
        <f>MONTH(Tabela1[[#This Row],[data]])</f>
        <v>2</v>
      </c>
      <c r="I9592">
        <f>YEAR(Tabela1[[#This Row],[data]])</f>
        <v>2026</v>
      </c>
    </row>
    <row r="9593" spans="1:9" x14ac:dyDescent="0.25">
      <c r="A9593" t="s">
        <v>6</v>
      </c>
      <c r="B9593" s="1">
        <v>46057</v>
      </c>
      <c r="C9593">
        <v>16</v>
      </c>
      <c r="D9593">
        <v>842.94</v>
      </c>
      <c r="E9593">
        <v>189.42</v>
      </c>
      <c r="F9593" t="s">
        <v>7</v>
      </c>
      <c r="G9593" t="s">
        <v>12</v>
      </c>
      <c r="H9593" s="5">
        <f>MONTH(Tabela1[[#This Row],[data]])</f>
        <v>2</v>
      </c>
      <c r="I9593">
        <f>YEAR(Tabela1[[#This Row],[data]])</f>
        <v>2026</v>
      </c>
    </row>
    <row r="9594" spans="1:9" x14ac:dyDescent="0.25">
      <c r="A9594" t="s">
        <v>6</v>
      </c>
      <c r="B9594" s="1">
        <v>46057</v>
      </c>
      <c r="C9594">
        <v>17</v>
      </c>
      <c r="D9594">
        <v>842.94</v>
      </c>
      <c r="E9594">
        <v>199.92</v>
      </c>
      <c r="F9594" t="s">
        <v>7</v>
      </c>
      <c r="G9594" t="s">
        <v>12</v>
      </c>
      <c r="H9594" s="5">
        <f>MONTH(Tabela1[[#This Row],[data]])</f>
        <v>2</v>
      </c>
      <c r="I9594">
        <f>YEAR(Tabela1[[#This Row],[data]])</f>
        <v>2026</v>
      </c>
    </row>
    <row r="9595" spans="1:9" x14ac:dyDescent="0.25">
      <c r="A9595" t="s">
        <v>6</v>
      </c>
      <c r="B9595" s="1">
        <v>46057</v>
      </c>
      <c r="C9595">
        <v>18</v>
      </c>
      <c r="D9595">
        <v>821.94</v>
      </c>
      <c r="E9595">
        <v>171.36</v>
      </c>
      <c r="F9595" t="s">
        <v>7</v>
      </c>
      <c r="G9595" t="s">
        <v>12</v>
      </c>
      <c r="H9595" s="5">
        <f>MONTH(Tabela1[[#This Row],[data]])</f>
        <v>2</v>
      </c>
      <c r="I9595">
        <f>YEAR(Tabela1[[#This Row],[data]])</f>
        <v>2026</v>
      </c>
    </row>
    <row r="9596" spans="1:9" x14ac:dyDescent="0.25">
      <c r="A9596" t="s">
        <v>6</v>
      </c>
      <c r="B9596" s="1">
        <v>46057</v>
      </c>
      <c r="C9596">
        <v>19</v>
      </c>
      <c r="D9596">
        <v>801.36</v>
      </c>
      <c r="E9596">
        <v>144.47999999999999</v>
      </c>
      <c r="F9596" t="s">
        <v>7</v>
      </c>
      <c r="G9596" t="s">
        <v>12</v>
      </c>
      <c r="H9596" s="5">
        <f>MONTH(Tabela1[[#This Row],[data]])</f>
        <v>2</v>
      </c>
      <c r="I9596">
        <f>YEAR(Tabela1[[#This Row],[data]])</f>
        <v>2026</v>
      </c>
    </row>
    <row r="9597" spans="1:9" x14ac:dyDescent="0.25">
      <c r="A9597" t="s">
        <v>6</v>
      </c>
      <c r="B9597" s="1">
        <v>46057</v>
      </c>
      <c r="C9597">
        <v>20</v>
      </c>
      <c r="D9597">
        <v>805.56</v>
      </c>
      <c r="E9597">
        <v>140.69999999999999</v>
      </c>
      <c r="F9597" t="s">
        <v>7</v>
      </c>
      <c r="G9597" t="s">
        <v>12</v>
      </c>
      <c r="H9597" s="5">
        <f>MONTH(Tabela1[[#This Row],[data]])</f>
        <v>2</v>
      </c>
      <c r="I9597">
        <f>YEAR(Tabela1[[#This Row],[data]])</f>
        <v>2026</v>
      </c>
    </row>
    <row r="9598" spans="1:9" x14ac:dyDescent="0.25">
      <c r="A9598" t="s">
        <v>6</v>
      </c>
      <c r="B9598" s="1">
        <v>46057</v>
      </c>
      <c r="C9598">
        <v>21</v>
      </c>
      <c r="D9598">
        <v>802.62</v>
      </c>
      <c r="E9598">
        <v>143.63999999999999</v>
      </c>
      <c r="F9598" t="s">
        <v>7</v>
      </c>
      <c r="G9598" t="s">
        <v>12</v>
      </c>
      <c r="H9598" s="5">
        <f>MONTH(Tabela1[[#This Row],[data]])</f>
        <v>2</v>
      </c>
      <c r="I9598">
        <f>YEAR(Tabela1[[#This Row],[data]])</f>
        <v>2026</v>
      </c>
    </row>
    <row r="9599" spans="1:9" x14ac:dyDescent="0.25">
      <c r="A9599" t="s">
        <v>6</v>
      </c>
      <c r="B9599" s="1">
        <v>46057</v>
      </c>
      <c r="C9599">
        <v>22</v>
      </c>
      <c r="D9599">
        <v>700.14</v>
      </c>
      <c r="E9599">
        <v>104.58</v>
      </c>
      <c r="F9599" t="s">
        <v>7</v>
      </c>
      <c r="G9599" t="s">
        <v>12</v>
      </c>
      <c r="H9599" s="5">
        <f>MONTH(Tabela1[[#This Row],[data]])</f>
        <v>2</v>
      </c>
      <c r="I9599">
        <f>YEAR(Tabela1[[#This Row],[data]])</f>
        <v>2026</v>
      </c>
    </row>
    <row r="9600" spans="1:9" x14ac:dyDescent="0.25">
      <c r="A9600" t="s">
        <v>6</v>
      </c>
      <c r="B9600" s="1">
        <v>46057</v>
      </c>
      <c r="C9600">
        <v>23</v>
      </c>
      <c r="D9600">
        <v>385.56</v>
      </c>
      <c r="E9600">
        <v>3.36</v>
      </c>
      <c r="F9600" t="s">
        <v>7</v>
      </c>
      <c r="G9600" t="s">
        <v>12</v>
      </c>
      <c r="H9600" s="5">
        <f>MONTH(Tabela1[[#This Row],[data]])</f>
        <v>2</v>
      </c>
      <c r="I9600">
        <f>YEAR(Tabela1[[#This Row],[data]])</f>
        <v>2026</v>
      </c>
    </row>
    <row r="9601" spans="1:9" x14ac:dyDescent="0.25">
      <c r="A9601" t="s">
        <v>6</v>
      </c>
      <c r="B9601" s="1">
        <v>46057</v>
      </c>
      <c r="C9601">
        <v>24</v>
      </c>
      <c r="D9601">
        <v>295.68</v>
      </c>
      <c r="E9601">
        <v>0</v>
      </c>
      <c r="F9601" t="s">
        <v>7</v>
      </c>
      <c r="G9601" t="s">
        <v>12</v>
      </c>
      <c r="H9601" s="5">
        <f>MONTH(Tabela1[[#This Row],[data]])</f>
        <v>2</v>
      </c>
      <c r="I9601">
        <f>YEAR(Tabela1[[#This Row],[data]])</f>
        <v>2026</v>
      </c>
    </row>
    <row r="9602" spans="1:9" x14ac:dyDescent="0.25">
      <c r="A9602" t="s">
        <v>6</v>
      </c>
      <c r="B9602" s="1">
        <v>46058</v>
      </c>
      <c r="C9602">
        <v>1</v>
      </c>
      <c r="D9602">
        <v>257.45999999999998</v>
      </c>
      <c r="E9602">
        <v>0</v>
      </c>
      <c r="F9602" t="s">
        <v>7</v>
      </c>
      <c r="G9602" t="s">
        <v>12</v>
      </c>
      <c r="H9602" s="5">
        <f>MONTH(Tabela1[[#This Row],[data]])</f>
        <v>2</v>
      </c>
      <c r="I9602">
        <f>YEAR(Tabela1[[#This Row],[data]])</f>
        <v>2026</v>
      </c>
    </row>
    <row r="9603" spans="1:9" x14ac:dyDescent="0.25">
      <c r="A9603" t="s">
        <v>6</v>
      </c>
      <c r="B9603" s="1">
        <v>46058</v>
      </c>
      <c r="C9603">
        <v>2</v>
      </c>
      <c r="D9603">
        <v>258.72000000000003</v>
      </c>
      <c r="E9603">
        <v>0</v>
      </c>
      <c r="F9603" t="s">
        <v>7</v>
      </c>
      <c r="G9603" t="s">
        <v>12</v>
      </c>
      <c r="H9603" s="5">
        <f>MONTH(Tabela1[[#This Row],[data]])</f>
        <v>2</v>
      </c>
      <c r="I9603">
        <f>YEAR(Tabela1[[#This Row],[data]])</f>
        <v>2026</v>
      </c>
    </row>
    <row r="9604" spans="1:9" x14ac:dyDescent="0.25">
      <c r="A9604" t="s">
        <v>6</v>
      </c>
      <c r="B9604" s="1">
        <v>46058</v>
      </c>
      <c r="C9604">
        <v>3</v>
      </c>
      <c r="D9604">
        <v>254.94</v>
      </c>
      <c r="E9604">
        <v>0</v>
      </c>
      <c r="F9604" t="s">
        <v>7</v>
      </c>
      <c r="G9604" t="s">
        <v>12</v>
      </c>
      <c r="H9604" s="5">
        <f>MONTH(Tabela1[[#This Row],[data]])</f>
        <v>2</v>
      </c>
      <c r="I9604">
        <f>YEAR(Tabela1[[#This Row],[data]])</f>
        <v>2026</v>
      </c>
    </row>
    <row r="9605" spans="1:9" x14ac:dyDescent="0.25">
      <c r="A9605" t="s">
        <v>6</v>
      </c>
      <c r="B9605" s="1">
        <v>46058</v>
      </c>
      <c r="C9605">
        <v>4</v>
      </c>
      <c r="D9605">
        <v>236.04</v>
      </c>
      <c r="E9605">
        <v>0</v>
      </c>
      <c r="F9605" t="s">
        <v>7</v>
      </c>
      <c r="G9605" t="s">
        <v>12</v>
      </c>
      <c r="H9605" s="5">
        <f>MONTH(Tabela1[[#This Row],[data]])</f>
        <v>2</v>
      </c>
      <c r="I9605">
        <f>YEAR(Tabela1[[#This Row],[data]])</f>
        <v>2026</v>
      </c>
    </row>
    <row r="9606" spans="1:9" x14ac:dyDescent="0.25">
      <c r="A9606" t="s">
        <v>6</v>
      </c>
      <c r="B9606" s="1">
        <v>46058</v>
      </c>
      <c r="C9606">
        <v>5</v>
      </c>
      <c r="D9606">
        <v>237.3</v>
      </c>
      <c r="E9606">
        <v>0</v>
      </c>
      <c r="F9606" t="s">
        <v>7</v>
      </c>
      <c r="G9606" t="s">
        <v>12</v>
      </c>
      <c r="H9606" s="5">
        <f>MONTH(Tabela1[[#This Row],[data]])</f>
        <v>2</v>
      </c>
      <c r="I9606">
        <f>YEAR(Tabela1[[#This Row],[data]])</f>
        <v>2026</v>
      </c>
    </row>
    <row r="9607" spans="1:9" x14ac:dyDescent="0.25">
      <c r="A9607" t="s">
        <v>6</v>
      </c>
      <c r="B9607" s="1">
        <v>46058</v>
      </c>
      <c r="C9607">
        <v>6</v>
      </c>
      <c r="D9607">
        <v>232.68</v>
      </c>
      <c r="E9607">
        <v>0</v>
      </c>
      <c r="F9607" t="s">
        <v>7</v>
      </c>
      <c r="G9607" t="s">
        <v>12</v>
      </c>
      <c r="H9607" s="5">
        <f>MONTH(Tabela1[[#This Row],[data]])</f>
        <v>2</v>
      </c>
      <c r="I9607">
        <f>YEAR(Tabela1[[#This Row],[data]])</f>
        <v>2026</v>
      </c>
    </row>
    <row r="9608" spans="1:9" x14ac:dyDescent="0.25">
      <c r="A9608" t="s">
        <v>6</v>
      </c>
      <c r="B9608" s="1">
        <v>46058</v>
      </c>
      <c r="C9608">
        <v>7</v>
      </c>
      <c r="D9608">
        <v>243.18</v>
      </c>
      <c r="E9608">
        <v>0</v>
      </c>
      <c r="F9608" t="s">
        <v>7</v>
      </c>
      <c r="G9608" t="s">
        <v>12</v>
      </c>
      <c r="H9608" s="5">
        <f>MONTH(Tabela1[[#This Row],[data]])</f>
        <v>2</v>
      </c>
      <c r="I9608">
        <f>YEAR(Tabela1[[#This Row],[data]])</f>
        <v>2026</v>
      </c>
    </row>
    <row r="9609" spans="1:9" x14ac:dyDescent="0.25">
      <c r="A9609" t="s">
        <v>6</v>
      </c>
      <c r="B9609" s="1">
        <v>46058</v>
      </c>
      <c r="C9609">
        <v>8</v>
      </c>
      <c r="D9609">
        <v>271.74</v>
      </c>
      <c r="E9609">
        <v>0</v>
      </c>
      <c r="F9609" t="s">
        <v>7</v>
      </c>
      <c r="G9609" t="s">
        <v>12</v>
      </c>
      <c r="H9609" s="5">
        <f>MONTH(Tabela1[[#This Row],[data]])</f>
        <v>2</v>
      </c>
      <c r="I9609">
        <f>YEAR(Tabela1[[#This Row],[data]])</f>
        <v>2026</v>
      </c>
    </row>
    <row r="9610" spans="1:9" x14ac:dyDescent="0.25">
      <c r="A9610" t="s">
        <v>6</v>
      </c>
      <c r="B9610" s="1">
        <v>46058</v>
      </c>
      <c r="C9610">
        <v>9</v>
      </c>
      <c r="D9610">
        <v>334.32</v>
      </c>
      <c r="E9610">
        <v>0</v>
      </c>
      <c r="F9610" t="s">
        <v>7</v>
      </c>
      <c r="G9610" t="s">
        <v>12</v>
      </c>
      <c r="H9610" s="5">
        <f>MONTH(Tabela1[[#This Row],[data]])</f>
        <v>2</v>
      </c>
      <c r="I9610">
        <f>YEAR(Tabela1[[#This Row],[data]])</f>
        <v>2026</v>
      </c>
    </row>
    <row r="9611" spans="1:9" x14ac:dyDescent="0.25">
      <c r="A9611" t="s">
        <v>6</v>
      </c>
      <c r="B9611" s="1">
        <v>46058</v>
      </c>
      <c r="C9611">
        <v>10</v>
      </c>
      <c r="D9611">
        <v>575.4</v>
      </c>
      <c r="E9611">
        <v>73.92</v>
      </c>
      <c r="F9611" t="s">
        <v>7</v>
      </c>
      <c r="G9611" t="s">
        <v>12</v>
      </c>
      <c r="H9611" s="5">
        <f>MONTH(Tabela1[[#This Row],[data]])</f>
        <v>2</v>
      </c>
      <c r="I9611">
        <f>YEAR(Tabela1[[#This Row],[data]])</f>
        <v>2026</v>
      </c>
    </row>
    <row r="9612" spans="1:9" x14ac:dyDescent="0.25">
      <c r="A9612" t="s">
        <v>6</v>
      </c>
      <c r="B9612" s="1">
        <v>46058</v>
      </c>
      <c r="C9612">
        <v>11</v>
      </c>
      <c r="D9612">
        <v>934.08</v>
      </c>
      <c r="E9612">
        <v>217.56</v>
      </c>
      <c r="F9612" t="s">
        <v>7</v>
      </c>
      <c r="G9612" t="s">
        <v>12</v>
      </c>
      <c r="H9612" s="5">
        <f>MONTH(Tabela1[[#This Row],[data]])</f>
        <v>2</v>
      </c>
      <c r="I9612">
        <f>YEAR(Tabela1[[#This Row],[data]])</f>
        <v>2026</v>
      </c>
    </row>
    <row r="9613" spans="1:9" x14ac:dyDescent="0.25">
      <c r="A9613" t="s">
        <v>6</v>
      </c>
      <c r="B9613" s="1">
        <v>46058</v>
      </c>
      <c r="C9613">
        <v>12</v>
      </c>
      <c r="D9613">
        <v>971.88</v>
      </c>
      <c r="E9613">
        <v>228.9</v>
      </c>
      <c r="F9613" t="s">
        <v>7</v>
      </c>
      <c r="G9613" t="s">
        <v>12</v>
      </c>
      <c r="H9613" s="5">
        <f>MONTH(Tabela1[[#This Row],[data]])</f>
        <v>2</v>
      </c>
      <c r="I9613">
        <f>YEAR(Tabela1[[#This Row],[data]])</f>
        <v>2026</v>
      </c>
    </row>
    <row r="9614" spans="1:9" x14ac:dyDescent="0.25">
      <c r="A9614" t="s">
        <v>6</v>
      </c>
      <c r="B9614" s="1">
        <v>46058</v>
      </c>
      <c r="C9614">
        <v>13</v>
      </c>
      <c r="D9614">
        <v>993.72</v>
      </c>
      <c r="E9614">
        <v>262.08</v>
      </c>
      <c r="F9614" t="s">
        <v>7</v>
      </c>
      <c r="G9614" t="s">
        <v>12</v>
      </c>
      <c r="H9614" s="5">
        <f>MONTH(Tabela1[[#This Row],[data]])</f>
        <v>2</v>
      </c>
      <c r="I9614">
        <f>YEAR(Tabela1[[#This Row],[data]])</f>
        <v>2026</v>
      </c>
    </row>
    <row r="9615" spans="1:9" x14ac:dyDescent="0.25">
      <c r="A9615" t="s">
        <v>6</v>
      </c>
      <c r="B9615" s="1">
        <v>46058</v>
      </c>
      <c r="C9615">
        <v>14</v>
      </c>
      <c r="D9615">
        <v>997.92</v>
      </c>
      <c r="E9615">
        <v>242.34</v>
      </c>
      <c r="F9615" t="s">
        <v>7</v>
      </c>
      <c r="G9615" t="s">
        <v>12</v>
      </c>
      <c r="H9615" s="5">
        <f>MONTH(Tabela1[[#This Row],[data]])</f>
        <v>2</v>
      </c>
      <c r="I9615">
        <f>YEAR(Tabela1[[#This Row],[data]])</f>
        <v>2026</v>
      </c>
    </row>
    <row r="9616" spans="1:9" x14ac:dyDescent="0.25">
      <c r="A9616" t="s">
        <v>6</v>
      </c>
      <c r="B9616" s="1">
        <v>46058</v>
      </c>
      <c r="C9616">
        <v>15</v>
      </c>
      <c r="D9616">
        <v>992.04</v>
      </c>
      <c r="E9616">
        <v>254.94</v>
      </c>
      <c r="F9616" t="s">
        <v>7</v>
      </c>
      <c r="G9616" t="s">
        <v>12</v>
      </c>
      <c r="H9616" s="5">
        <f>MONTH(Tabela1[[#This Row],[data]])</f>
        <v>2</v>
      </c>
      <c r="I9616">
        <f>YEAR(Tabela1[[#This Row],[data]])</f>
        <v>2026</v>
      </c>
    </row>
    <row r="9617" spans="1:9" x14ac:dyDescent="0.25">
      <c r="A9617" t="s">
        <v>6</v>
      </c>
      <c r="B9617" s="1">
        <v>46058</v>
      </c>
      <c r="C9617">
        <v>16</v>
      </c>
      <c r="D9617">
        <v>966.84</v>
      </c>
      <c r="E9617">
        <v>254.94</v>
      </c>
      <c r="F9617" t="s">
        <v>7</v>
      </c>
      <c r="G9617" t="s">
        <v>12</v>
      </c>
      <c r="H9617" s="5">
        <f>MONTH(Tabela1[[#This Row],[data]])</f>
        <v>2</v>
      </c>
      <c r="I9617">
        <f>YEAR(Tabela1[[#This Row],[data]])</f>
        <v>2026</v>
      </c>
    </row>
    <row r="9618" spans="1:9" x14ac:dyDescent="0.25">
      <c r="A9618" t="s">
        <v>6</v>
      </c>
      <c r="B9618" s="1">
        <v>46058</v>
      </c>
      <c r="C9618">
        <v>17</v>
      </c>
      <c r="D9618">
        <v>959.28</v>
      </c>
      <c r="E9618">
        <v>263.33999999999997</v>
      </c>
      <c r="F9618" t="s">
        <v>7</v>
      </c>
      <c r="G9618" t="s">
        <v>12</v>
      </c>
      <c r="H9618" s="5">
        <f>MONTH(Tabela1[[#This Row],[data]])</f>
        <v>2</v>
      </c>
      <c r="I9618">
        <f>YEAR(Tabela1[[#This Row],[data]])</f>
        <v>2026</v>
      </c>
    </row>
    <row r="9619" spans="1:9" x14ac:dyDescent="0.25">
      <c r="A9619" t="s">
        <v>6</v>
      </c>
      <c r="B9619" s="1">
        <v>46058</v>
      </c>
      <c r="C9619">
        <v>18</v>
      </c>
      <c r="D9619">
        <v>931.98</v>
      </c>
      <c r="E9619">
        <v>229.32</v>
      </c>
      <c r="F9619" t="s">
        <v>7</v>
      </c>
      <c r="G9619" t="s">
        <v>12</v>
      </c>
      <c r="H9619" s="5">
        <f>MONTH(Tabela1[[#This Row],[data]])</f>
        <v>2</v>
      </c>
      <c r="I9619">
        <f>YEAR(Tabela1[[#This Row],[data]])</f>
        <v>2026</v>
      </c>
    </row>
    <row r="9620" spans="1:9" x14ac:dyDescent="0.25">
      <c r="A9620" t="s">
        <v>6</v>
      </c>
      <c r="B9620" s="1">
        <v>46058</v>
      </c>
      <c r="C9620">
        <v>19</v>
      </c>
      <c r="D9620">
        <v>895.02</v>
      </c>
      <c r="E9620">
        <v>215.46</v>
      </c>
      <c r="F9620" t="s">
        <v>7</v>
      </c>
      <c r="G9620" t="s">
        <v>12</v>
      </c>
      <c r="H9620" s="5">
        <f>MONTH(Tabela1[[#This Row],[data]])</f>
        <v>2</v>
      </c>
      <c r="I9620">
        <f>YEAR(Tabela1[[#This Row],[data]])</f>
        <v>2026</v>
      </c>
    </row>
    <row r="9621" spans="1:9" x14ac:dyDescent="0.25">
      <c r="A9621" t="s">
        <v>6</v>
      </c>
      <c r="B9621" s="1">
        <v>46058</v>
      </c>
      <c r="C9621">
        <v>20</v>
      </c>
      <c r="D9621">
        <v>884.52</v>
      </c>
      <c r="E9621">
        <v>197.82</v>
      </c>
      <c r="F9621" t="s">
        <v>7</v>
      </c>
      <c r="G9621" t="s">
        <v>12</v>
      </c>
      <c r="H9621" s="5">
        <f>MONTH(Tabela1[[#This Row],[data]])</f>
        <v>2</v>
      </c>
      <c r="I9621">
        <f>YEAR(Tabela1[[#This Row],[data]])</f>
        <v>2026</v>
      </c>
    </row>
    <row r="9622" spans="1:9" x14ac:dyDescent="0.25">
      <c r="A9622" t="s">
        <v>6</v>
      </c>
      <c r="B9622" s="1">
        <v>46058</v>
      </c>
      <c r="C9622">
        <v>21</v>
      </c>
      <c r="D9622">
        <v>883.68</v>
      </c>
      <c r="E9622">
        <v>202.02</v>
      </c>
      <c r="F9622" t="s">
        <v>7</v>
      </c>
      <c r="G9622" t="s">
        <v>12</v>
      </c>
      <c r="H9622" s="5">
        <f>MONTH(Tabela1[[#This Row],[data]])</f>
        <v>2</v>
      </c>
      <c r="I9622">
        <f>YEAR(Tabela1[[#This Row],[data]])</f>
        <v>2026</v>
      </c>
    </row>
    <row r="9623" spans="1:9" x14ac:dyDescent="0.25">
      <c r="A9623" t="s">
        <v>6</v>
      </c>
      <c r="B9623" s="1">
        <v>46058</v>
      </c>
      <c r="C9623">
        <v>22</v>
      </c>
      <c r="D9623">
        <v>760.62</v>
      </c>
      <c r="E9623">
        <v>151.19999999999999</v>
      </c>
      <c r="F9623" t="s">
        <v>7</v>
      </c>
      <c r="G9623" t="s">
        <v>12</v>
      </c>
      <c r="H9623" s="5">
        <f>MONTH(Tabela1[[#This Row],[data]])</f>
        <v>2</v>
      </c>
      <c r="I9623">
        <f>YEAR(Tabela1[[#This Row],[data]])</f>
        <v>2026</v>
      </c>
    </row>
    <row r="9624" spans="1:9" x14ac:dyDescent="0.25">
      <c r="A9624" t="s">
        <v>6</v>
      </c>
      <c r="B9624" s="1">
        <v>46058</v>
      </c>
      <c r="C9624">
        <v>23</v>
      </c>
      <c r="D9624">
        <v>372.54</v>
      </c>
      <c r="E9624">
        <v>3.36</v>
      </c>
      <c r="F9624" t="s">
        <v>7</v>
      </c>
      <c r="G9624" t="s">
        <v>12</v>
      </c>
      <c r="H9624" s="5">
        <f>MONTH(Tabela1[[#This Row],[data]])</f>
        <v>2</v>
      </c>
      <c r="I9624">
        <f>YEAR(Tabela1[[#This Row],[data]])</f>
        <v>2026</v>
      </c>
    </row>
    <row r="9625" spans="1:9" x14ac:dyDescent="0.25">
      <c r="A9625" t="s">
        <v>6</v>
      </c>
      <c r="B9625" s="1">
        <v>46058</v>
      </c>
      <c r="C9625">
        <v>24</v>
      </c>
      <c r="D9625">
        <v>284.33999999999997</v>
      </c>
      <c r="E9625">
        <v>0</v>
      </c>
      <c r="F9625" t="s">
        <v>7</v>
      </c>
      <c r="G9625" t="s">
        <v>12</v>
      </c>
      <c r="H9625" s="5">
        <f>MONTH(Tabela1[[#This Row],[data]])</f>
        <v>2</v>
      </c>
      <c r="I9625">
        <f>YEAR(Tabela1[[#This Row],[data]])</f>
        <v>2026</v>
      </c>
    </row>
    <row r="9626" spans="1:9" x14ac:dyDescent="0.25">
      <c r="A9626" t="s">
        <v>6</v>
      </c>
      <c r="B9626" s="1">
        <v>46059</v>
      </c>
      <c r="C9626">
        <v>1</v>
      </c>
      <c r="D9626">
        <v>254.52</v>
      </c>
      <c r="E9626">
        <v>0</v>
      </c>
      <c r="F9626" t="s">
        <v>7</v>
      </c>
      <c r="G9626" t="s">
        <v>11</v>
      </c>
      <c r="H9626" s="5">
        <f>MONTH(Tabela1[[#This Row],[data]])</f>
        <v>2</v>
      </c>
      <c r="I9626">
        <f>YEAR(Tabela1[[#This Row],[data]])</f>
        <v>2026</v>
      </c>
    </row>
    <row r="9627" spans="1:9" x14ac:dyDescent="0.25">
      <c r="A9627" t="s">
        <v>6</v>
      </c>
      <c r="B9627" s="1">
        <v>46059</v>
      </c>
      <c r="C9627">
        <v>2</v>
      </c>
      <c r="D9627">
        <v>239.4</v>
      </c>
      <c r="E9627">
        <v>0</v>
      </c>
      <c r="F9627" t="s">
        <v>7</v>
      </c>
      <c r="G9627" t="s">
        <v>11</v>
      </c>
      <c r="H9627" s="5">
        <f>MONTH(Tabela1[[#This Row],[data]])</f>
        <v>2</v>
      </c>
      <c r="I9627">
        <f>YEAR(Tabela1[[#This Row],[data]])</f>
        <v>2026</v>
      </c>
    </row>
    <row r="9628" spans="1:9" x14ac:dyDescent="0.25">
      <c r="A9628" t="s">
        <v>6</v>
      </c>
      <c r="B9628" s="1">
        <v>46059</v>
      </c>
      <c r="C9628">
        <v>3</v>
      </c>
      <c r="D9628">
        <v>233.1</v>
      </c>
      <c r="E9628">
        <v>0</v>
      </c>
      <c r="F9628" t="s">
        <v>7</v>
      </c>
      <c r="G9628" t="s">
        <v>11</v>
      </c>
      <c r="H9628" s="5">
        <f>MONTH(Tabela1[[#This Row],[data]])</f>
        <v>2</v>
      </c>
      <c r="I9628">
        <f>YEAR(Tabela1[[#This Row],[data]])</f>
        <v>2026</v>
      </c>
    </row>
    <row r="9629" spans="1:9" x14ac:dyDescent="0.25">
      <c r="A9629" t="s">
        <v>6</v>
      </c>
      <c r="B9629" s="1">
        <v>46059</v>
      </c>
      <c r="C9629">
        <v>4</v>
      </c>
      <c r="D9629">
        <v>232.26</v>
      </c>
      <c r="E9629">
        <v>0</v>
      </c>
      <c r="F9629" t="s">
        <v>7</v>
      </c>
      <c r="G9629" t="s">
        <v>11</v>
      </c>
      <c r="H9629" s="5">
        <f>MONTH(Tabela1[[#This Row],[data]])</f>
        <v>2</v>
      </c>
      <c r="I9629">
        <f>YEAR(Tabela1[[#This Row],[data]])</f>
        <v>2026</v>
      </c>
    </row>
    <row r="9630" spans="1:9" x14ac:dyDescent="0.25">
      <c r="A9630" t="s">
        <v>6</v>
      </c>
      <c r="B9630" s="1">
        <v>46059</v>
      </c>
      <c r="C9630">
        <v>5</v>
      </c>
      <c r="D9630">
        <v>233.1</v>
      </c>
      <c r="E9630">
        <v>0</v>
      </c>
      <c r="F9630" t="s">
        <v>7</v>
      </c>
      <c r="G9630" t="s">
        <v>11</v>
      </c>
      <c r="H9630" s="5">
        <f>MONTH(Tabela1[[#This Row],[data]])</f>
        <v>2</v>
      </c>
      <c r="I9630">
        <f>YEAR(Tabela1[[#This Row],[data]])</f>
        <v>2026</v>
      </c>
    </row>
    <row r="9631" spans="1:9" x14ac:dyDescent="0.25">
      <c r="A9631" t="s">
        <v>6</v>
      </c>
      <c r="B9631" s="1">
        <v>46059</v>
      </c>
      <c r="C9631">
        <v>6</v>
      </c>
      <c r="D9631">
        <v>230.16</v>
      </c>
      <c r="E9631">
        <v>0</v>
      </c>
      <c r="F9631" t="s">
        <v>7</v>
      </c>
      <c r="G9631" t="s">
        <v>11</v>
      </c>
      <c r="H9631" s="5">
        <f>MONTH(Tabela1[[#This Row],[data]])</f>
        <v>2</v>
      </c>
      <c r="I9631">
        <f>YEAR(Tabela1[[#This Row],[data]])</f>
        <v>2026</v>
      </c>
    </row>
    <row r="9632" spans="1:9" x14ac:dyDescent="0.25">
      <c r="A9632" t="s">
        <v>6</v>
      </c>
      <c r="B9632" s="1">
        <v>46059</v>
      </c>
      <c r="C9632">
        <v>7</v>
      </c>
      <c r="D9632">
        <v>241.92</v>
      </c>
      <c r="E9632">
        <v>0</v>
      </c>
      <c r="F9632" t="s">
        <v>7</v>
      </c>
      <c r="G9632" t="s">
        <v>11</v>
      </c>
      <c r="H9632" s="5">
        <f>MONTH(Tabela1[[#This Row],[data]])</f>
        <v>2</v>
      </c>
      <c r="I9632">
        <f>YEAR(Tabela1[[#This Row],[data]])</f>
        <v>2026</v>
      </c>
    </row>
    <row r="9633" spans="1:9" x14ac:dyDescent="0.25">
      <c r="A9633" t="s">
        <v>6</v>
      </c>
      <c r="B9633" s="1">
        <v>46059</v>
      </c>
      <c r="C9633">
        <v>8</v>
      </c>
      <c r="D9633">
        <v>243.18</v>
      </c>
      <c r="E9633">
        <v>0</v>
      </c>
      <c r="F9633" t="s">
        <v>7</v>
      </c>
      <c r="G9633" t="s">
        <v>11</v>
      </c>
      <c r="H9633" s="5">
        <f>MONTH(Tabela1[[#This Row],[data]])</f>
        <v>2</v>
      </c>
      <c r="I9633">
        <f>YEAR(Tabela1[[#This Row],[data]])</f>
        <v>2026</v>
      </c>
    </row>
    <row r="9634" spans="1:9" x14ac:dyDescent="0.25">
      <c r="A9634" t="s">
        <v>6</v>
      </c>
      <c r="B9634" s="1">
        <v>46059</v>
      </c>
      <c r="C9634">
        <v>9</v>
      </c>
      <c r="D9634">
        <v>324.66000000000003</v>
      </c>
      <c r="E9634">
        <v>0</v>
      </c>
      <c r="F9634" t="s">
        <v>7</v>
      </c>
      <c r="G9634" t="s">
        <v>11</v>
      </c>
      <c r="H9634" s="5">
        <f>MONTH(Tabela1[[#This Row],[data]])</f>
        <v>2</v>
      </c>
      <c r="I9634">
        <f>YEAR(Tabela1[[#This Row],[data]])</f>
        <v>2026</v>
      </c>
    </row>
    <row r="9635" spans="1:9" x14ac:dyDescent="0.25">
      <c r="A9635" t="s">
        <v>6</v>
      </c>
      <c r="B9635" s="1">
        <v>46059</v>
      </c>
      <c r="C9635">
        <v>10</v>
      </c>
      <c r="D9635">
        <v>516.17999999999995</v>
      </c>
      <c r="E9635">
        <v>44.94</v>
      </c>
      <c r="F9635" t="s">
        <v>7</v>
      </c>
      <c r="G9635" t="s">
        <v>11</v>
      </c>
      <c r="H9635" s="5">
        <f>MONTH(Tabela1[[#This Row],[data]])</f>
        <v>2</v>
      </c>
      <c r="I9635">
        <f>YEAR(Tabela1[[#This Row],[data]])</f>
        <v>2026</v>
      </c>
    </row>
    <row r="9636" spans="1:9" x14ac:dyDescent="0.25">
      <c r="A9636" t="s">
        <v>6</v>
      </c>
      <c r="B9636" s="1">
        <v>46059</v>
      </c>
      <c r="C9636">
        <v>11</v>
      </c>
      <c r="D9636">
        <v>934.92</v>
      </c>
      <c r="E9636">
        <v>216.3</v>
      </c>
      <c r="F9636" t="s">
        <v>7</v>
      </c>
      <c r="G9636" t="s">
        <v>11</v>
      </c>
      <c r="H9636" s="5">
        <f>MONTH(Tabela1[[#This Row],[data]])</f>
        <v>2</v>
      </c>
      <c r="I9636">
        <f>YEAR(Tabela1[[#This Row],[data]])</f>
        <v>2026</v>
      </c>
    </row>
    <row r="9637" spans="1:9" x14ac:dyDescent="0.25">
      <c r="A9637" t="s">
        <v>6</v>
      </c>
      <c r="B9637" s="1">
        <v>46059</v>
      </c>
      <c r="C9637">
        <v>12</v>
      </c>
      <c r="D9637">
        <v>960.96</v>
      </c>
      <c r="E9637">
        <v>251.58</v>
      </c>
      <c r="F9637" t="s">
        <v>7</v>
      </c>
      <c r="G9637" t="s">
        <v>11</v>
      </c>
      <c r="H9637" s="5">
        <f>MONTH(Tabela1[[#This Row],[data]])</f>
        <v>2</v>
      </c>
      <c r="I9637">
        <f>YEAR(Tabela1[[#This Row],[data]])</f>
        <v>2026</v>
      </c>
    </row>
    <row r="9638" spans="1:9" x14ac:dyDescent="0.25">
      <c r="A9638" t="s">
        <v>6</v>
      </c>
      <c r="B9638" s="1">
        <v>46059</v>
      </c>
      <c r="C9638">
        <v>13</v>
      </c>
      <c r="D9638">
        <v>966.42</v>
      </c>
      <c r="E9638">
        <v>233.52</v>
      </c>
      <c r="F9638" t="s">
        <v>7</v>
      </c>
      <c r="G9638" t="s">
        <v>11</v>
      </c>
      <c r="H9638" s="5">
        <f>MONTH(Tabela1[[#This Row],[data]])</f>
        <v>2</v>
      </c>
      <c r="I9638">
        <f>YEAR(Tabela1[[#This Row],[data]])</f>
        <v>2026</v>
      </c>
    </row>
    <row r="9639" spans="1:9" x14ac:dyDescent="0.25">
      <c r="A9639" t="s">
        <v>6</v>
      </c>
      <c r="B9639" s="1">
        <v>46059</v>
      </c>
      <c r="C9639">
        <v>14</v>
      </c>
      <c r="D9639">
        <v>976.92</v>
      </c>
      <c r="E9639">
        <v>232.68</v>
      </c>
      <c r="F9639" t="s">
        <v>7</v>
      </c>
      <c r="G9639" t="s">
        <v>11</v>
      </c>
      <c r="H9639" s="5">
        <f>MONTH(Tabela1[[#This Row],[data]])</f>
        <v>2</v>
      </c>
      <c r="I9639">
        <f>YEAR(Tabela1[[#This Row],[data]])</f>
        <v>2026</v>
      </c>
    </row>
    <row r="9640" spans="1:9" x14ac:dyDescent="0.25">
      <c r="A9640" t="s">
        <v>6</v>
      </c>
      <c r="B9640" s="1">
        <v>46059</v>
      </c>
      <c r="C9640">
        <v>15</v>
      </c>
      <c r="D9640">
        <v>676.62</v>
      </c>
      <c r="E9640">
        <v>123.48</v>
      </c>
      <c r="F9640" t="s">
        <v>7</v>
      </c>
      <c r="G9640" t="s">
        <v>11</v>
      </c>
      <c r="H9640" s="5">
        <f>MONTH(Tabela1[[#This Row],[data]])</f>
        <v>2</v>
      </c>
      <c r="I9640">
        <f>YEAR(Tabela1[[#This Row],[data]])</f>
        <v>2026</v>
      </c>
    </row>
    <row r="9641" spans="1:9" x14ac:dyDescent="0.25">
      <c r="A9641" t="s">
        <v>6</v>
      </c>
      <c r="B9641" s="1">
        <v>46059</v>
      </c>
      <c r="C9641">
        <v>16</v>
      </c>
      <c r="D9641">
        <v>689.64</v>
      </c>
      <c r="E9641">
        <v>139.02000000000001</v>
      </c>
      <c r="F9641" t="s">
        <v>7</v>
      </c>
      <c r="G9641" t="s">
        <v>11</v>
      </c>
      <c r="H9641" s="5">
        <f>MONTH(Tabela1[[#This Row],[data]])</f>
        <v>2</v>
      </c>
      <c r="I9641">
        <f>YEAR(Tabela1[[#This Row],[data]])</f>
        <v>2026</v>
      </c>
    </row>
    <row r="9642" spans="1:9" x14ac:dyDescent="0.25">
      <c r="A9642" t="s">
        <v>6</v>
      </c>
      <c r="B9642" s="1">
        <v>46059</v>
      </c>
      <c r="C9642">
        <v>17</v>
      </c>
      <c r="D9642">
        <v>997.08</v>
      </c>
      <c r="E9642">
        <v>260.39999999999998</v>
      </c>
      <c r="F9642" t="s">
        <v>7</v>
      </c>
      <c r="G9642" t="s">
        <v>11</v>
      </c>
      <c r="H9642" s="5">
        <f>MONTH(Tabela1[[#This Row],[data]])</f>
        <v>2</v>
      </c>
      <c r="I9642">
        <f>YEAR(Tabela1[[#This Row],[data]])</f>
        <v>2026</v>
      </c>
    </row>
    <row r="9643" spans="1:9" x14ac:dyDescent="0.25">
      <c r="A9643" t="s">
        <v>6</v>
      </c>
      <c r="B9643" s="1">
        <v>46059</v>
      </c>
      <c r="C9643">
        <v>18</v>
      </c>
      <c r="D9643">
        <v>986.58</v>
      </c>
      <c r="E9643">
        <v>242.76</v>
      </c>
      <c r="F9643" t="s">
        <v>7</v>
      </c>
      <c r="G9643" t="s">
        <v>11</v>
      </c>
      <c r="H9643" s="5">
        <f>MONTH(Tabela1[[#This Row],[data]])</f>
        <v>2</v>
      </c>
      <c r="I9643">
        <f>YEAR(Tabela1[[#This Row],[data]])</f>
        <v>2026</v>
      </c>
    </row>
    <row r="9644" spans="1:9" x14ac:dyDescent="0.25">
      <c r="A9644" t="s">
        <v>6</v>
      </c>
      <c r="B9644" s="1">
        <v>46059</v>
      </c>
      <c r="C9644">
        <v>19</v>
      </c>
      <c r="D9644">
        <v>927.36</v>
      </c>
      <c r="E9644">
        <v>199.92</v>
      </c>
      <c r="F9644" t="s">
        <v>7</v>
      </c>
      <c r="G9644" t="s">
        <v>11</v>
      </c>
      <c r="H9644" s="5">
        <f>MONTH(Tabela1[[#This Row],[data]])</f>
        <v>2</v>
      </c>
      <c r="I9644">
        <f>YEAR(Tabela1[[#This Row],[data]])</f>
        <v>2026</v>
      </c>
    </row>
    <row r="9645" spans="1:9" x14ac:dyDescent="0.25">
      <c r="A9645" t="s">
        <v>6</v>
      </c>
      <c r="B9645" s="1">
        <v>46059</v>
      </c>
      <c r="C9645">
        <v>20</v>
      </c>
      <c r="D9645">
        <v>910.98</v>
      </c>
      <c r="E9645">
        <v>196.56</v>
      </c>
      <c r="F9645" t="s">
        <v>7</v>
      </c>
      <c r="G9645" t="s">
        <v>11</v>
      </c>
      <c r="H9645" s="5">
        <f>MONTH(Tabela1[[#This Row],[data]])</f>
        <v>2</v>
      </c>
      <c r="I9645">
        <f>YEAR(Tabela1[[#This Row],[data]])</f>
        <v>2026</v>
      </c>
    </row>
    <row r="9646" spans="1:9" x14ac:dyDescent="0.25">
      <c r="A9646" t="s">
        <v>6</v>
      </c>
      <c r="B9646" s="1">
        <v>46059</v>
      </c>
      <c r="C9646">
        <v>21</v>
      </c>
      <c r="D9646">
        <v>929.04</v>
      </c>
      <c r="E9646">
        <v>210</v>
      </c>
      <c r="F9646" t="s">
        <v>7</v>
      </c>
      <c r="G9646" t="s">
        <v>11</v>
      </c>
      <c r="H9646" s="5">
        <f>MONTH(Tabela1[[#This Row],[data]])</f>
        <v>2</v>
      </c>
      <c r="I9646">
        <f>YEAR(Tabela1[[#This Row],[data]])</f>
        <v>2026</v>
      </c>
    </row>
    <row r="9647" spans="1:9" x14ac:dyDescent="0.25">
      <c r="A9647" t="s">
        <v>6</v>
      </c>
      <c r="B9647" s="1">
        <v>46059</v>
      </c>
      <c r="C9647">
        <v>22</v>
      </c>
      <c r="D9647">
        <v>723.24</v>
      </c>
      <c r="E9647">
        <v>122.22</v>
      </c>
      <c r="F9647" t="s">
        <v>7</v>
      </c>
      <c r="G9647" t="s">
        <v>11</v>
      </c>
      <c r="H9647" s="5">
        <f>MONTH(Tabela1[[#This Row],[data]])</f>
        <v>2</v>
      </c>
      <c r="I9647">
        <f>YEAR(Tabela1[[#This Row],[data]])</f>
        <v>2026</v>
      </c>
    </row>
    <row r="9648" spans="1:9" x14ac:dyDescent="0.25">
      <c r="A9648" t="s">
        <v>6</v>
      </c>
      <c r="B9648" s="1">
        <v>46059</v>
      </c>
      <c r="C9648">
        <v>23</v>
      </c>
      <c r="D9648">
        <v>395.22</v>
      </c>
      <c r="E9648">
        <v>6.3</v>
      </c>
      <c r="F9648" t="s">
        <v>7</v>
      </c>
      <c r="G9648" t="s">
        <v>11</v>
      </c>
      <c r="H9648" s="5">
        <f>MONTH(Tabela1[[#This Row],[data]])</f>
        <v>2</v>
      </c>
      <c r="I9648">
        <f>YEAR(Tabela1[[#This Row],[data]])</f>
        <v>2026</v>
      </c>
    </row>
    <row r="9649" spans="1:9" x14ac:dyDescent="0.25">
      <c r="A9649" t="s">
        <v>6</v>
      </c>
      <c r="B9649" s="1">
        <v>46059</v>
      </c>
      <c r="C9649">
        <v>24</v>
      </c>
      <c r="D9649">
        <v>278.88</v>
      </c>
      <c r="E9649">
        <v>0</v>
      </c>
      <c r="F9649" t="s">
        <v>7</v>
      </c>
      <c r="G9649" t="s">
        <v>11</v>
      </c>
      <c r="H9649" s="5">
        <f>MONTH(Tabela1[[#This Row],[data]])</f>
        <v>2</v>
      </c>
      <c r="I9649">
        <f>YEAR(Tabela1[[#This Row],[data]])</f>
        <v>2026</v>
      </c>
    </row>
    <row r="9650" spans="1:9" x14ac:dyDescent="0.25">
      <c r="A9650" t="s">
        <v>6</v>
      </c>
      <c r="B9650" s="1">
        <v>46060</v>
      </c>
      <c r="C9650">
        <v>1</v>
      </c>
      <c r="D9650">
        <v>242.76</v>
      </c>
      <c r="E9650">
        <v>0</v>
      </c>
      <c r="F9650" t="s">
        <v>7</v>
      </c>
      <c r="G9650" t="s">
        <v>11</v>
      </c>
      <c r="H9650" s="5">
        <f>MONTH(Tabela1[[#This Row],[data]])</f>
        <v>2</v>
      </c>
      <c r="I9650">
        <f>YEAR(Tabela1[[#This Row],[data]])</f>
        <v>2026</v>
      </c>
    </row>
    <row r="9651" spans="1:9" x14ac:dyDescent="0.25">
      <c r="A9651" t="s">
        <v>6</v>
      </c>
      <c r="B9651" s="1">
        <v>46060</v>
      </c>
      <c r="C9651">
        <v>2</v>
      </c>
      <c r="D9651">
        <v>237.72</v>
      </c>
      <c r="E9651">
        <v>0</v>
      </c>
      <c r="F9651" t="s">
        <v>7</v>
      </c>
      <c r="G9651" t="s">
        <v>11</v>
      </c>
      <c r="H9651" s="5">
        <f>MONTH(Tabela1[[#This Row],[data]])</f>
        <v>2</v>
      </c>
      <c r="I9651">
        <f>YEAR(Tabela1[[#This Row],[data]])</f>
        <v>2026</v>
      </c>
    </row>
    <row r="9652" spans="1:9" x14ac:dyDescent="0.25">
      <c r="A9652" t="s">
        <v>6</v>
      </c>
      <c r="B9652" s="1">
        <v>46060</v>
      </c>
      <c r="C9652">
        <v>3</v>
      </c>
      <c r="D9652">
        <v>234.78</v>
      </c>
      <c r="E9652">
        <v>0</v>
      </c>
      <c r="F9652" t="s">
        <v>7</v>
      </c>
      <c r="G9652" t="s">
        <v>11</v>
      </c>
      <c r="H9652" s="5">
        <f>MONTH(Tabela1[[#This Row],[data]])</f>
        <v>2</v>
      </c>
      <c r="I9652">
        <f>YEAR(Tabela1[[#This Row],[data]])</f>
        <v>2026</v>
      </c>
    </row>
    <row r="9653" spans="1:9" x14ac:dyDescent="0.25">
      <c r="A9653" t="s">
        <v>6</v>
      </c>
      <c r="B9653" s="1">
        <v>46060</v>
      </c>
      <c r="C9653">
        <v>4</v>
      </c>
      <c r="D9653">
        <v>235.2</v>
      </c>
      <c r="E9653">
        <v>0</v>
      </c>
      <c r="F9653" t="s">
        <v>7</v>
      </c>
      <c r="G9653" t="s">
        <v>11</v>
      </c>
      <c r="H9653" s="5">
        <f>MONTH(Tabela1[[#This Row],[data]])</f>
        <v>2</v>
      </c>
      <c r="I9653">
        <f>YEAR(Tabela1[[#This Row],[data]])</f>
        <v>2026</v>
      </c>
    </row>
    <row r="9654" spans="1:9" x14ac:dyDescent="0.25">
      <c r="A9654" t="s">
        <v>6</v>
      </c>
      <c r="B9654" s="1">
        <v>46060</v>
      </c>
      <c r="C9654">
        <v>5</v>
      </c>
      <c r="D9654">
        <v>239.4</v>
      </c>
      <c r="E9654">
        <v>0</v>
      </c>
      <c r="F9654" t="s">
        <v>7</v>
      </c>
      <c r="G9654" t="s">
        <v>11</v>
      </c>
      <c r="H9654" s="5">
        <f>MONTH(Tabela1[[#This Row],[data]])</f>
        <v>2</v>
      </c>
      <c r="I9654">
        <f>YEAR(Tabela1[[#This Row],[data]])</f>
        <v>2026</v>
      </c>
    </row>
    <row r="9655" spans="1:9" x14ac:dyDescent="0.25">
      <c r="A9655" t="s">
        <v>6</v>
      </c>
      <c r="B9655" s="1">
        <v>46060</v>
      </c>
      <c r="C9655">
        <v>6</v>
      </c>
      <c r="D9655">
        <v>238.14</v>
      </c>
      <c r="E9655">
        <v>0</v>
      </c>
      <c r="F9655" t="s">
        <v>7</v>
      </c>
      <c r="G9655" t="s">
        <v>11</v>
      </c>
      <c r="H9655" s="5">
        <f>MONTH(Tabela1[[#This Row],[data]])</f>
        <v>2</v>
      </c>
      <c r="I9655">
        <f>YEAR(Tabela1[[#This Row],[data]])</f>
        <v>2026</v>
      </c>
    </row>
    <row r="9656" spans="1:9" x14ac:dyDescent="0.25">
      <c r="A9656" t="s">
        <v>6</v>
      </c>
      <c r="B9656" s="1">
        <v>46060</v>
      </c>
      <c r="C9656">
        <v>7</v>
      </c>
      <c r="D9656">
        <v>227.64</v>
      </c>
      <c r="E9656">
        <v>0</v>
      </c>
      <c r="F9656" t="s">
        <v>7</v>
      </c>
      <c r="G9656" t="s">
        <v>11</v>
      </c>
      <c r="H9656" s="5">
        <f>MONTH(Tabela1[[#This Row],[data]])</f>
        <v>2</v>
      </c>
      <c r="I9656">
        <f>YEAR(Tabela1[[#This Row],[data]])</f>
        <v>2026</v>
      </c>
    </row>
    <row r="9657" spans="1:9" x14ac:dyDescent="0.25">
      <c r="A9657" t="s">
        <v>6</v>
      </c>
      <c r="B9657" s="1">
        <v>46060</v>
      </c>
      <c r="C9657">
        <v>8</v>
      </c>
      <c r="D9657">
        <v>244.44</v>
      </c>
      <c r="E9657">
        <v>0</v>
      </c>
      <c r="F9657" t="s">
        <v>7</v>
      </c>
      <c r="G9657" t="s">
        <v>11</v>
      </c>
      <c r="H9657" s="5">
        <f>MONTH(Tabela1[[#This Row],[data]])</f>
        <v>2</v>
      </c>
      <c r="I9657">
        <f>YEAR(Tabela1[[#This Row],[data]])</f>
        <v>2026</v>
      </c>
    </row>
    <row r="9658" spans="1:9" x14ac:dyDescent="0.25">
      <c r="A9658" t="s">
        <v>6</v>
      </c>
      <c r="B9658" s="1">
        <v>46060</v>
      </c>
      <c r="C9658">
        <v>9</v>
      </c>
      <c r="D9658">
        <v>332.64</v>
      </c>
      <c r="E9658">
        <v>0</v>
      </c>
      <c r="F9658" t="s">
        <v>7</v>
      </c>
      <c r="G9658" t="s">
        <v>11</v>
      </c>
      <c r="H9658" s="5">
        <f>MONTH(Tabela1[[#This Row],[data]])</f>
        <v>2</v>
      </c>
      <c r="I9658">
        <f>YEAR(Tabela1[[#This Row],[data]])</f>
        <v>2026</v>
      </c>
    </row>
    <row r="9659" spans="1:9" x14ac:dyDescent="0.25">
      <c r="A9659" t="s">
        <v>6</v>
      </c>
      <c r="B9659" s="1">
        <v>46060</v>
      </c>
      <c r="C9659">
        <v>10</v>
      </c>
      <c r="D9659">
        <v>433.86</v>
      </c>
      <c r="E9659">
        <v>14.28</v>
      </c>
      <c r="F9659" t="s">
        <v>7</v>
      </c>
      <c r="G9659" t="s">
        <v>11</v>
      </c>
      <c r="H9659" s="5">
        <f>MONTH(Tabela1[[#This Row],[data]])</f>
        <v>2</v>
      </c>
      <c r="I9659">
        <f>YEAR(Tabela1[[#This Row],[data]])</f>
        <v>2026</v>
      </c>
    </row>
    <row r="9660" spans="1:9" x14ac:dyDescent="0.25">
      <c r="A9660" t="s">
        <v>6</v>
      </c>
      <c r="B9660" s="1">
        <v>46060</v>
      </c>
      <c r="C9660">
        <v>11</v>
      </c>
      <c r="D9660">
        <v>799.26</v>
      </c>
      <c r="E9660">
        <v>155.82</v>
      </c>
      <c r="F9660" t="s">
        <v>7</v>
      </c>
      <c r="G9660" t="s">
        <v>11</v>
      </c>
      <c r="H9660" s="5">
        <f>MONTH(Tabela1[[#This Row],[data]])</f>
        <v>2</v>
      </c>
      <c r="I9660">
        <f>YEAR(Tabela1[[#This Row],[data]])</f>
        <v>2026</v>
      </c>
    </row>
    <row r="9661" spans="1:9" x14ac:dyDescent="0.25">
      <c r="A9661" t="s">
        <v>6</v>
      </c>
      <c r="B9661" s="1">
        <v>46060</v>
      </c>
      <c r="C9661">
        <v>12</v>
      </c>
      <c r="D9661" s="2">
        <v>1001.7</v>
      </c>
      <c r="E9661">
        <v>246.12</v>
      </c>
      <c r="F9661" t="s">
        <v>7</v>
      </c>
      <c r="G9661" t="s">
        <v>11</v>
      </c>
      <c r="H9661" s="5">
        <f>MONTH(Tabela1[[#This Row],[data]])</f>
        <v>2</v>
      </c>
      <c r="I9661">
        <f>YEAR(Tabela1[[#This Row],[data]])</f>
        <v>2026</v>
      </c>
    </row>
    <row r="9662" spans="1:9" x14ac:dyDescent="0.25">
      <c r="A9662" t="s">
        <v>6</v>
      </c>
      <c r="B9662" s="1">
        <v>46060</v>
      </c>
      <c r="C9662">
        <v>13</v>
      </c>
      <c r="D9662">
        <v>999.6</v>
      </c>
      <c r="E9662">
        <v>262.5</v>
      </c>
      <c r="F9662" t="s">
        <v>7</v>
      </c>
      <c r="G9662" t="s">
        <v>11</v>
      </c>
      <c r="H9662" s="5">
        <f>MONTH(Tabela1[[#This Row],[data]])</f>
        <v>2</v>
      </c>
      <c r="I9662">
        <f>YEAR(Tabela1[[#This Row],[data]])</f>
        <v>2026</v>
      </c>
    </row>
    <row r="9663" spans="1:9" x14ac:dyDescent="0.25">
      <c r="A9663" t="s">
        <v>6</v>
      </c>
      <c r="B9663" s="1">
        <v>46060</v>
      </c>
      <c r="C9663">
        <v>14</v>
      </c>
      <c r="D9663" s="2">
        <v>1013.88</v>
      </c>
      <c r="E9663">
        <v>247.8</v>
      </c>
      <c r="F9663" t="s">
        <v>7</v>
      </c>
      <c r="G9663" t="s">
        <v>11</v>
      </c>
      <c r="H9663" s="5">
        <f>MONTH(Tabela1[[#This Row],[data]])</f>
        <v>2</v>
      </c>
      <c r="I9663">
        <f>YEAR(Tabela1[[#This Row],[data]])</f>
        <v>2026</v>
      </c>
    </row>
    <row r="9664" spans="1:9" x14ac:dyDescent="0.25">
      <c r="A9664" t="s">
        <v>6</v>
      </c>
      <c r="B9664" s="1">
        <v>46060</v>
      </c>
      <c r="C9664">
        <v>15</v>
      </c>
      <c r="D9664">
        <v>996.66</v>
      </c>
      <c r="E9664">
        <v>243.18</v>
      </c>
      <c r="F9664" t="s">
        <v>7</v>
      </c>
      <c r="G9664" t="s">
        <v>11</v>
      </c>
      <c r="H9664" s="5">
        <f>MONTH(Tabela1[[#This Row],[data]])</f>
        <v>2</v>
      </c>
      <c r="I9664">
        <f>YEAR(Tabela1[[#This Row],[data]])</f>
        <v>2026</v>
      </c>
    </row>
    <row r="9665" spans="1:9" x14ac:dyDescent="0.25">
      <c r="A9665" t="s">
        <v>6</v>
      </c>
      <c r="B9665" s="1">
        <v>46060</v>
      </c>
      <c r="C9665">
        <v>16</v>
      </c>
      <c r="D9665">
        <v>933.66</v>
      </c>
      <c r="E9665">
        <v>222.6</v>
      </c>
      <c r="F9665" t="s">
        <v>7</v>
      </c>
      <c r="G9665" t="s">
        <v>11</v>
      </c>
      <c r="H9665" s="5">
        <f>MONTH(Tabela1[[#This Row],[data]])</f>
        <v>2</v>
      </c>
      <c r="I9665">
        <f>YEAR(Tabela1[[#This Row],[data]])</f>
        <v>2026</v>
      </c>
    </row>
    <row r="9666" spans="1:9" x14ac:dyDescent="0.25">
      <c r="A9666" t="s">
        <v>6</v>
      </c>
      <c r="B9666" s="1">
        <v>46060</v>
      </c>
      <c r="C9666">
        <v>17</v>
      </c>
      <c r="D9666">
        <v>901.32</v>
      </c>
      <c r="E9666">
        <v>200.34</v>
      </c>
      <c r="F9666" t="s">
        <v>7</v>
      </c>
      <c r="G9666" t="s">
        <v>11</v>
      </c>
      <c r="H9666" s="5">
        <f>MONTH(Tabela1[[#This Row],[data]])</f>
        <v>2</v>
      </c>
      <c r="I9666">
        <f>YEAR(Tabela1[[#This Row],[data]])</f>
        <v>2026</v>
      </c>
    </row>
    <row r="9667" spans="1:9" x14ac:dyDescent="0.25">
      <c r="A9667" t="s">
        <v>6</v>
      </c>
      <c r="B9667" s="1">
        <v>46060</v>
      </c>
      <c r="C9667">
        <v>18</v>
      </c>
      <c r="D9667">
        <v>897.96</v>
      </c>
      <c r="E9667">
        <v>196.56</v>
      </c>
      <c r="F9667" t="s">
        <v>7</v>
      </c>
      <c r="G9667" t="s">
        <v>11</v>
      </c>
      <c r="H9667" s="5">
        <f>MONTH(Tabela1[[#This Row],[data]])</f>
        <v>2</v>
      </c>
      <c r="I9667">
        <f>YEAR(Tabela1[[#This Row],[data]])</f>
        <v>2026</v>
      </c>
    </row>
    <row r="9668" spans="1:9" x14ac:dyDescent="0.25">
      <c r="A9668" t="s">
        <v>6</v>
      </c>
      <c r="B9668" s="1">
        <v>46060</v>
      </c>
      <c r="C9668">
        <v>19</v>
      </c>
      <c r="D9668">
        <v>903.84</v>
      </c>
      <c r="E9668">
        <v>200.34</v>
      </c>
      <c r="F9668" t="s">
        <v>7</v>
      </c>
      <c r="G9668" t="s">
        <v>11</v>
      </c>
      <c r="H9668" s="5">
        <f>MONTH(Tabela1[[#This Row],[data]])</f>
        <v>2</v>
      </c>
      <c r="I9668">
        <f>YEAR(Tabela1[[#This Row],[data]])</f>
        <v>2026</v>
      </c>
    </row>
    <row r="9669" spans="1:9" x14ac:dyDescent="0.25">
      <c r="A9669" t="s">
        <v>6</v>
      </c>
      <c r="B9669" s="1">
        <v>46060</v>
      </c>
      <c r="C9669">
        <v>20</v>
      </c>
      <c r="D9669">
        <v>926.94</v>
      </c>
      <c r="E9669">
        <v>207.06</v>
      </c>
      <c r="F9669" t="s">
        <v>7</v>
      </c>
      <c r="G9669" t="s">
        <v>11</v>
      </c>
      <c r="H9669" s="5">
        <f>MONTH(Tabela1[[#This Row],[data]])</f>
        <v>2</v>
      </c>
      <c r="I9669">
        <f>YEAR(Tabela1[[#This Row],[data]])</f>
        <v>2026</v>
      </c>
    </row>
    <row r="9670" spans="1:9" x14ac:dyDescent="0.25">
      <c r="A9670" t="s">
        <v>6</v>
      </c>
      <c r="B9670" s="1">
        <v>46060</v>
      </c>
      <c r="C9670">
        <v>21</v>
      </c>
      <c r="D9670">
        <v>930.72</v>
      </c>
      <c r="E9670">
        <v>217.98</v>
      </c>
      <c r="F9670" t="s">
        <v>7</v>
      </c>
      <c r="G9670" t="s">
        <v>11</v>
      </c>
      <c r="H9670" s="5">
        <f>MONTH(Tabela1[[#This Row],[data]])</f>
        <v>2</v>
      </c>
      <c r="I9670">
        <f>YEAR(Tabela1[[#This Row],[data]])</f>
        <v>2026</v>
      </c>
    </row>
    <row r="9671" spans="1:9" x14ac:dyDescent="0.25">
      <c r="A9671" t="s">
        <v>6</v>
      </c>
      <c r="B9671" s="1">
        <v>46060</v>
      </c>
      <c r="C9671">
        <v>22</v>
      </c>
      <c r="D9671">
        <v>870.24</v>
      </c>
      <c r="E9671">
        <v>186.06</v>
      </c>
      <c r="F9671" t="s">
        <v>7</v>
      </c>
      <c r="G9671" t="s">
        <v>11</v>
      </c>
      <c r="H9671" s="5">
        <f>MONTH(Tabela1[[#This Row],[data]])</f>
        <v>2</v>
      </c>
      <c r="I9671">
        <f>YEAR(Tabela1[[#This Row],[data]])</f>
        <v>2026</v>
      </c>
    </row>
    <row r="9672" spans="1:9" x14ac:dyDescent="0.25">
      <c r="A9672" t="s">
        <v>6</v>
      </c>
      <c r="B9672" s="1">
        <v>46060</v>
      </c>
      <c r="C9672">
        <v>23</v>
      </c>
      <c r="D9672">
        <v>426.3</v>
      </c>
      <c r="E9672">
        <v>8.82</v>
      </c>
      <c r="F9672" t="s">
        <v>7</v>
      </c>
      <c r="G9672" t="s">
        <v>11</v>
      </c>
      <c r="H9672" s="5">
        <f>MONTH(Tabela1[[#This Row],[data]])</f>
        <v>2</v>
      </c>
      <c r="I9672">
        <f>YEAR(Tabela1[[#This Row],[data]])</f>
        <v>2026</v>
      </c>
    </row>
    <row r="9673" spans="1:9" x14ac:dyDescent="0.25">
      <c r="A9673" t="s">
        <v>6</v>
      </c>
      <c r="B9673" s="1">
        <v>46060</v>
      </c>
      <c r="C9673">
        <v>24</v>
      </c>
      <c r="D9673">
        <v>283.08</v>
      </c>
      <c r="E9673">
        <v>0</v>
      </c>
      <c r="F9673" t="s">
        <v>7</v>
      </c>
      <c r="G9673" t="s">
        <v>11</v>
      </c>
      <c r="H9673" s="5">
        <f>MONTH(Tabela1[[#This Row],[data]])</f>
        <v>2</v>
      </c>
      <c r="I9673">
        <f>YEAR(Tabela1[[#This Row],[data]])</f>
        <v>2026</v>
      </c>
    </row>
    <row r="9674" spans="1:9" x14ac:dyDescent="0.25">
      <c r="A9674" t="s">
        <v>6</v>
      </c>
      <c r="B9674" s="1">
        <v>46061</v>
      </c>
      <c r="C9674">
        <v>1</v>
      </c>
      <c r="D9674">
        <v>257.45999999999998</v>
      </c>
      <c r="E9674">
        <v>0</v>
      </c>
      <c r="F9674" t="s">
        <v>7</v>
      </c>
      <c r="G9674" t="s">
        <v>11</v>
      </c>
      <c r="H9674" s="5">
        <f>MONTH(Tabela1[[#This Row],[data]])</f>
        <v>2</v>
      </c>
      <c r="I9674">
        <f>YEAR(Tabela1[[#This Row],[data]])</f>
        <v>2026</v>
      </c>
    </row>
    <row r="9675" spans="1:9" x14ac:dyDescent="0.25">
      <c r="A9675" t="s">
        <v>6</v>
      </c>
      <c r="B9675" s="1">
        <v>46061</v>
      </c>
      <c r="C9675">
        <v>2</v>
      </c>
      <c r="D9675">
        <v>241.08</v>
      </c>
      <c r="E9675">
        <v>0</v>
      </c>
      <c r="F9675" t="s">
        <v>7</v>
      </c>
      <c r="G9675" t="s">
        <v>11</v>
      </c>
      <c r="H9675" s="5">
        <f>MONTH(Tabela1[[#This Row],[data]])</f>
        <v>2</v>
      </c>
      <c r="I9675">
        <f>YEAR(Tabela1[[#This Row],[data]])</f>
        <v>2026</v>
      </c>
    </row>
    <row r="9676" spans="1:9" x14ac:dyDescent="0.25">
      <c r="A9676" t="s">
        <v>6</v>
      </c>
      <c r="B9676" s="1">
        <v>46061</v>
      </c>
      <c r="C9676">
        <v>3</v>
      </c>
      <c r="D9676">
        <v>233.1</v>
      </c>
      <c r="E9676">
        <v>0</v>
      </c>
      <c r="F9676" t="s">
        <v>7</v>
      </c>
      <c r="G9676" t="s">
        <v>11</v>
      </c>
      <c r="H9676" s="5">
        <f>MONTH(Tabela1[[#This Row],[data]])</f>
        <v>2</v>
      </c>
      <c r="I9676">
        <f>YEAR(Tabela1[[#This Row],[data]])</f>
        <v>2026</v>
      </c>
    </row>
    <row r="9677" spans="1:9" x14ac:dyDescent="0.25">
      <c r="A9677" t="s">
        <v>6</v>
      </c>
      <c r="B9677" s="1">
        <v>46061</v>
      </c>
      <c r="C9677">
        <v>4</v>
      </c>
      <c r="D9677">
        <v>233.94</v>
      </c>
      <c r="E9677">
        <v>0</v>
      </c>
      <c r="F9677" t="s">
        <v>7</v>
      </c>
      <c r="G9677" t="s">
        <v>11</v>
      </c>
      <c r="H9677" s="5">
        <f>MONTH(Tabela1[[#This Row],[data]])</f>
        <v>2</v>
      </c>
      <c r="I9677">
        <f>YEAR(Tabela1[[#This Row],[data]])</f>
        <v>2026</v>
      </c>
    </row>
    <row r="9678" spans="1:9" x14ac:dyDescent="0.25">
      <c r="A9678" t="s">
        <v>6</v>
      </c>
      <c r="B9678" s="1">
        <v>46061</v>
      </c>
      <c r="C9678">
        <v>5</v>
      </c>
      <c r="D9678">
        <v>236.04</v>
      </c>
      <c r="E9678">
        <v>0</v>
      </c>
      <c r="F9678" t="s">
        <v>7</v>
      </c>
      <c r="G9678" t="s">
        <v>11</v>
      </c>
      <c r="H9678" s="5">
        <f>MONTH(Tabela1[[#This Row],[data]])</f>
        <v>2</v>
      </c>
      <c r="I9678">
        <f>YEAR(Tabela1[[#This Row],[data]])</f>
        <v>2026</v>
      </c>
    </row>
    <row r="9679" spans="1:9" x14ac:dyDescent="0.25">
      <c r="A9679" t="s">
        <v>6</v>
      </c>
      <c r="B9679" s="1">
        <v>46061</v>
      </c>
      <c r="C9679">
        <v>6</v>
      </c>
      <c r="D9679">
        <v>233.1</v>
      </c>
      <c r="E9679">
        <v>0</v>
      </c>
      <c r="F9679" t="s">
        <v>7</v>
      </c>
      <c r="G9679" t="s">
        <v>11</v>
      </c>
      <c r="H9679" s="5">
        <f>MONTH(Tabela1[[#This Row],[data]])</f>
        <v>2</v>
      </c>
      <c r="I9679">
        <f>YEAR(Tabela1[[#This Row],[data]])</f>
        <v>2026</v>
      </c>
    </row>
    <row r="9680" spans="1:9" x14ac:dyDescent="0.25">
      <c r="A9680" t="s">
        <v>6</v>
      </c>
      <c r="B9680" s="1">
        <v>46061</v>
      </c>
      <c r="C9680">
        <v>7</v>
      </c>
      <c r="D9680">
        <v>225.12</v>
      </c>
      <c r="E9680">
        <v>0</v>
      </c>
      <c r="F9680" t="s">
        <v>7</v>
      </c>
      <c r="G9680" t="s">
        <v>11</v>
      </c>
      <c r="H9680" s="5">
        <f>MONTH(Tabela1[[#This Row],[data]])</f>
        <v>2</v>
      </c>
      <c r="I9680">
        <f>YEAR(Tabela1[[#This Row],[data]])</f>
        <v>2026</v>
      </c>
    </row>
    <row r="9681" spans="1:9" x14ac:dyDescent="0.25">
      <c r="A9681" t="s">
        <v>6</v>
      </c>
      <c r="B9681" s="1">
        <v>46061</v>
      </c>
      <c r="C9681">
        <v>8</v>
      </c>
      <c r="D9681">
        <v>219.66</v>
      </c>
      <c r="E9681">
        <v>0</v>
      </c>
      <c r="F9681" t="s">
        <v>7</v>
      </c>
      <c r="G9681" t="s">
        <v>11</v>
      </c>
      <c r="H9681" s="5">
        <f>MONTH(Tabela1[[#This Row],[data]])</f>
        <v>2</v>
      </c>
      <c r="I9681">
        <f>YEAR(Tabela1[[#This Row],[data]])</f>
        <v>2026</v>
      </c>
    </row>
    <row r="9682" spans="1:9" x14ac:dyDescent="0.25">
      <c r="A9682" t="s">
        <v>6</v>
      </c>
      <c r="B9682" s="1">
        <v>46061</v>
      </c>
      <c r="C9682">
        <v>9</v>
      </c>
      <c r="D9682">
        <v>257.88</v>
      </c>
      <c r="E9682">
        <v>0</v>
      </c>
      <c r="F9682" t="s">
        <v>7</v>
      </c>
      <c r="G9682" t="s">
        <v>11</v>
      </c>
      <c r="H9682" s="5">
        <f>MONTH(Tabela1[[#This Row],[data]])</f>
        <v>2</v>
      </c>
      <c r="I9682">
        <f>YEAR(Tabela1[[#This Row],[data]])</f>
        <v>2026</v>
      </c>
    </row>
    <row r="9683" spans="1:9" x14ac:dyDescent="0.25">
      <c r="A9683" t="s">
        <v>6</v>
      </c>
      <c r="B9683" s="1">
        <v>46061</v>
      </c>
      <c r="C9683">
        <v>10</v>
      </c>
      <c r="D9683">
        <v>327.18</v>
      </c>
      <c r="E9683">
        <v>1.26</v>
      </c>
      <c r="F9683" t="s">
        <v>7</v>
      </c>
      <c r="G9683" t="s">
        <v>11</v>
      </c>
      <c r="H9683" s="5">
        <f>MONTH(Tabela1[[#This Row],[data]])</f>
        <v>2</v>
      </c>
      <c r="I9683">
        <f>YEAR(Tabela1[[#This Row],[data]])</f>
        <v>2026</v>
      </c>
    </row>
    <row r="9684" spans="1:9" x14ac:dyDescent="0.25">
      <c r="A9684" t="s">
        <v>6</v>
      </c>
      <c r="B9684" s="1">
        <v>46061</v>
      </c>
      <c r="C9684">
        <v>11</v>
      </c>
      <c r="D9684">
        <v>406.98</v>
      </c>
      <c r="E9684">
        <v>21</v>
      </c>
      <c r="F9684" t="s">
        <v>7</v>
      </c>
      <c r="G9684" t="s">
        <v>11</v>
      </c>
      <c r="H9684" s="5">
        <f>MONTH(Tabela1[[#This Row],[data]])</f>
        <v>2</v>
      </c>
      <c r="I9684">
        <f>YEAR(Tabela1[[#This Row],[data]])</f>
        <v>2026</v>
      </c>
    </row>
    <row r="9685" spans="1:9" x14ac:dyDescent="0.25">
      <c r="A9685" t="s">
        <v>6</v>
      </c>
      <c r="B9685" s="1">
        <v>46061</v>
      </c>
      <c r="C9685">
        <v>12</v>
      </c>
      <c r="D9685">
        <v>594.29999999999995</v>
      </c>
      <c r="E9685">
        <v>100.8</v>
      </c>
      <c r="F9685" t="s">
        <v>7</v>
      </c>
      <c r="G9685" t="s">
        <v>11</v>
      </c>
      <c r="H9685" s="5">
        <f>MONTH(Tabela1[[#This Row],[data]])</f>
        <v>2</v>
      </c>
      <c r="I9685">
        <f>YEAR(Tabela1[[#This Row],[data]])</f>
        <v>2026</v>
      </c>
    </row>
    <row r="9686" spans="1:9" x14ac:dyDescent="0.25">
      <c r="A9686" t="s">
        <v>6</v>
      </c>
      <c r="B9686" s="1">
        <v>46061</v>
      </c>
      <c r="C9686">
        <v>13</v>
      </c>
      <c r="D9686">
        <v>660.66</v>
      </c>
      <c r="E9686">
        <v>103.74</v>
      </c>
      <c r="F9686" t="s">
        <v>7</v>
      </c>
      <c r="G9686" t="s">
        <v>11</v>
      </c>
      <c r="H9686" s="5">
        <f>MONTH(Tabela1[[#This Row],[data]])</f>
        <v>2</v>
      </c>
      <c r="I9686">
        <f>YEAR(Tabela1[[#This Row],[data]])</f>
        <v>2026</v>
      </c>
    </row>
    <row r="9687" spans="1:9" x14ac:dyDescent="0.25">
      <c r="A9687" t="s">
        <v>6</v>
      </c>
      <c r="B9687" s="1">
        <v>46061</v>
      </c>
      <c r="C9687">
        <v>14</v>
      </c>
      <c r="D9687">
        <v>712.74</v>
      </c>
      <c r="E9687">
        <v>115.5</v>
      </c>
      <c r="F9687" t="s">
        <v>7</v>
      </c>
      <c r="G9687" t="s">
        <v>11</v>
      </c>
      <c r="H9687" s="5">
        <f>MONTH(Tabela1[[#This Row],[data]])</f>
        <v>2</v>
      </c>
      <c r="I9687">
        <f>YEAR(Tabela1[[#This Row],[data]])</f>
        <v>2026</v>
      </c>
    </row>
    <row r="9688" spans="1:9" x14ac:dyDescent="0.25">
      <c r="A9688" t="s">
        <v>6</v>
      </c>
      <c r="B9688" s="1">
        <v>46061</v>
      </c>
      <c r="C9688">
        <v>15</v>
      </c>
      <c r="D9688">
        <v>724.08</v>
      </c>
      <c r="E9688">
        <v>121.8</v>
      </c>
      <c r="F9688" t="s">
        <v>7</v>
      </c>
      <c r="G9688" t="s">
        <v>11</v>
      </c>
      <c r="H9688" s="5">
        <f>MONTH(Tabela1[[#This Row],[data]])</f>
        <v>2</v>
      </c>
      <c r="I9688">
        <f>YEAR(Tabela1[[#This Row],[data]])</f>
        <v>2026</v>
      </c>
    </row>
    <row r="9689" spans="1:9" x14ac:dyDescent="0.25">
      <c r="A9689" t="s">
        <v>6</v>
      </c>
      <c r="B9689" s="1">
        <v>46061</v>
      </c>
      <c r="C9689">
        <v>16</v>
      </c>
      <c r="D9689">
        <v>741.3</v>
      </c>
      <c r="E9689">
        <v>136.08000000000001</v>
      </c>
      <c r="F9689" t="s">
        <v>7</v>
      </c>
      <c r="G9689" t="s">
        <v>11</v>
      </c>
      <c r="H9689" s="5">
        <f>MONTH(Tabela1[[#This Row],[data]])</f>
        <v>2</v>
      </c>
      <c r="I9689">
        <f>YEAR(Tabela1[[#This Row],[data]])</f>
        <v>2026</v>
      </c>
    </row>
    <row r="9690" spans="1:9" x14ac:dyDescent="0.25">
      <c r="A9690" t="s">
        <v>6</v>
      </c>
      <c r="B9690" s="1">
        <v>46061</v>
      </c>
      <c r="C9690">
        <v>17</v>
      </c>
      <c r="D9690">
        <v>739.2</v>
      </c>
      <c r="E9690">
        <v>141.12</v>
      </c>
      <c r="F9690" t="s">
        <v>7</v>
      </c>
      <c r="G9690" t="s">
        <v>11</v>
      </c>
      <c r="H9690" s="5">
        <f>MONTH(Tabela1[[#This Row],[data]])</f>
        <v>2</v>
      </c>
      <c r="I9690">
        <f>YEAR(Tabela1[[#This Row],[data]])</f>
        <v>2026</v>
      </c>
    </row>
    <row r="9691" spans="1:9" x14ac:dyDescent="0.25">
      <c r="A9691" t="s">
        <v>6</v>
      </c>
      <c r="B9691" s="1">
        <v>46061</v>
      </c>
      <c r="C9691">
        <v>18</v>
      </c>
      <c r="D9691">
        <v>714.84</v>
      </c>
      <c r="E9691">
        <v>114.66</v>
      </c>
      <c r="F9691" t="s">
        <v>7</v>
      </c>
      <c r="G9691" t="s">
        <v>11</v>
      </c>
      <c r="H9691" s="5">
        <f>MONTH(Tabela1[[#This Row],[data]])</f>
        <v>2</v>
      </c>
      <c r="I9691">
        <f>YEAR(Tabela1[[#This Row],[data]])</f>
        <v>2026</v>
      </c>
    </row>
    <row r="9692" spans="1:9" x14ac:dyDescent="0.25">
      <c r="A9692" t="s">
        <v>6</v>
      </c>
      <c r="B9692" s="1">
        <v>46061</v>
      </c>
      <c r="C9692">
        <v>19</v>
      </c>
      <c r="D9692">
        <v>685.86</v>
      </c>
      <c r="E9692">
        <v>92.4</v>
      </c>
      <c r="F9692" t="s">
        <v>7</v>
      </c>
      <c r="G9692" t="s">
        <v>11</v>
      </c>
      <c r="H9692" s="5">
        <f>MONTH(Tabela1[[#This Row],[data]])</f>
        <v>2</v>
      </c>
      <c r="I9692">
        <f>YEAR(Tabela1[[#This Row],[data]])</f>
        <v>2026</v>
      </c>
    </row>
    <row r="9693" spans="1:9" x14ac:dyDescent="0.25">
      <c r="A9693" t="s">
        <v>6</v>
      </c>
      <c r="B9693" s="1">
        <v>46061</v>
      </c>
      <c r="C9693">
        <v>20</v>
      </c>
      <c r="D9693">
        <v>685.44</v>
      </c>
      <c r="E9693">
        <v>90.72</v>
      </c>
      <c r="F9693" t="s">
        <v>7</v>
      </c>
      <c r="G9693" t="s">
        <v>11</v>
      </c>
      <c r="H9693" s="5">
        <f>MONTH(Tabela1[[#This Row],[data]])</f>
        <v>2</v>
      </c>
      <c r="I9693">
        <f>YEAR(Tabela1[[#This Row],[data]])</f>
        <v>2026</v>
      </c>
    </row>
    <row r="9694" spans="1:9" x14ac:dyDescent="0.25">
      <c r="A9694" t="s">
        <v>6</v>
      </c>
      <c r="B9694" s="1">
        <v>46061</v>
      </c>
      <c r="C9694">
        <v>21</v>
      </c>
      <c r="D9694">
        <v>607.32000000000005</v>
      </c>
      <c r="E9694">
        <v>65.099999999999994</v>
      </c>
      <c r="F9694" t="s">
        <v>7</v>
      </c>
      <c r="G9694" t="s">
        <v>11</v>
      </c>
      <c r="H9694" s="5">
        <f>MONTH(Tabela1[[#This Row],[data]])</f>
        <v>2</v>
      </c>
      <c r="I9694">
        <f>YEAR(Tabela1[[#This Row],[data]])</f>
        <v>2026</v>
      </c>
    </row>
    <row r="9695" spans="1:9" x14ac:dyDescent="0.25">
      <c r="A9695" t="s">
        <v>6</v>
      </c>
      <c r="B9695" s="1">
        <v>46061</v>
      </c>
      <c r="C9695">
        <v>22</v>
      </c>
      <c r="D9695">
        <v>481.32</v>
      </c>
      <c r="E9695">
        <v>37.380000000000003</v>
      </c>
      <c r="F9695" t="s">
        <v>7</v>
      </c>
      <c r="G9695" t="s">
        <v>11</v>
      </c>
      <c r="H9695" s="5">
        <f>MONTH(Tabela1[[#This Row],[data]])</f>
        <v>2</v>
      </c>
      <c r="I9695">
        <f>YEAR(Tabela1[[#This Row],[data]])</f>
        <v>2026</v>
      </c>
    </row>
    <row r="9696" spans="1:9" x14ac:dyDescent="0.25">
      <c r="A9696" t="s">
        <v>6</v>
      </c>
      <c r="B9696" s="1">
        <v>46061</v>
      </c>
      <c r="C9696">
        <v>23</v>
      </c>
      <c r="D9696">
        <v>345.24</v>
      </c>
      <c r="E9696">
        <v>1.26</v>
      </c>
      <c r="F9696" t="s">
        <v>7</v>
      </c>
      <c r="G9696" t="s">
        <v>11</v>
      </c>
      <c r="H9696" s="5">
        <f>MONTH(Tabela1[[#This Row],[data]])</f>
        <v>2</v>
      </c>
      <c r="I9696">
        <f>YEAR(Tabela1[[#This Row],[data]])</f>
        <v>2026</v>
      </c>
    </row>
    <row r="9697" spans="1:9" x14ac:dyDescent="0.25">
      <c r="A9697" t="s">
        <v>6</v>
      </c>
      <c r="B9697" s="1">
        <v>46061</v>
      </c>
      <c r="C9697">
        <v>24</v>
      </c>
      <c r="D9697">
        <v>285.60000000000002</v>
      </c>
      <c r="E9697">
        <v>0</v>
      </c>
      <c r="F9697" t="s">
        <v>7</v>
      </c>
      <c r="G9697" t="s">
        <v>11</v>
      </c>
      <c r="H9697" s="5">
        <f>MONTH(Tabela1[[#This Row],[data]])</f>
        <v>2</v>
      </c>
      <c r="I9697">
        <f>YEAR(Tabela1[[#This Row],[data]])</f>
        <v>2026</v>
      </c>
    </row>
    <row r="9698" spans="1:9" x14ac:dyDescent="0.25">
      <c r="A9698" t="s">
        <v>6</v>
      </c>
      <c r="B9698" s="1">
        <v>46062</v>
      </c>
      <c r="C9698">
        <v>1</v>
      </c>
      <c r="D9698">
        <v>259.56</v>
      </c>
      <c r="E9698">
        <v>0</v>
      </c>
      <c r="F9698" t="s">
        <v>7</v>
      </c>
      <c r="G9698" t="s">
        <v>12</v>
      </c>
      <c r="H9698" s="5">
        <f>MONTH(Tabela1[[#This Row],[data]])</f>
        <v>2</v>
      </c>
      <c r="I9698">
        <f>YEAR(Tabela1[[#This Row],[data]])</f>
        <v>2026</v>
      </c>
    </row>
    <row r="9699" spans="1:9" x14ac:dyDescent="0.25">
      <c r="A9699" t="s">
        <v>6</v>
      </c>
      <c r="B9699" s="1">
        <v>46062</v>
      </c>
      <c r="C9699">
        <v>2</v>
      </c>
      <c r="D9699">
        <v>237.72</v>
      </c>
      <c r="E9699">
        <v>0</v>
      </c>
      <c r="F9699" t="s">
        <v>7</v>
      </c>
      <c r="G9699" t="s">
        <v>12</v>
      </c>
      <c r="H9699" s="5">
        <f>MONTH(Tabela1[[#This Row],[data]])</f>
        <v>2</v>
      </c>
      <c r="I9699">
        <f>YEAR(Tabela1[[#This Row],[data]])</f>
        <v>2026</v>
      </c>
    </row>
    <row r="9700" spans="1:9" x14ac:dyDescent="0.25">
      <c r="A9700" t="s">
        <v>6</v>
      </c>
      <c r="B9700" s="1">
        <v>46062</v>
      </c>
      <c r="C9700">
        <v>3</v>
      </c>
      <c r="D9700">
        <v>232.26</v>
      </c>
      <c r="E9700">
        <v>0</v>
      </c>
      <c r="F9700" t="s">
        <v>7</v>
      </c>
      <c r="G9700" t="s">
        <v>12</v>
      </c>
      <c r="H9700" s="5">
        <f>MONTH(Tabela1[[#This Row],[data]])</f>
        <v>2</v>
      </c>
      <c r="I9700">
        <f>YEAR(Tabela1[[#This Row],[data]])</f>
        <v>2026</v>
      </c>
    </row>
    <row r="9701" spans="1:9" x14ac:dyDescent="0.25">
      <c r="A9701" t="s">
        <v>6</v>
      </c>
      <c r="B9701" s="1">
        <v>46062</v>
      </c>
      <c r="C9701">
        <v>4</v>
      </c>
      <c r="D9701">
        <v>231.42</v>
      </c>
      <c r="E9701">
        <v>0</v>
      </c>
      <c r="F9701" t="s">
        <v>7</v>
      </c>
      <c r="G9701" t="s">
        <v>12</v>
      </c>
      <c r="H9701" s="5">
        <f>MONTH(Tabela1[[#This Row],[data]])</f>
        <v>2</v>
      </c>
      <c r="I9701">
        <f>YEAR(Tabela1[[#This Row],[data]])</f>
        <v>2026</v>
      </c>
    </row>
    <row r="9702" spans="1:9" x14ac:dyDescent="0.25">
      <c r="A9702" t="s">
        <v>6</v>
      </c>
      <c r="B9702" s="1">
        <v>46062</v>
      </c>
      <c r="C9702">
        <v>5</v>
      </c>
      <c r="D9702">
        <v>238.56</v>
      </c>
      <c r="E9702">
        <v>0</v>
      </c>
      <c r="F9702" t="s">
        <v>7</v>
      </c>
      <c r="G9702" t="s">
        <v>12</v>
      </c>
      <c r="H9702" s="5">
        <f>MONTH(Tabela1[[#This Row],[data]])</f>
        <v>2</v>
      </c>
      <c r="I9702">
        <f>YEAR(Tabela1[[#This Row],[data]])</f>
        <v>2026</v>
      </c>
    </row>
    <row r="9703" spans="1:9" x14ac:dyDescent="0.25">
      <c r="A9703" t="s">
        <v>6</v>
      </c>
      <c r="B9703" s="1">
        <v>46062</v>
      </c>
      <c r="C9703">
        <v>6</v>
      </c>
      <c r="D9703">
        <v>224.28</v>
      </c>
      <c r="E9703">
        <v>0</v>
      </c>
      <c r="F9703" t="s">
        <v>7</v>
      </c>
      <c r="G9703" t="s">
        <v>12</v>
      </c>
      <c r="H9703" s="5">
        <f>MONTH(Tabela1[[#This Row],[data]])</f>
        <v>2</v>
      </c>
      <c r="I9703">
        <f>YEAR(Tabela1[[#This Row],[data]])</f>
        <v>2026</v>
      </c>
    </row>
    <row r="9704" spans="1:9" x14ac:dyDescent="0.25">
      <c r="A9704" t="s">
        <v>6</v>
      </c>
      <c r="B9704" s="1">
        <v>46062</v>
      </c>
      <c r="C9704">
        <v>7</v>
      </c>
      <c r="D9704">
        <v>230.16</v>
      </c>
      <c r="E9704">
        <v>0</v>
      </c>
      <c r="F9704" t="s">
        <v>7</v>
      </c>
      <c r="G9704" t="s">
        <v>12</v>
      </c>
      <c r="H9704" s="5">
        <f>MONTH(Tabela1[[#This Row],[data]])</f>
        <v>2</v>
      </c>
      <c r="I9704">
        <f>YEAR(Tabela1[[#This Row],[data]])</f>
        <v>2026</v>
      </c>
    </row>
    <row r="9705" spans="1:9" x14ac:dyDescent="0.25">
      <c r="A9705" t="s">
        <v>6</v>
      </c>
      <c r="B9705" s="1">
        <v>46062</v>
      </c>
      <c r="C9705">
        <v>8</v>
      </c>
      <c r="D9705">
        <v>257.04000000000002</v>
      </c>
      <c r="E9705">
        <v>0</v>
      </c>
      <c r="F9705" t="s">
        <v>7</v>
      </c>
      <c r="G9705" t="s">
        <v>12</v>
      </c>
      <c r="H9705" s="5">
        <f>MONTH(Tabela1[[#This Row],[data]])</f>
        <v>2</v>
      </c>
      <c r="I9705">
        <f>YEAR(Tabela1[[#This Row],[data]])</f>
        <v>2026</v>
      </c>
    </row>
    <row r="9706" spans="1:9" x14ac:dyDescent="0.25">
      <c r="A9706" t="s">
        <v>6</v>
      </c>
      <c r="B9706" s="1">
        <v>46062</v>
      </c>
      <c r="C9706">
        <v>9</v>
      </c>
      <c r="D9706">
        <v>341.46</v>
      </c>
      <c r="E9706">
        <v>0</v>
      </c>
      <c r="F9706" t="s">
        <v>7</v>
      </c>
      <c r="G9706" t="s">
        <v>12</v>
      </c>
      <c r="H9706" s="5">
        <f>MONTH(Tabela1[[#This Row],[data]])</f>
        <v>2</v>
      </c>
      <c r="I9706">
        <f>YEAR(Tabela1[[#This Row],[data]])</f>
        <v>2026</v>
      </c>
    </row>
    <row r="9707" spans="1:9" x14ac:dyDescent="0.25">
      <c r="A9707" t="s">
        <v>6</v>
      </c>
      <c r="B9707" s="1">
        <v>46062</v>
      </c>
      <c r="C9707">
        <v>10</v>
      </c>
      <c r="D9707">
        <v>456.96</v>
      </c>
      <c r="E9707">
        <v>10.5</v>
      </c>
      <c r="F9707" t="s">
        <v>7</v>
      </c>
      <c r="G9707" t="s">
        <v>12</v>
      </c>
      <c r="H9707" s="5">
        <f>MONTH(Tabela1[[#This Row],[data]])</f>
        <v>2</v>
      </c>
      <c r="I9707">
        <f>YEAR(Tabela1[[#This Row],[data]])</f>
        <v>2026</v>
      </c>
    </row>
    <row r="9708" spans="1:9" x14ac:dyDescent="0.25">
      <c r="A9708" t="s">
        <v>6</v>
      </c>
      <c r="B9708" s="1">
        <v>46062</v>
      </c>
      <c r="C9708">
        <v>11</v>
      </c>
      <c r="D9708">
        <v>868.56</v>
      </c>
      <c r="E9708">
        <v>173.88</v>
      </c>
      <c r="F9708" t="s">
        <v>7</v>
      </c>
      <c r="G9708" t="s">
        <v>12</v>
      </c>
      <c r="H9708" s="5">
        <f>MONTH(Tabela1[[#This Row],[data]])</f>
        <v>2</v>
      </c>
      <c r="I9708">
        <f>YEAR(Tabela1[[#This Row],[data]])</f>
        <v>2026</v>
      </c>
    </row>
    <row r="9709" spans="1:9" x14ac:dyDescent="0.25">
      <c r="A9709" t="s">
        <v>6</v>
      </c>
      <c r="B9709" s="1">
        <v>46062</v>
      </c>
      <c r="C9709">
        <v>12</v>
      </c>
      <c r="D9709">
        <v>952.98</v>
      </c>
      <c r="E9709">
        <v>214.62</v>
      </c>
      <c r="F9709" t="s">
        <v>7</v>
      </c>
      <c r="G9709" t="s">
        <v>12</v>
      </c>
      <c r="H9709" s="5">
        <f>MONTH(Tabela1[[#This Row],[data]])</f>
        <v>2</v>
      </c>
      <c r="I9709">
        <f>YEAR(Tabela1[[#This Row],[data]])</f>
        <v>2026</v>
      </c>
    </row>
    <row r="9710" spans="1:9" x14ac:dyDescent="0.25">
      <c r="A9710" t="s">
        <v>6</v>
      </c>
      <c r="B9710" s="1">
        <v>46062</v>
      </c>
      <c r="C9710">
        <v>13</v>
      </c>
      <c r="D9710">
        <v>901.74</v>
      </c>
      <c r="E9710">
        <v>199.92</v>
      </c>
      <c r="F9710" t="s">
        <v>7</v>
      </c>
      <c r="G9710" t="s">
        <v>12</v>
      </c>
      <c r="H9710" s="5">
        <f>MONTH(Tabela1[[#This Row],[data]])</f>
        <v>2</v>
      </c>
      <c r="I9710">
        <f>YEAR(Tabela1[[#This Row],[data]])</f>
        <v>2026</v>
      </c>
    </row>
    <row r="9711" spans="1:9" x14ac:dyDescent="0.25">
      <c r="A9711" t="s">
        <v>6</v>
      </c>
      <c r="B9711" s="1">
        <v>46062</v>
      </c>
      <c r="C9711">
        <v>14</v>
      </c>
      <c r="D9711">
        <v>904.68</v>
      </c>
      <c r="E9711">
        <v>200.76</v>
      </c>
      <c r="F9711" t="s">
        <v>7</v>
      </c>
      <c r="G9711" t="s">
        <v>12</v>
      </c>
      <c r="H9711" s="5">
        <f>MONTH(Tabela1[[#This Row],[data]])</f>
        <v>2</v>
      </c>
      <c r="I9711">
        <f>YEAR(Tabela1[[#This Row],[data]])</f>
        <v>2026</v>
      </c>
    </row>
    <row r="9712" spans="1:9" x14ac:dyDescent="0.25">
      <c r="A9712" t="s">
        <v>6</v>
      </c>
      <c r="B9712" s="1">
        <v>46062</v>
      </c>
      <c r="C9712">
        <v>15</v>
      </c>
      <c r="D9712">
        <v>897.12</v>
      </c>
      <c r="E9712">
        <v>209.16</v>
      </c>
      <c r="F9712" t="s">
        <v>7</v>
      </c>
      <c r="G9712" t="s">
        <v>12</v>
      </c>
      <c r="H9712" s="5">
        <f>MONTH(Tabela1[[#This Row],[data]])</f>
        <v>2</v>
      </c>
      <c r="I9712">
        <f>YEAR(Tabela1[[#This Row],[data]])</f>
        <v>2026</v>
      </c>
    </row>
    <row r="9713" spans="1:9" x14ac:dyDescent="0.25">
      <c r="A9713" t="s">
        <v>6</v>
      </c>
      <c r="B9713" s="1">
        <v>46062</v>
      </c>
      <c r="C9713">
        <v>16</v>
      </c>
      <c r="D9713">
        <v>889.14</v>
      </c>
      <c r="E9713">
        <v>220.08</v>
      </c>
      <c r="F9713" t="s">
        <v>7</v>
      </c>
      <c r="G9713" t="s">
        <v>12</v>
      </c>
      <c r="H9713" s="5">
        <f>MONTH(Tabela1[[#This Row],[data]])</f>
        <v>2</v>
      </c>
      <c r="I9713">
        <f>YEAR(Tabela1[[#This Row],[data]])</f>
        <v>2026</v>
      </c>
    </row>
    <row r="9714" spans="1:9" x14ac:dyDescent="0.25">
      <c r="A9714" t="s">
        <v>6</v>
      </c>
      <c r="B9714" s="1">
        <v>46062</v>
      </c>
      <c r="C9714">
        <v>17</v>
      </c>
      <c r="D9714">
        <v>916.86</v>
      </c>
      <c r="E9714">
        <v>244.44</v>
      </c>
      <c r="F9714" t="s">
        <v>7</v>
      </c>
      <c r="G9714" t="s">
        <v>12</v>
      </c>
      <c r="H9714" s="5">
        <f>MONTH(Tabela1[[#This Row],[data]])</f>
        <v>2</v>
      </c>
      <c r="I9714">
        <f>YEAR(Tabela1[[#This Row],[data]])</f>
        <v>2026</v>
      </c>
    </row>
    <row r="9715" spans="1:9" x14ac:dyDescent="0.25">
      <c r="A9715" t="s">
        <v>6</v>
      </c>
      <c r="B9715" s="1">
        <v>46062</v>
      </c>
      <c r="C9715">
        <v>18</v>
      </c>
      <c r="D9715">
        <v>905.94</v>
      </c>
      <c r="E9715">
        <v>218.82</v>
      </c>
      <c r="F9715" t="s">
        <v>7</v>
      </c>
      <c r="G9715" t="s">
        <v>12</v>
      </c>
      <c r="H9715" s="5">
        <f>MONTH(Tabela1[[#This Row],[data]])</f>
        <v>2</v>
      </c>
      <c r="I9715">
        <f>YEAR(Tabela1[[#This Row],[data]])</f>
        <v>2026</v>
      </c>
    </row>
    <row r="9716" spans="1:9" x14ac:dyDescent="0.25">
      <c r="A9716" t="s">
        <v>6</v>
      </c>
      <c r="B9716" s="1">
        <v>46062</v>
      </c>
      <c r="C9716">
        <v>19</v>
      </c>
      <c r="D9716">
        <v>866.88</v>
      </c>
      <c r="E9716">
        <v>173.04</v>
      </c>
      <c r="F9716" t="s">
        <v>7</v>
      </c>
      <c r="G9716" t="s">
        <v>12</v>
      </c>
      <c r="H9716" s="5">
        <f>MONTH(Tabela1[[#This Row],[data]])</f>
        <v>2</v>
      </c>
      <c r="I9716">
        <f>YEAR(Tabela1[[#This Row],[data]])</f>
        <v>2026</v>
      </c>
    </row>
    <row r="9717" spans="1:9" x14ac:dyDescent="0.25">
      <c r="A9717" t="s">
        <v>6</v>
      </c>
      <c r="B9717" s="1">
        <v>46062</v>
      </c>
      <c r="C9717">
        <v>20</v>
      </c>
      <c r="D9717">
        <v>843.36</v>
      </c>
      <c r="E9717">
        <v>164.22</v>
      </c>
      <c r="F9717" t="s">
        <v>7</v>
      </c>
      <c r="G9717" t="s">
        <v>12</v>
      </c>
      <c r="H9717" s="5">
        <f>MONTH(Tabela1[[#This Row],[data]])</f>
        <v>2</v>
      </c>
      <c r="I9717">
        <f>YEAR(Tabela1[[#This Row],[data]])</f>
        <v>2026</v>
      </c>
    </row>
    <row r="9718" spans="1:9" x14ac:dyDescent="0.25">
      <c r="A9718" t="s">
        <v>6</v>
      </c>
      <c r="B9718" s="1">
        <v>46062</v>
      </c>
      <c r="C9718">
        <v>21</v>
      </c>
      <c r="D9718">
        <v>829.08</v>
      </c>
      <c r="E9718">
        <v>166.32</v>
      </c>
      <c r="F9718" t="s">
        <v>7</v>
      </c>
      <c r="G9718" t="s">
        <v>12</v>
      </c>
      <c r="H9718" s="5">
        <f>MONTH(Tabela1[[#This Row],[data]])</f>
        <v>2</v>
      </c>
      <c r="I9718">
        <f>YEAR(Tabela1[[#This Row],[data]])</f>
        <v>2026</v>
      </c>
    </row>
    <row r="9719" spans="1:9" x14ac:dyDescent="0.25">
      <c r="A9719" t="s">
        <v>6</v>
      </c>
      <c r="B9719" s="1">
        <v>46062</v>
      </c>
      <c r="C9719">
        <v>22</v>
      </c>
      <c r="D9719">
        <v>793.38</v>
      </c>
      <c r="E9719">
        <v>155.82</v>
      </c>
      <c r="F9719" t="s">
        <v>7</v>
      </c>
      <c r="G9719" t="s">
        <v>12</v>
      </c>
      <c r="H9719" s="5">
        <f>MONTH(Tabela1[[#This Row],[data]])</f>
        <v>2</v>
      </c>
      <c r="I9719">
        <f>YEAR(Tabela1[[#This Row],[data]])</f>
        <v>2026</v>
      </c>
    </row>
    <row r="9720" spans="1:9" x14ac:dyDescent="0.25">
      <c r="A9720" t="s">
        <v>6</v>
      </c>
      <c r="B9720" s="1">
        <v>46062</v>
      </c>
      <c r="C9720">
        <v>23</v>
      </c>
      <c r="D9720">
        <v>398.16</v>
      </c>
      <c r="E9720">
        <v>10.5</v>
      </c>
      <c r="F9720" t="s">
        <v>7</v>
      </c>
      <c r="G9720" t="s">
        <v>12</v>
      </c>
      <c r="H9720" s="5">
        <f>MONTH(Tabela1[[#This Row],[data]])</f>
        <v>2</v>
      </c>
      <c r="I9720">
        <f>YEAR(Tabela1[[#This Row],[data]])</f>
        <v>2026</v>
      </c>
    </row>
    <row r="9721" spans="1:9" x14ac:dyDescent="0.25">
      <c r="A9721" t="s">
        <v>6</v>
      </c>
      <c r="B9721" s="1">
        <v>46062</v>
      </c>
      <c r="C9721">
        <v>24</v>
      </c>
      <c r="D9721">
        <v>282.66000000000003</v>
      </c>
      <c r="E9721">
        <v>0</v>
      </c>
      <c r="F9721" t="s">
        <v>7</v>
      </c>
      <c r="G9721" t="s">
        <v>12</v>
      </c>
      <c r="H9721" s="5">
        <f>MONTH(Tabela1[[#This Row],[data]])</f>
        <v>2</v>
      </c>
      <c r="I9721">
        <f>YEAR(Tabela1[[#This Row],[data]])</f>
        <v>2026</v>
      </c>
    </row>
    <row r="9722" spans="1:9" x14ac:dyDescent="0.25">
      <c r="A9722" t="s">
        <v>6</v>
      </c>
      <c r="B9722" s="1">
        <v>46063</v>
      </c>
      <c r="C9722">
        <v>1</v>
      </c>
      <c r="D9722">
        <v>265.44</v>
      </c>
      <c r="E9722">
        <v>0</v>
      </c>
      <c r="F9722" t="s">
        <v>7</v>
      </c>
      <c r="G9722" t="s">
        <v>12</v>
      </c>
      <c r="H9722" s="5">
        <f>MONTH(Tabela1[[#This Row],[data]])</f>
        <v>2</v>
      </c>
      <c r="I9722">
        <f>YEAR(Tabela1[[#This Row],[data]])</f>
        <v>2026</v>
      </c>
    </row>
    <row r="9723" spans="1:9" x14ac:dyDescent="0.25">
      <c r="A9723" t="s">
        <v>6</v>
      </c>
      <c r="B9723" s="1">
        <v>46063</v>
      </c>
      <c r="C9723">
        <v>2</v>
      </c>
      <c r="D9723">
        <v>234.36</v>
      </c>
      <c r="E9723">
        <v>0</v>
      </c>
      <c r="F9723" t="s">
        <v>7</v>
      </c>
      <c r="G9723" t="s">
        <v>12</v>
      </c>
      <c r="H9723" s="5">
        <f>MONTH(Tabela1[[#This Row],[data]])</f>
        <v>2</v>
      </c>
      <c r="I9723">
        <f>YEAR(Tabela1[[#This Row],[data]])</f>
        <v>2026</v>
      </c>
    </row>
    <row r="9724" spans="1:9" x14ac:dyDescent="0.25">
      <c r="A9724" t="s">
        <v>6</v>
      </c>
      <c r="B9724" s="1">
        <v>46063</v>
      </c>
      <c r="C9724">
        <v>3</v>
      </c>
      <c r="D9724">
        <v>231</v>
      </c>
      <c r="E9724">
        <v>0</v>
      </c>
      <c r="F9724" t="s">
        <v>7</v>
      </c>
      <c r="G9724" t="s">
        <v>12</v>
      </c>
      <c r="H9724" s="5">
        <f>MONTH(Tabela1[[#This Row],[data]])</f>
        <v>2</v>
      </c>
      <c r="I9724">
        <f>YEAR(Tabela1[[#This Row],[data]])</f>
        <v>2026</v>
      </c>
    </row>
    <row r="9725" spans="1:9" x14ac:dyDescent="0.25">
      <c r="A9725" t="s">
        <v>6</v>
      </c>
      <c r="B9725" s="1">
        <v>46063</v>
      </c>
      <c r="C9725">
        <v>4</v>
      </c>
      <c r="D9725">
        <v>227.64</v>
      </c>
      <c r="E9725">
        <v>0</v>
      </c>
      <c r="F9725" t="s">
        <v>7</v>
      </c>
      <c r="G9725" t="s">
        <v>12</v>
      </c>
      <c r="H9725" s="5">
        <f>MONTH(Tabela1[[#This Row],[data]])</f>
        <v>2</v>
      </c>
      <c r="I9725">
        <f>YEAR(Tabela1[[#This Row],[data]])</f>
        <v>2026</v>
      </c>
    </row>
    <row r="9726" spans="1:9" x14ac:dyDescent="0.25">
      <c r="A9726" t="s">
        <v>6</v>
      </c>
      <c r="B9726" s="1">
        <v>46063</v>
      </c>
      <c r="C9726">
        <v>5</v>
      </c>
      <c r="D9726">
        <v>225.12</v>
      </c>
      <c r="E9726">
        <v>0</v>
      </c>
      <c r="F9726" t="s">
        <v>7</v>
      </c>
      <c r="G9726" t="s">
        <v>12</v>
      </c>
      <c r="H9726" s="5">
        <f>MONTH(Tabela1[[#This Row],[data]])</f>
        <v>2</v>
      </c>
      <c r="I9726">
        <f>YEAR(Tabela1[[#This Row],[data]])</f>
        <v>2026</v>
      </c>
    </row>
    <row r="9727" spans="1:9" x14ac:dyDescent="0.25">
      <c r="A9727" t="s">
        <v>6</v>
      </c>
      <c r="B9727" s="1">
        <v>46063</v>
      </c>
      <c r="C9727">
        <v>6</v>
      </c>
      <c r="D9727">
        <v>226.38</v>
      </c>
      <c r="E9727">
        <v>0</v>
      </c>
      <c r="F9727" t="s">
        <v>7</v>
      </c>
      <c r="G9727" t="s">
        <v>12</v>
      </c>
      <c r="H9727" s="5">
        <f>MONTH(Tabela1[[#This Row],[data]])</f>
        <v>2</v>
      </c>
      <c r="I9727">
        <f>YEAR(Tabela1[[#This Row],[data]])</f>
        <v>2026</v>
      </c>
    </row>
    <row r="9728" spans="1:9" x14ac:dyDescent="0.25">
      <c r="A9728" t="s">
        <v>6</v>
      </c>
      <c r="B9728" s="1">
        <v>46063</v>
      </c>
      <c r="C9728">
        <v>7</v>
      </c>
      <c r="D9728">
        <v>231.84</v>
      </c>
      <c r="E9728">
        <v>0</v>
      </c>
      <c r="F9728" t="s">
        <v>7</v>
      </c>
      <c r="G9728" t="s">
        <v>12</v>
      </c>
      <c r="H9728" s="5">
        <f>MONTH(Tabela1[[#This Row],[data]])</f>
        <v>2</v>
      </c>
      <c r="I9728">
        <f>YEAR(Tabela1[[#This Row],[data]])</f>
        <v>2026</v>
      </c>
    </row>
    <row r="9729" spans="1:9" x14ac:dyDescent="0.25">
      <c r="A9729" t="s">
        <v>6</v>
      </c>
      <c r="B9729" s="1">
        <v>46063</v>
      </c>
      <c r="C9729">
        <v>8</v>
      </c>
      <c r="D9729">
        <v>250.32</v>
      </c>
      <c r="E9729">
        <v>0</v>
      </c>
      <c r="F9729" t="s">
        <v>7</v>
      </c>
      <c r="G9729" t="s">
        <v>12</v>
      </c>
      <c r="H9729" s="5">
        <f>MONTH(Tabela1[[#This Row],[data]])</f>
        <v>2</v>
      </c>
      <c r="I9729">
        <f>YEAR(Tabela1[[#This Row],[data]])</f>
        <v>2026</v>
      </c>
    </row>
    <row r="9730" spans="1:9" x14ac:dyDescent="0.25">
      <c r="A9730" t="s">
        <v>6</v>
      </c>
      <c r="B9730" s="1">
        <v>46063</v>
      </c>
      <c r="C9730">
        <v>9</v>
      </c>
      <c r="D9730">
        <v>325.08</v>
      </c>
      <c r="E9730">
        <v>0</v>
      </c>
      <c r="F9730" t="s">
        <v>7</v>
      </c>
      <c r="G9730" t="s">
        <v>12</v>
      </c>
      <c r="H9730" s="5">
        <f>MONTH(Tabela1[[#This Row],[data]])</f>
        <v>2</v>
      </c>
      <c r="I9730">
        <f>YEAR(Tabela1[[#This Row],[data]])</f>
        <v>2026</v>
      </c>
    </row>
    <row r="9731" spans="1:9" x14ac:dyDescent="0.25">
      <c r="A9731" t="s">
        <v>6</v>
      </c>
      <c r="B9731" s="1">
        <v>46063</v>
      </c>
      <c r="C9731">
        <v>10</v>
      </c>
      <c r="D9731">
        <v>456.96</v>
      </c>
      <c r="E9731">
        <v>16.38</v>
      </c>
      <c r="F9731" t="s">
        <v>7</v>
      </c>
      <c r="G9731" t="s">
        <v>12</v>
      </c>
      <c r="H9731" s="5">
        <f>MONTH(Tabela1[[#This Row],[data]])</f>
        <v>2</v>
      </c>
      <c r="I9731">
        <f>YEAR(Tabela1[[#This Row],[data]])</f>
        <v>2026</v>
      </c>
    </row>
    <row r="9732" spans="1:9" x14ac:dyDescent="0.25">
      <c r="A9732" t="s">
        <v>6</v>
      </c>
      <c r="B9732" s="1">
        <v>46063</v>
      </c>
      <c r="C9732">
        <v>11</v>
      </c>
      <c r="D9732">
        <v>887.88</v>
      </c>
      <c r="E9732">
        <v>185.64</v>
      </c>
      <c r="F9732" t="s">
        <v>7</v>
      </c>
      <c r="G9732" t="s">
        <v>12</v>
      </c>
      <c r="H9732" s="5">
        <f>MONTH(Tabela1[[#This Row],[data]])</f>
        <v>2</v>
      </c>
      <c r="I9732">
        <f>YEAR(Tabela1[[#This Row],[data]])</f>
        <v>2026</v>
      </c>
    </row>
    <row r="9733" spans="1:9" x14ac:dyDescent="0.25">
      <c r="A9733" t="s">
        <v>6</v>
      </c>
      <c r="B9733" s="1">
        <v>46063</v>
      </c>
      <c r="C9733">
        <v>12</v>
      </c>
      <c r="D9733">
        <v>886.62</v>
      </c>
      <c r="E9733">
        <v>183.12</v>
      </c>
      <c r="F9733" t="s">
        <v>7</v>
      </c>
      <c r="G9733" t="s">
        <v>12</v>
      </c>
      <c r="H9733" s="5">
        <f>MONTH(Tabela1[[#This Row],[data]])</f>
        <v>2</v>
      </c>
      <c r="I9733">
        <f>YEAR(Tabela1[[#This Row],[data]])</f>
        <v>2026</v>
      </c>
    </row>
    <row r="9734" spans="1:9" x14ac:dyDescent="0.25">
      <c r="A9734" t="s">
        <v>6</v>
      </c>
      <c r="B9734" s="1">
        <v>46063</v>
      </c>
      <c r="C9734">
        <v>13</v>
      </c>
      <c r="D9734">
        <v>870.24</v>
      </c>
      <c r="E9734">
        <v>169.26</v>
      </c>
      <c r="F9734" t="s">
        <v>7</v>
      </c>
      <c r="G9734" t="s">
        <v>12</v>
      </c>
      <c r="H9734" s="5">
        <f>MONTH(Tabela1[[#This Row],[data]])</f>
        <v>2</v>
      </c>
      <c r="I9734">
        <f>YEAR(Tabela1[[#This Row],[data]])</f>
        <v>2026</v>
      </c>
    </row>
    <row r="9735" spans="1:9" x14ac:dyDescent="0.25">
      <c r="A9735" t="s">
        <v>6</v>
      </c>
      <c r="B9735" s="1">
        <v>46063</v>
      </c>
      <c r="C9735">
        <v>14</v>
      </c>
      <c r="D9735">
        <v>881.58</v>
      </c>
      <c r="E9735">
        <v>162.96</v>
      </c>
      <c r="F9735" t="s">
        <v>7</v>
      </c>
      <c r="G9735" t="s">
        <v>12</v>
      </c>
      <c r="H9735" s="5">
        <f>MONTH(Tabela1[[#This Row],[data]])</f>
        <v>2</v>
      </c>
      <c r="I9735">
        <f>YEAR(Tabela1[[#This Row],[data]])</f>
        <v>2026</v>
      </c>
    </row>
    <row r="9736" spans="1:9" x14ac:dyDescent="0.25">
      <c r="A9736" t="s">
        <v>6</v>
      </c>
      <c r="B9736" s="1">
        <v>46063</v>
      </c>
      <c r="C9736">
        <v>15</v>
      </c>
      <c r="D9736">
        <v>926.52</v>
      </c>
      <c r="E9736">
        <v>189.84</v>
      </c>
      <c r="F9736" t="s">
        <v>7</v>
      </c>
      <c r="G9736" t="s">
        <v>12</v>
      </c>
      <c r="H9736" s="5">
        <f>MONTH(Tabela1[[#This Row],[data]])</f>
        <v>2</v>
      </c>
      <c r="I9736">
        <f>YEAR(Tabela1[[#This Row],[data]])</f>
        <v>2026</v>
      </c>
    </row>
    <row r="9737" spans="1:9" x14ac:dyDescent="0.25">
      <c r="A9737" t="s">
        <v>6</v>
      </c>
      <c r="B9737" s="1">
        <v>46063</v>
      </c>
      <c r="C9737">
        <v>16</v>
      </c>
      <c r="D9737">
        <v>940.8</v>
      </c>
      <c r="E9737">
        <v>198.66</v>
      </c>
      <c r="F9737" t="s">
        <v>7</v>
      </c>
      <c r="G9737" t="s">
        <v>12</v>
      </c>
      <c r="H9737" s="5">
        <f>MONTH(Tabela1[[#This Row],[data]])</f>
        <v>2</v>
      </c>
      <c r="I9737">
        <f>YEAR(Tabela1[[#This Row],[data]])</f>
        <v>2026</v>
      </c>
    </row>
    <row r="9738" spans="1:9" x14ac:dyDescent="0.25">
      <c r="A9738" t="s">
        <v>6</v>
      </c>
      <c r="B9738" s="1">
        <v>46063</v>
      </c>
      <c r="C9738">
        <v>17</v>
      </c>
      <c r="D9738">
        <v>949.62</v>
      </c>
      <c r="E9738">
        <v>231.42</v>
      </c>
      <c r="F9738" t="s">
        <v>7</v>
      </c>
      <c r="G9738" t="s">
        <v>12</v>
      </c>
      <c r="H9738" s="5">
        <f>MONTH(Tabela1[[#This Row],[data]])</f>
        <v>2</v>
      </c>
      <c r="I9738">
        <f>YEAR(Tabela1[[#This Row],[data]])</f>
        <v>2026</v>
      </c>
    </row>
    <row r="9739" spans="1:9" x14ac:dyDescent="0.25">
      <c r="A9739" t="s">
        <v>6</v>
      </c>
      <c r="B9739" s="1">
        <v>46063</v>
      </c>
      <c r="C9739">
        <v>18</v>
      </c>
      <c r="D9739">
        <v>921.48</v>
      </c>
      <c r="E9739">
        <v>200.34</v>
      </c>
      <c r="F9739" t="s">
        <v>7</v>
      </c>
      <c r="G9739" t="s">
        <v>12</v>
      </c>
      <c r="H9739" s="5">
        <f>MONTH(Tabela1[[#This Row],[data]])</f>
        <v>2</v>
      </c>
      <c r="I9739">
        <f>YEAR(Tabela1[[#This Row],[data]])</f>
        <v>2026</v>
      </c>
    </row>
    <row r="9740" spans="1:9" x14ac:dyDescent="0.25">
      <c r="A9740" t="s">
        <v>6</v>
      </c>
      <c r="B9740" s="1">
        <v>46063</v>
      </c>
      <c r="C9740">
        <v>19</v>
      </c>
      <c r="D9740">
        <v>903</v>
      </c>
      <c r="E9740">
        <v>186.48</v>
      </c>
      <c r="F9740" t="s">
        <v>7</v>
      </c>
      <c r="G9740" t="s">
        <v>12</v>
      </c>
      <c r="H9740" s="5">
        <f>MONTH(Tabela1[[#This Row],[data]])</f>
        <v>2</v>
      </c>
      <c r="I9740">
        <f>YEAR(Tabela1[[#This Row],[data]])</f>
        <v>2026</v>
      </c>
    </row>
    <row r="9741" spans="1:9" x14ac:dyDescent="0.25">
      <c r="A9741" t="s">
        <v>6</v>
      </c>
      <c r="B9741" s="1">
        <v>46063</v>
      </c>
      <c r="C9741">
        <v>20</v>
      </c>
      <c r="D9741">
        <v>864.36</v>
      </c>
      <c r="E9741">
        <v>158.76</v>
      </c>
      <c r="F9741" t="s">
        <v>7</v>
      </c>
      <c r="G9741" t="s">
        <v>12</v>
      </c>
      <c r="H9741" s="5">
        <f>MONTH(Tabela1[[#This Row],[data]])</f>
        <v>2</v>
      </c>
      <c r="I9741">
        <f>YEAR(Tabela1[[#This Row],[data]])</f>
        <v>2026</v>
      </c>
    </row>
    <row r="9742" spans="1:9" x14ac:dyDescent="0.25">
      <c r="A9742" t="s">
        <v>6</v>
      </c>
      <c r="B9742" s="1">
        <v>46063</v>
      </c>
      <c r="C9742">
        <v>21</v>
      </c>
      <c r="D9742">
        <v>645.12</v>
      </c>
      <c r="E9742">
        <v>73.5</v>
      </c>
      <c r="F9742" t="s">
        <v>7</v>
      </c>
      <c r="G9742" t="s">
        <v>12</v>
      </c>
      <c r="H9742" s="5">
        <f>MONTH(Tabela1[[#This Row],[data]])</f>
        <v>2</v>
      </c>
      <c r="I9742">
        <f>YEAR(Tabela1[[#This Row],[data]])</f>
        <v>2026</v>
      </c>
    </row>
    <row r="9743" spans="1:9" x14ac:dyDescent="0.25">
      <c r="A9743" t="s">
        <v>6</v>
      </c>
      <c r="B9743" s="1">
        <v>46063</v>
      </c>
      <c r="C9743">
        <v>22</v>
      </c>
      <c r="D9743">
        <v>577.08000000000004</v>
      </c>
      <c r="E9743">
        <v>60.06</v>
      </c>
      <c r="F9743" t="s">
        <v>7</v>
      </c>
      <c r="G9743" t="s">
        <v>12</v>
      </c>
      <c r="H9743" s="5">
        <f>MONTH(Tabela1[[#This Row],[data]])</f>
        <v>2</v>
      </c>
      <c r="I9743">
        <f>YEAR(Tabela1[[#This Row],[data]])</f>
        <v>2026</v>
      </c>
    </row>
    <row r="9744" spans="1:9" x14ac:dyDescent="0.25">
      <c r="A9744" t="s">
        <v>6</v>
      </c>
      <c r="B9744" s="1">
        <v>46063</v>
      </c>
      <c r="C9744">
        <v>23</v>
      </c>
      <c r="D9744">
        <v>369.6</v>
      </c>
      <c r="E9744">
        <v>2.94</v>
      </c>
      <c r="F9744" t="s">
        <v>7</v>
      </c>
      <c r="G9744" t="s">
        <v>12</v>
      </c>
      <c r="H9744" s="5">
        <f>MONTH(Tabela1[[#This Row],[data]])</f>
        <v>2</v>
      </c>
      <c r="I9744">
        <f>YEAR(Tabela1[[#This Row],[data]])</f>
        <v>2026</v>
      </c>
    </row>
    <row r="9745" spans="1:9" x14ac:dyDescent="0.25">
      <c r="A9745" t="s">
        <v>6</v>
      </c>
      <c r="B9745" s="1">
        <v>46063</v>
      </c>
      <c r="C9745">
        <v>24</v>
      </c>
      <c r="D9745">
        <v>267.54000000000002</v>
      </c>
      <c r="E9745">
        <v>0</v>
      </c>
      <c r="F9745" t="s">
        <v>7</v>
      </c>
      <c r="G9745" t="s">
        <v>12</v>
      </c>
      <c r="H9745" s="5">
        <f>MONTH(Tabela1[[#This Row],[data]])</f>
        <v>2</v>
      </c>
      <c r="I9745">
        <f>YEAR(Tabela1[[#This Row],[data]])</f>
        <v>2026</v>
      </c>
    </row>
    <row r="9746" spans="1:9" x14ac:dyDescent="0.25">
      <c r="A9746" t="s">
        <v>6</v>
      </c>
      <c r="B9746" s="1">
        <v>46064</v>
      </c>
      <c r="C9746">
        <v>1</v>
      </c>
      <c r="D9746">
        <v>240.66</v>
      </c>
      <c r="E9746">
        <v>0</v>
      </c>
      <c r="F9746" t="s">
        <v>7</v>
      </c>
      <c r="G9746" t="s">
        <v>12</v>
      </c>
      <c r="H9746" s="5">
        <f>MONTH(Tabela1[[#This Row],[data]])</f>
        <v>2</v>
      </c>
      <c r="I9746">
        <f>YEAR(Tabela1[[#This Row],[data]])</f>
        <v>2026</v>
      </c>
    </row>
    <row r="9747" spans="1:9" x14ac:dyDescent="0.25">
      <c r="A9747" t="s">
        <v>6</v>
      </c>
      <c r="B9747" s="1">
        <v>46064</v>
      </c>
      <c r="C9747">
        <v>2</v>
      </c>
      <c r="D9747">
        <v>233.1</v>
      </c>
      <c r="E9747">
        <v>0</v>
      </c>
      <c r="F9747" t="s">
        <v>7</v>
      </c>
      <c r="G9747" t="s">
        <v>12</v>
      </c>
      <c r="H9747" s="5">
        <f>MONTH(Tabela1[[#This Row],[data]])</f>
        <v>2</v>
      </c>
      <c r="I9747">
        <f>YEAR(Tabela1[[#This Row],[data]])</f>
        <v>2026</v>
      </c>
    </row>
    <row r="9748" spans="1:9" x14ac:dyDescent="0.25">
      <c r="A9748" t="s">
        <v>6</v>
      </c>
      <c r="B9748" s="1">
        <v>46064</v>
      </c>
      <c r="C9748">
        <v>3</v>
      </c>
      <c r="D9748">
        <v>224.7</v>
      </c>
      <c r="E9748">
        <v>0</v>
      </c>
      <c r="F9748" t="s">
        <v>7</v>
      </c>
      <c r="G9748" t="s">
        <v>12</v>
      </c>
      <c r="H9748" s="5">
        <f>MONTH(Tabela1[[#This Row],[data]])</f>
        <v>2</v>
      </c>
      <c r="I9748">
        <f>YEAR(Tabela1[[#This Row],[data]])</f>
        <v>2026</v>
      </c>
    </row>
    <row r="9749" spans="1:9" x14ac:dyDescent="0.25">
      <c r="A9749" t="s">
        <v>6</v>
      </c>
      <c r="B9749" s="1">
        <v>46064</v>
      </c>
      <c r="C9749">
        <v>4</v>
      </c>
      <c r="D9749">
        <v>229.32</v>
      </c>
      <c r="E9749">
        <v>0</v>
      </c>
      <c r="F9749" t="s">
        <v>7</v>
      </c>
      <c r="G9749" t="s">
        <v>12</v>
      </c>
      <c r="H9749" s="5">
        <f>MONTH(Tabela1[[#This Row],[data]])</f>
        <v>2</v>
      </c>
      <c r="I9749">
        <f>YEAR(Tabela1[[#This Row],[data]])</f>
        <v>2026</v>
      </c>
    </row>
    <row r="9750" spans="1:9" x14ac:dyDescent="0.25">
      <c r="A9750" t="s">
        <v>6</v>
      </c>
      <c r="B9750" s="1">
        <v>46064</v>
      </c>
      <c r="C9750">
        <v>5</v>
      </c>
      <c r="D9750">
        <v>225.96</v>
      </c>
      <c r="E9750">
        <v>0</v>
      </c>
      <c r="F9750" t="s">
        <v>7</v>
      </c>
      <c r="G9750" t="s">
        <v>12</v>
      </c>
      <c r="H9750" s="5">
        <f>MONTH(Tabela1[[#This Row],[data]])</f>
        <v>2</v>
      </c>
      <c r="I9750">
        <f>YEAR(Tabela1[[#This Row],[data]])</f>
        <v>2026</v>
      </c>
    </row>
    <row r="9751" spans="1:9" x14ac:dyDescent="0.25">
      <c r="A9751" t="s">
        <v>6</v>
      </c>
      <c r="B9751" s="1">
        <v>46064</v>
      </c>
      <c r="C9751">
        <v>6</v>
      </c>
      <c r="D9751">
        <v>216.72</v>
      </c>
      <c r="E9751">
        <v>0</v>
      </c>
      <c r="F9751" t="s">
        <v>7</v>
      </c>
      <c r="G9751" t="s">
        <v>12</v>
      </c>
      <c r="H9751" s="5">
        <f>MONTH(Tabela1[[#This Row],[data]])</f>
        <v>2</v>
      </c>
      <c r="I9751">
        <f>YEAR(Tabela1[[#This Row],[data]])</f>
        <v>2026</v>
      </c>
    </row>
    <row r="9752" spans="1:9" x14ac:dyDescent="0.25">
      <c r="A9752" t="s">
        <v>6</v>
      </c>
      <c r="B9752" s="1">
        <v>46064</v>
      </c>
      <c r="C9752">
        <v>7</v>
      </c>
      <c r="D9752">
        <v>214.2</v>
      </c>
      <c r="E9752">
        <v>0</v>
      </c>
      <c r="F9752" t="s">
        <v>7</v>
      </c>
      <c r="G9752" t="s">
        <v>12</v>
      </c>
      <c r="H9752" s="5">
        <f>MONTH(Tabela1[[#This Row],[data]])</f>
        <v>2</v>
      </c>
      <c r="I9752">
        <f>YEAR(Tabela1[[#This Row],[data]])</f>
        <v>2026</v>
      </c>
    </row>
    <row r="9753" spans="1:9" x14ac:dyDescent="0.25">
      <c r="A9753" t="s">
        <v>6</v>
      </c>
      <c r="B9753" s="1">
        <v>46064</v>
      </c>
      <c r="C9753">
        <v>8</v>
      </c>
      <c r="D9753">
        <v>260.82</v>
      </c>
      <c r="E9753">
        <v>0</v>
      </c>
      <c r="F9753" t="s">
        <v>7</v>
      </c>
      <c r="G9753" t="s">
        <v>12</v>
      </c>
      <c r="H9753" s="5">
        <f>MONTH(Tabela1[[#This Row],[data]])</f>
        <v>2</v>
      </c>
      <c r="I9753">
        <f>YEAR(Tabela1[[#This Row],[data]])</f>
        <v>2026</v>
      </c>
    </row>
    <row r="9754" spans="1:9" x14ac:dyDescent="0.25">
      <c r="A9754" t="s">
        <v>6</v>
      </c>
      <c r="B9754" s="1">
        <v>46064</v>
      </c>
      <c r="C9754">
        <v>9</v>
      </c>
      <c r="D9754">
        <v>341.04</v>
      </c>
      <c r="E9754">
        <v>0</v>
      </c>
      <c r="F9754" t="s">
        <v>7</v>
      </c>
      <c r="G9754" t="s">
        <v>12</v>
      </c>
      <c r="H9754" s="5">
        <f>MONTH(Tabela1[[#This Row],[data]])</f>
        <v>2</v>
      </c>
      <c r="I9754">
        <f>YEAR(Tabela1[[#This Row],[data]])</f>
        <v>2026</v>
      </c>
    </row>
    <row r="9755" spans="1:9" x14ac:dyDescent="0.25">
      <c r="A9755" t="s">
        <v>6</v>
      </c>
      <c r="B9755" s="1">
        <v>46064</v>
      </c>
      <c r="C9755">
        <v>10</v>
      </c>
      <c r="D9755">
        <v>516.17999999999995</v>
      </c>
      <c r="E9755">
        <v>42</v>
      </c>
      <c r="F9755" t="s">
        <v>7</v>
      </c>
      <c r="G9755" t="s">
        <v>12</v>
      </c>
      <c r="H9755" s="5">
        <f>MONTH(Tabela1[[#This Row],[data]])</f>
        <v>2</v>
      </c>
      <c r="I9755">
        <f>YEAR(Tabela1[[#This Row],[data]])</f>
        <v>2026</v>
      </c>
    </row>
    <row r="9756" spans="1:9" x14ac:dyDescent="0.25">
      <c r="A9756" t="s">
        <v>6</v>
      </c>
      <c r="B9756" s="1">
        <v>46064</v>
      </c>
      <c r="C9756">
        <v>11</v>
      </c>
      <c r="D9756">
        <v>947.1</v>
      </c>
      <c r="E9756">
        <v>196.98</v>
      </c>
      <c r="F9756" t="s">
        <v>7</v>
      </c>
      <c r="G9756" t="s">
        <v>12</v>
      </c>
      <c r="H9756" s="5">
        <f>MONTH(Tabela1[[#This Row],[data]])</f>
        <v>2</v>
      </c>
      <c r="I9756">
        <f>YEAR(Tabela1[[#This Row],[data]])</f>
        <v>2026</v>
      </c>
    </row>
    <row r="9757" spans="1:9" x14ac:dyDescent="0.25">
      <c r="A9757" t="s">
        <v>6</v>
      </c>
      <c r="B9757" s="1">
        <v>46064</v>
      </c>
      <c r="C9757">
        <v>12</v>
      </c>
      <c r="D9757">
        <v>957.6</v>
      </c>
      <c r="E9757">
        <v>209.58</v>
      </c>
      <c r="F9757" t="s">
        <v>7</v>
      </c>
      <c r="G9757" t="s">
        <v>12</v>
      </c>
      <c r="H9757" s="5">
        <f>MONTH(Tabela1[[#This Row],[data]])</f>
        <v>2</v>
      </c>
      <c r="I9757">
        <f>YEAR(Tabela1[[#This Row],[data]])</f>
        <v>2026</v>
      </c>
    </row>
    <row r="9758" spans="1:9" x14ac:dyDescent="0.25">
      <c r="A9758" t="s">
        <v>6</v>
      </c>
      <c r="B9758" s="1">
        <v>46064</v>
      </c>
      <c r="C9758">
        <v>13</v>
      </c>
      <c r="D9758">
        <v>955.08</v>
      </c>
      <c r="E9758">
        <v>212.52</v>
      </c>
      <c r="F9758" t="s">
        <v>7</v>
      </c>
      <c r="G9758" t="s">
        <v>12</v>
      </c>
      <c r="H9758" s="5">
        <f>MONTH(Tabela1[[#This Row],[data]])</f>
        <v>2</v>
      </c>
      <c r="I9758">
        <f>YEAR(Tabela1[[#This Row],[data]])</f>
        <v>2026</v>
      </c>
    </row>
    <row r="9759" spans="1:9" x14ac:dyDescent="0.25">
      <c r="A9759" t="s">
        <v>6</v>
      </c>
      <c r="B9759" s="1">
        <v>46064</v>
      </c>
      <c r="C9759">
        <v>14</v>
      </c>
      <c r="D9759">
        <v>960.54</v>
      </c>
      <c r="E9759">
        <v>206.22</v>
      </c>
      <c r="F9759" t="s">
        <v>7</v>
      </c>
      <c r="G9759" t="s">
        <v>12</v>
      </c>
      <c r="H9759" s="5">
        <f>MONTH(Tabela1[[#This Row],[data]])</f>
        <v>2</v>
      </c>
      <c r="I9759">
        <f>YEAR(Tabela1[[#This Row],[data]])</f>
        <v>2026</v>
      </c>
    </row>
    <row r="9760" spans="1:9" x14ac:dyDescent="0.25">
      <c r="A9760" t="s">
        <v>6</v>
      </c>
      <c r="B9760" s="1">
        <v>46064</v>
      </c>
      <c r="C9760">
        <v>15</v>
      </c>
      <c r="D9760">
        <v>961.38</v>
      </c>
      <c r="E9760">
        <v>208.32</v>
      </c>
      <c r="F9760" t="s">
        <v>7</v>
      </c>
      <c r="G9760" t="s">
        <v>12</v>
      </c>
      <c r="H9760" s="5">
        <f>MONTH(Tabela1[[#This Row],[data]])</f>
        <v>2</v>
      </c>
      <c r="I9760">
        <f>YEAR(Tabela1[[#This Row],[data]])</f>
        <v>2026</v>
      </c>
    </row>
    <row r="9761" spans="1:9" x14ac:dyDescent="0.25">
      <c r="A9761" t="s">
        <v>6</v>
      </c>
      <c r="B9761" s="1">
        <v>46064</v>
      </c>
      <c r="C9761">
        <v>16</v>
      </c>
      <c r="D9761">
        <v>971.88</v>
      </c>
      <c r="E9761">
        <v>228.06</v>
      </c>
      <c r="F9761" t="s">
        <v>7</v>
      </c>
      <c r="G9761" t="s">
        <v>12</v>
      </c>
      <c r="H9761" s="5">
        <f>MONTH(Tabela1[[#This Row],[data]])</f>
        <v>2</v>
      </c>
      <c r="I9761">
        <f>YEAR(Tabela1[[#This Row],[data]])</f>
        <v>2026</v>
      </c>
    </row>
    <row r="9762" spans="1:9" x14ac:dyDescent="0.25">
      <c r="A9762" t="s">
        <v>6</v>
      </c>
      <c r="B9762" s="1">
        <v>46064</v>
      </c>
      <c r="C9762">
        <v>17</v>
      </c>
      <c r="D9762">
        <v>953.4</v>
      </c>
      <c r="E9762">
        <v>239.4</v>
      </c>
      <c r="F9762" t="s">
        <v>7</v>
      </c>
      <c r="G9762" t="s">
        <v>12</v>
      </c>
      <c r="H9762" s="5">
        <f>MONTH(Tabela1[[#This Row],[data]])</f>
        <v>2</v>
      </c>
      <c r="I9762">
        <f>YEAR(Tabela1[[#This Row],[data]])</f>
        <v>2026</v>
      </c>
    </row>
    <row r="9763" spans="1:9" x14ac:dyDescent="0.25">
      <c r="A9763" t="s">
        <v>6</v>
      </c>
      <c r="B9763" s="1">
        <v>46064</v>
      </c>
      <c r="C9763">
        <v>18</v>
      </c>
      <c r="D9763">
        <v>950.88</v>
      </c>
      <c r="E9763">
        <v>228.06</v>
      </c>
      <c r="F9763" t="s">
        <v>7</v>
      </c>
      <c r="G9763" t="s">
        <v>12</v>
      </c>
      <c r="H9763" s="5">
        <f>MONTH(Tabela1[[#This Row],[data]])</f>
        <v>2</v>
      </c>
      <c r="I9763">
        <f>YEAR(Tabela1[[#This Row],[data]])</f>
        <v>2026</v>
      </c>
    </row>
    <row r="9764" spans="1:9" x14ac:dyDescent="0.25">
      <c r="A9764" t="s">
        <v>6</v>
      </c>
      <c r="B9764" s="1">
        <v>46064</v>
      </c>
      <c r="C9764">
        <v>19</v>
      </c>
      <c r="D9764">
        <v>907.62</v>
      </c>
      <c r="E9764">
        <v>186.06</v>
      </c>
      <c r="F9764" t="s">
        <v>7</v>
      </c>
      <c r="G9764" t="s">
        <v>12</v>
      </c>
      <c r="H9764" s="5">
        <f>MONTH(Tabela1[[#This Row],[data]])</f>
        <v>2</v>
      </c>
      <c r="I9764">
        <f>YEAR(Tabela1[[#This Row],[data]])</f>
        <v>2026</v>
      </c>
    </row>
    <row r="9765" spans="1:9" x14ac:dyDescent="0.25">
      <c r="A9765" t="s">
        <v>6</v>
      </c>
      <c r="B9765" s="1">
        <v>46064</v>
      </c>
      <c r="C9765">
        <v>20</v>
      </c>
      <c r="D9765">
        <v>893.34</v>
      </c>
      <c r="E9765">
        <v>175.14</v>
      </c>
      <c r="F9765" t="s">
        <v>7</v>
      </c>
      <c r="G9765" t="s">
        <v>12</v>
      </c>
      <c r="H9765" s="5">
        <f>MONTH(Tabela1[[#This Row],[data]])</f>
        <v>2</v>
      </c>
      <c r="I9765">
        <f>YEAR(Tabela1[[#This Row],[data]])</f>
        <v>2026</v>
      </c>
    </row>
    <row r="9766" spans="1:9" x14ac:dyDescent="0.25">
      <c r="A9766" t="s">
        <v>6</v>
      </c>
      <c r="B9766" s="1">
        <v>46064</v>
      </c>
      <c r="C9766">
        <v>21</v>
      </c>
      <c r="D9766">
        <v>896.7</v>
      </c>
      <c r="E9766">
        <v>175.14</v>
      </c>
      <c r="F9766" t="s">
        <v>7</v>
      </c>
      <c r="G9766" t="s">
        <v>12</v>
      </c>
      <c r="H9766" s="5">
        <f>MONTH(Tabela1[[#This Row],[data]])</f>
        <v>2</v>
      </c>
      <c r="I9766">
        <f>YEAR(Tabela1[[#This Row],[data]])</f>
        <v>2026</v>
      </c>
    </row>
    <row r="9767" spans="1:9" x14ac:dyDescent="0.25">
      <c r="A9767" t="s">
        <v>6</v>
      </c>
      <c r="B9767" s="1">
        <v>46064</v>
      </c>
      <c r="C9767">
        <v>22</v>
      </c>
      <c r="D9767">
        <v>837.48</v>
      </c>
      <c r="E9767">
        <v>166.74</v>
      </c>
      <c r="F9767" t="s">
        <v>7</v>
      </c>
      <c r="G9767" t="s">
        <v>12</v>
      </c>
      <c r="H9767" s="5">
        <f>MONTH(Tabela1[[#This Row],[data]])</f>
        <v>2</v>
      </c>
      <c r="I9767">
        <f>YEAR(Tabela1[[#This Row],[data]])</f>
        <v>2026</v>
      </c>
    </row>
    <row r="9768" spans="1:9" x14ac:dyDescent="0.25">
      <c r="A9768" t="s">
        <v>6</v>
      </c>
      <c r="B9768" s="1">
        <v>46064</v>
      </c>
      <c r="C9768">
        <v>23</v>
      </c>
      <c r="D9768">
        <v>377.58</v>
      </c>
      <c r="E9768">
        <v>0.42</v>
      </c>
      <c r="F9768" t="s">
        <v>7</v>
      </c>
      <c r="G9768" t="s">
        <v>12</v>
      </c>
      <c r="H9768" s="5">
        <f>MONTH(Tabela1[[#This Row],[data]])</f>
        <v>2</v>
      </c>
      <c r="I9768">
        <f>YEAR(Tabela1[[#This Row],[data]])</f>
        <v>2026</v>
      </c>
    </row>
    <row r="9769" spans="1:9" x14ac:dyDescent="0.25">
      <c r="A9769" t="s">
        <v>6</v>
      </c>
      <c r="B9769" s="1">
        <v>46064</v>
      </c>
      <c r="C9769">
        <v>24</v>
      </c>
      <c r="D9769">
        <v>273.83999999999997</v>
      </c>
      <c r="E9769">
        <v>0</v>
      </c>
      <c r="F9769" t="s">
        <v>7</v>
      </c>
      <c r="G9769" t="s">
        <v>12</v>
      </c>
      <c r="H9769" s="5">
        <f>MONTH(Tabela1[[#This Row],[data]])</f>
        <v>2</v>
      </c>
      <c r="I9769">
        <f>YEAR(Tabela1[[#This Row],[data]])</f>
        <v>2026</v>
      </c>
    </row>
    <row r="9770" spans="1:9" x14ac:dyDescent="0.25">
      <c r="A9770" t="s">
        <v>6</v>
      </c>
      <c r="B9770" s="1">
        <v>46065</v>
      </c>
      <c r="C9770">
        <v>1</v>
      </c>
      <c r="D9770">
        <v>245.7</v>
      </c>
      <c r="E9770">
        <v>0</v>
      </c>
      <c r="F9770" t="s">
        <v>7</v>
      </c>
      <c r="G9770" t="s">
        <v>12</v>
      </c>
      <c r="H9770" s="5">
        <f>MONTH(Tabela1[[#This Row],[data]])</f>
        <v>2</v>
      </c>
      <c r="I9770">
        <f>YEAR(Tabela1[[#This Row],[data]])</f>
        <v>2026</v>
      </c>
    </row>
    <row r="9771" spans="1:9" x14ac:dyDescent="0.25">
      <c r="A9771" t="s">
        <v>6</v>
      </c>
      <c r="B9771" s="1">
        <v>46065</v>
      </c>
      <c r="C9771">
        <v>2</v>
      </c>
      <c r="D9771">
        <v>238.14</v>
      </c>
      <c r="E9771">
        <v>0</v>
      </c>
      <c r="F9771" t="s">
        <v>7</v>
      </c>
      <c r="G9771" t="s">
        <v>12</v>
      </c>
      <c r="H9771" s="5">
        <f>MONTH(Tabela1[[#This Row],[data]])</f>
        <v>2</v>
      </c>
      <c r="I9771">
        <f>YEAR(Tabela1[[#This Row],[data]])</f>
        <v>2026</v>
      </c>
    </row>
    <row r="9772" spans="1:9" x14ac:dyDescent="0.25">
      <c r="A9772" t="s">
        <v>6</v>
      </c>
      <c r="B9772" s="1">
        <v>46065</v>
      </c>
      <c r="C9772">
        <v>3</v>
      </c>
      <c r="D9772">
        <v>232.68</v>
      </c>
      <c r="E9772">
        <v>0</v>
      </c>
      <c r="F9772" t="s">
        <v>7</v>
      </c>
      <c r="G9772" t="s">
        <v>12</v>
      </c>
      <c r="H9772" s="5">
        <f>MONTH(Tabela1[[#This Row],[data]])</f>
        <v>2</v>
      </c>
      <c r="I9772">
        <f>YEAR(Tabela1[[#This Row],[data]])</f>
        <v>2026</v>
      </c>
    </row>
    <row r="9773" spans="1:9" x14ac:dyDescent="0.25">
      <c r="A9773" t="s">
        <v>6</v>
      </c>
      <c r="B9773" s="1">
        <v>46065</v>
      </c>
      <c r="C9773">
        <v>4</v>
      </c>
      <c r="D9773">
        <v>233.94</v>
      </c>
      <c r="E9773">
        <v>0</v>
      </c>
      <c r="F9773" t="s">
        <v>7</v>
      </c>
      <c r="G9773" t="s">
        <v>12</v>
      </c>
      <c r="H9773" s="5">
        <f>MONTH(Tabela1[[#This Row],[data]])</f>
        <v>2</v>
      </c>
      <c r="I9773">
        <f>YEAR(Tabela1[[#This Row],[data]])</f>
        <v>2026</v>
      </c>
    </row>
    <row r="9774" spans="1:9" x14ac:dyDescent="0.25">
      <c r="A9774" t="s">
        <v>6</v>
      </c>
      <c r="B9774" s="1">
        <v>46065</v>
      </c>
      <c r="C9774">
        <v>5</v>
      </c>
      <c r="D9774">
        <v>237.72</v>
      </c>
      <c r="E9774">
        <v>0</v>
      </c>
      <c r="F9774" t="s">
        <v>7</v>
      </c>
      <c r="G9774" t="s">
        <v>12</v>
      </c>
      <c r="H9774" s="5">
        <f>MONTH(Tabela1[[#This Row],[data]])</f>
        <v>2</v>
      </c>
      <c r="I9774">
        <f>YEAR(Tabela1[[#This Row],[data]])</f>
        <v>2026</v>
      </c>
    </row>
    <row r="9775" spans="1:9" x14ac:dyDescent="0.25">
      <c r="A9775" t="s">
        <v>6</v>
      </c>
      <c r="B9775" s="1">
        <v>46065</v>
      </c>
      <c r="C9775">
        <v>6</v>
      </c>
      <c r="D9775">
        <v>230.16</v>
      </c>
      <c r="E9775">
        <v>0</v>
      </c>
      <c r="F9775" t="s">
        <v>7</v>
      </c>
      <c r="G9775" t="s">
        <v>12</v>
      </c>
      <c r="H9775" s="5">
        <f>MONTH(Tabela1[[#This Row],[data]])</f>
        <v>2</v>
      </c>
      <c r="I9775">
        <f>YEAR(Tabela1[[#This Row],[data]])</f>
        <v>2026</v>
      </c>
    </row>
    <row r="9776" spans="1:9" x14ac:dyDescent="0.25">
      <c r="A9776" t="s">
        <v>6</v>
      </c>
      <c r="B9776" s="1">
        <v>46065</v>
      </c>
      <c r="C9776">
        <v>7</v>
      </c>
      <c r="D9776">
        <v>247.38</v>
      </c>
      <c r="E9776">
        <v>0</v>
      </c>
      <c r="F9776" t="s">
        <v>7</v>
      </c>
      <c r="G9776" t="s">
        <v>12</v>
      </c>
      <c r="H9776" s="5">
        <f>MONTH(Tabela1[[#This Row],[data]])</f>
        <v>2</v>
      </c>
      <c r="I9776">
        <f>YEAR(Tabela1[[#This Row],[data]])</f>
        <v>2026</v>
      </c>
    </row>
    <row r="9777" spans="1:9" x14ac:dyDescent="0.25">
      <c r="A9777" t="s">
        <v>6</v>
      </c>
      <c r="B9777" s="1">
        <v>46065</v>
      </c>
      <c r="C9777">
        <v>8</v>
      </c>
      <c r="D9777">
        <v>291.89999999999998</v>
      </c>
      <c r="E9777">
        <v>0</v>
      </c>
      <c r="F9777" t="s">
        <v>7</v>
      </c>
      <c r="G9777" t="s">
        <v>12</v>
      </c>
      <c r="H9777" s="5">
        <f>MONTH(Tabela1[[#This Row],[data]])</f>
        <v>2</v>
      </c>
      <c r="I9777">
        <f>YEAR(Tabela1[[#This Row],[data]])</f>
        <v>2026</v>
      </c>
    </row>
    <row r="9778" spans="1:9" x14ac:dyDescent="0.25">
      <c r="A9778" t="s">
        <v>6</v>
      </c>
      <c r="B9778" s="1">
        <v>46065</v>
      </c>
      <c r="C9778">
        <v>9</v>
      </c>
      <c r="D9778">
        <v>363.3</v>
      </c>
      <c r="E9778">
        <v>0</v>
      </c>
      <c r="F9778" t="s">
        <v>7</v>
      </c>
      <c r="G9778" t="s">
        <v>12</v>
      </c>
      <c r="H9778" s="5">
        <f>MONTH(Tabela1[[#This Row],[data]])</f>
        <v>2</v>
      </c>
      <c r="I9778">
        <f>YEAR(Tabela1[[#This Row],[data]])</f>
        <v>2026</v>
      </c>
    </row>
    <row r="9779" spans="1:9" x14ac:dyDescent="0.25">
      <c r="A9779" t="s">
        <v>6</v>
      </c>
      <c r="B9779" s="1">
        <v>46065</v>
      </c>
      <c r="C9779">
        <v>10</v>
      </c>
      <c r="D9779">
        <v>546.41999999999996</v>
      </c>
      <c r="E9779">
        <v>39.9</v>
      </c>
      <c r="F9779" t="s">
        <v>7</v>
      </c>
      <c r="G9779" t="s">
        <v>12</v>
      </c>
      <c r="H9779" s="5">
        <f>MONTH(Tabela1[[#This Row],[data]])</f>
        <v>2</v>
      </c>
      <c r="I9779">
        <f>YEAR(Tabela1[[#This Row],[data]])</f>
        <v>2026</v>
      </c>
    </row>
    <row r="9780" spans="1:9" x14ac:dyDescent="0.25">
      <c r="A9780" t="s">
        <v>6</v>
      </c>
      <c r="B9780" s="1">
        <v>46065</v>
      </c>
      <c r="C9780">
        <v>11</v>
      </c>
      <c r="D9780">
        <v>967.68</v>
      </c>
      <c r="E9780">
        <v>212.1</v>
      </c>
      <c r="F9780" t="s">
        <v>7</v>
      </c>
      <c r="G9780" t="s">
        <v>12</v>
      </c>
      <c r="H9780" s="5">
        <f>MONTH(Tabela1[[#This Row],[data]])</f>
        <v>2</v>
      </c>
      <c r="I9780">
        <f>YEAR(Tabela1[[#This Row],[data]])</f>
        <v>2026</v>
      </c>
    </row>
    <row r="9781" spans="1:9" x14ac:dyDescent="0.25">
      <c r="A9781" t="s">
        <v>6</v>
      </c>
      <c r="B9781" s="1">
        <v>46065</v>
      </c>
      <c r="C9781">
        <v>12</v>
      </c>
      <c r="D9781" s="2">
        <v>1005.9</v>
      </c>
      <c r="E9781">
        <v>229.74</v>
      </c>
      <c r="F9781" t="s">
        <v>7</v>
      </c>
      <c r="G9781" t="s">
        <v>12</v>
      </c>
      <c r="H9781" s="5">
        <f>MONTH(Tabela1[[#This Row],[data]])</f>
        <v>2</v>
      </c>
      <c r="I9781">
        <f>YEAR(Tabela1[[#This Row],[data]])</f>
        <v>2026</v>
      </c>
    </row>
    <row r="9782" spans="1:9" x14ac:dyDescent="0.25">
      <c r="A9782" t="s">
        <v>6</v>
      </c>
      <c r="B9782" s="1">
        <v>46065</v>
      </c>
      <c r="C9782">
        <v>13</v>
      </c>
      <c r="D9782" s="2">
        <v>1005.48</v>
      </c>
      <c r="E9782">
        <v>231</v>
      </c>
      <c r="F9782" t="s">
        <v>7</v>
      </c>
      <c r="G9782" t="s">
        <v>12</v>
      </c>
      <c r="H9782" s="5">
        <f>MONTH(Tabela1[[#This Row],[data]])</f>
        <v>2</v>
      </c>
      <c r="I9782">
        <f>YEAR(Tabela1[[#This Row],[data]])</f>
        <v>2026</v>
      </c>
    </row>
    <row r="9783" spans="1:9" x14ac:dyDescent="0.25">
      <c r="A9783" t="s">
        <v>6</v>
      </c>
      <c r="B9783" s="1">
        <v>46065</v>
      </c>
      <c r="C9783">
        <v>14</v>
      </c>
      <c r="D9783" s="2">
        <v>1023.12</v>
      </c>
      <c r="E9783">
        <v>226.8</v>
      </c>
      <c r="F9783" t="s">
        <v>7</v>
      </c>
      <c r="G9783" t="s">
        <v>12</v>
      </c>
      <c r="H9783" s="5">
        <f>MONTH(Tabela1[[#This Row],[data]])</f>
        <v>2</v>
      </c>
      <c r="I9783">
        <f>YEAR(Tabela1[[#This Row],[data]])</f>
        <v>2026</v>
      </c>
    </row>
    <row r="9784" spans="1:9" x14ac:dyDescent="0.25">
      <c r="A9784" t="s">
        <v>6</v>
      </c>
      <c r="B9784" s="1">
        <v>46065</v>
      </c>
      <c r="C9784">
        <v>15</v>
      </c>
      <c r="D9784">
        <v>990.36</v>
      </c>
      <c r="E9784">
        <v>227.22</v>
      </c>
      <c r="F9784" t="s">
        <v>7</v>
      </c>
      <c r="G9784" t="s">
        <v>12</v>
      </c>
      <c r="H9784" s="5">
        <f>MONTH(Tabela1[[#This Row],[data]])</f>
        <v>2</v>
      </c>
      <c r="I9784">
        <f>YEAR(Tabela1[[#This Row],[data]])</f>
        <v>2026</v>
      </c>
    </row>
    <row r="9785" spans="1:9" x14ac:dyDescent="0.25">
      <c r="A9785" t="s">
        <v>6</v>
      </c>
      <c r="B9785" s="1">
        <v>46065</v>
      </c>
      <c r="C9785">
        <v>16</v>
      </c>
      <c r="D9785">
        <v>986.16</v>
      </c>
      <c r="E9785">
        <v>237.72</v>
      </c>
      <c r="F9785" t="s">
        <v>7</v>
      </c>
      <c r="G9785" t="s">
        <v>12</v>
      </c>
      <c r="H9785" s="5">
        <f>MONTH(Tabela1[[#This Row],[data]])</f>
        <v>2</v>
      </c>
      <c r="I9785">
        <f>YEAR(Tabela1[[#This Row],[data]])</f>
        <v>2026</v>
      </c>
    </row>
    <row r="9786" spans="1:9" x14ac:dyDescent="0.25">
      <c r="A9786" t="s">
        <v>6</v>
      </c>
      <c r="B9786" s="1">
        <v>46065</v>
      </c>
      <c r="C9786">
        <v>17</v>
      </c>
      <c r="D9786">
        <v>988.68</v>
      </c>
      <c r="E9786">
        <v>247.8</v>
      </c>
      <c r="F9786" t="s">
        <v>7</v>
      </c>
      <c r="G9786" t="s">
        <v>12</v>
      </c>
      <c r="H9786" s="5">
        <f>MONTH(Tabela1[[#This Row],[data]])</f>
        <v>2</v>
      </c>
      <c r="I9786">
        <f>YEAR(Tabela1[[#This Row],[data]])</f>
        <v>2026</v>
      </c>
    </row>
    <row r="9787" spans="1:9" x14ac:dyDescent="0.25">
      <c r="A9787" t="s">
        <v>6</v>
      </c>
      <c r="B9787" s="1">
        <v>46065</v>
      </c>
      <c r="C9787">
        <v>18</v>
      </c>
      <c r="D9787">
        <v>965.58</v>
      </c>
      <c r="E9787">
        <v>229.32</v>
      </c>
      <c r="F9787" t="s">
        <v>7</v>
      </c>
      <c r="G9787" t="s">
        <v>12</v>
      </c>
      <c r="H9787" s="5">
        <f>MONTH(Tabela1[[#This Row],[data]])</f>
        <v>2</v>
      </c>
      <c r="I9787">
        <f>YEAR(Tabela1[[#This Row],[data]])</f>
        <v>2026</v>
      </c>
    </row>
    <row r="9788" spans="1:9" x14ac:dyDescent="0.25">
      <c r="A9788" t="s">
        <v>6</v>
      </c>
      <c r="B9788" s="1">
        <v>46065</v>
      </c>
      <c r="C9788">
        <v>19</v>
      </c>
      <c r="D9788">
        <v>897.54</v>
      </c>
      <c r="E9788">
        <v>208.32</v>
      </c>
      <c r="F9788" t="s">
        <v>7</v>
      </c>
      <c r="G9788" t="s">
        <v>12</v>
      </c>
      <c r="H9788" s="5">
        <f>MONTH(Tabela1[[#This Row],[data]])</f>
        <v>2</v>
      </c>
      <c r="I9788">
        <f>YEAR(Tabela1[[#This Row],[data]])</f>
        <v>2026</v>
      </c>
    </row>
    <row r="9789" spans="1:9" x14ac:dyDescent="0.25">
      <c r="A9789" t="s">
        <v>6</v>
      </c>
      <c r="B9789" s="1">
        <v>46065</v>
      </c>
      <c r="C9789">
        <v>20</v>
      </c>
      <c r="D9789">
        <v>871.92</v>
      </c>
      <c r="E9789">
        <v>185.22</v>
      </c>
      <c r="F9789" t="s">
        <v>7</v>
      </c>
      <c r="G9789" t="s">
        <v>12</v>
      </c>
      <c r="H9789" s="5">
        <f>MONTH(Tabela1[[#This Row],[data]])</f>
        <v>2</v>
      </c>
      <c r="I9789">
        <f>YEAR(Tabela1[[#This Row],[data]])</f>
        <v>2026</v>
      </c>
    </row>
    <row r="9790" spans="1:9" x14ac:dyDescent="0.25">
      <c r="A9790" t="s">
        <v>6</v>
      </c>
      <c r="B9790" s="1">
        <v>46065</v>
      </c>
      <c r="C9790">
        <v>21</v>
      </c>
      <c r="D9790">
        <v>777.42</v>
      </c>
      <c r="E9790">
        <v>149.1</v>
      </c>
      <c r="F9790" t="s">
        <v>7</v>
      </c>
      <c r="G9790" t="s">
        <v>12</v>
      </c>
      <c r="H9790" s="5">
        <f>MONTH(Tabela1[[#This Row],[data]])</f>
        <v>2</v>
      </c>
      <c r="I9790">
        <f>YEAR(Tabela1[[#This Row],[data]])</f>
        <v>2026</v>
      </c>
    </row>
    <row r="9791" spans="1:9" x14ac:dyDescent="0.25">
      <c r="A9791" t="s">
        <v>6</v>
      </c>
      <c r="B9791" s="1">
        <v>46065</v>
      </c>
      <c r="C9791">
        <v>22</v>
      </c>
      <c r="D9791">
        <v>584.64</v>
      </c>
      <c r="E9791">
        <v>64.680000000000007</v>
      </c>
      <c r="F9791" t="s">
        <v>7</v>
      </c>
      <c r="G9791" t="s">
        <v>12</v>
      </c>
      <c r="H9791" s="5">
        <f>MONTH(Tabela1[[#This Row],[data]])</f>
        <v>2</v>
      </c>
      <c r="I9791">
        <f>YEAR(Tabela1[[#This Row],[data]])</f>
        <v>2026</v>
      </c>
    </row>
    <row r="9792" spans="1:9" x14ac:dyDescent="0.25">
      <c r="A9792" t="s">
        <v>6</v>
      </c>
      <c r="B9792" s="1">
        <v>46065</v>
      </c>
      <c r="C9792">
        <v>23</v>
      </c>
      <c r="D9792">
        <v>396.48</v>
      </c>
      <c r="E9792">
        <v>2.94</v>
      </c>
      <c r="F9792" t="s">
        <v>7</v>
      </c>
      <c r="G9792" t="s">
        <v>12</v>
      </c>
      <c r="H9792" s="5">
        <f>MONTH(Tabela1[[#This Row],[data]])</f>
        <v>2</v>
      </c>
      <c r="I9792">
        <f>YEAR(Tabela1[[#This Row],[data]])</f>
        <v>2026</v>
      </c>
    </row>
    <row r="9793" spans="1:9" x14ac:dyDescent="0.25">
      <c r="A9793" t="s">
        <v>6</v>
      </c>
      <c r="B9793" s="1">
        <v>46065</v>
      </c>
      <c r="C9793">
        <v>24</v>
      </c>
      <c r="D9793">
        <v>285.60000000000002</v>
      </c>
      <c r="E9793">
        <v>0</v>
      </c>
      <c r="F9793" t="s">
        <v>7</v>
      </c>
      <c r="G9793" t="s">
        <v>12</v>
      </c>
      <c r="H9793" s="5">
        <f>MONTH(Tabela1[[#This Row],[data]])</f>
        <v>2</v>
      </c>
      <c r="I9793">
        <f>YEAR(Tabela1[[#This Row],[data]])</f>
        <v>2026</v>
      </c>
    </row>
    <row r="9794" spans="1:9" x14ac:dyDescent="0.25">
      <c r="A9794" t="s">
        <v>6</v>
      </c>
      <c r="B9794" s="1">
        <v>46066</v>
      </c>
      <c r="C9794">
        <v>1</v>
      </c>
      <c r="D9794">
        <v>257.45999999999998</v>
      </c>
      <c r="E9794">
        <v>0</v>
      </c>
      <c r="F9794" t="s">
        <v>7</v>
      </c>
      <c r="G9794" t="s">
        <v>12</v>
      </c>
      <c r="H9794" s="5">
        <f>MONTH(Tabela1[[#This Row],[data]])</f>
        <v>2</v>
      </c>
      <c r="I9794">
        <f>YEAR(Tabela1[[#This Row],[data]])</f>
        <v>2026</v>
      </c>
    </row>
    <row r="9795" spans="1:9" x14ac:dyDescent="0.25">
      <c r="A9795" t="s">
        <v>6</v>
      </c>
      <c r="B9795" s="1">
        <v>46066</v>
      </c>
      <c r="C9795">
        <v>2</v>
      </c>
      <c r="D9795">
        <v>244.02</v>
      </c>
      <c r="E9795">
        <v>0</v>
      </c>
      <c r="F9795" t="s">
        <v>7</v>
      </c>
      <c r="G9795" t="s">
        <v>12</v>
      </c>
      <c r="H9795" s="5">
        <f>MONTH(Tabela1[[#This Row],[data]])</f>
        <v>2</v>
      </c>
      <c r="I9795">
        <f>YEAR(Tabela1[[#This Row],[data]])</f>
        <v>2026</v>
      </c>
    </row>
    <row r="9796" spans="1:9" x14ac:dyDescent="0.25">
      <c r="A9796" t="s">
        <v>6</v>
      </c>
      <c r="B9796" s="1">
        <v>46066</v>
      </c>
      <c r="C9796">
        <v>3</v>
      </c>
      <c r="D9796">
        <v>241.08</v>
      </c>
      <c r="E9796">
        <v>0</v>
      </c>
      <c r="F9796" t="s">
        <v>7</v>
      </c>
      <c r="G9796" t="s">
        <v>12</v>
      </c>
      <c r="H9796" s="5">
        <f>MONTH(Tabela1[[#This Row],[data]])</f>
        <v>2</v>
      </c>
      <c r="I9796">
        <f>YEAR(Tabela1[[#This Row],[data]])</f>
        <v>2026</v>
      </c>
    </row>
    <row r="9797" spans="1:9" x14ac:dyDescent="0.25">
      <c r="A9797" t="s">
        <v>6</v>
      </c>
      <c r="B9797" s="1">
        <v>46066</v>
      </c>
      <c r="C9797">
        <v>4</v>
      </c>
      <c r="D9797">
        <v>240.24</v>
      </c>
      <c r="E9797">
        <v>0</v>
      </c>
      <c r="F9797" t="s">
        <v>7</v>
      </c>
      <c r="G9797" t="s">
        <v>12</v>
      </c>
      <c r="H9797" s="5">
        <f>MONTH(Tabela1[[#This Row],[data]])</f>
        <v>2</v>
      </c>
      <c r="I9797">
        <f>YEAR(Tabela1[[#This Row],[data]])</f>
        <v>2026</v>
      </c>
    </row>
    <row r="9798" spans="1:9" x14ac:dyDescent="0.25">
      <c r="A9798" t="s">
        <v>6</v>
      </c>
      <c r="B9798" s="1">
        <v>46066</v>
      </c>
      <c r="C9798">
        <v>5</v>
      </c>
      <c r="D9798">
        <v>242.76</v>
      </c>
      <c r="E9798">
        <v>0</v>
      </c>
      <c r="F9798" t="s">
        <v>7</v>
      </c>
      <c r="G9798" t="s">
        <v>12</v>
      </c>
      <c r="H9798" s="5">
        <f>MONTH(Tabela1[[#This Row],[data]])</f>
        <v>2</v>
      </c>
      <c r="I9798">
        <f>YEAR(Tabela1[[#This Row],[data]])</f>
        <v>2026</v>
      </c>
    </row>
    <row r="9799" spans="1:9" x14ac:dyDescent="0.25">
      <c r="A9799" t="s">
        <v>6</v>
      </c>
      <c r="B9799" s="1">
        <v>46066</v>
      </c>
      <c r="C9799">
        <v>6</v>
      </c>
      <c r="D9799">
        <v>237.72</v>
      </c>
      <c r="E9799">
        <v>0</v>
      </c>
      <c r="F9799" t="s">
        <v>7</v>
      </c>
      <c r="G9799" t="s">
        <v>12</v>
      </c>
      <c r="H9799" s="5">
        <f>MONTH(Tabela1[[#This Row],[data]])</f>
        <v>2</v>
      </c>
      <c r="I9799">
        <f>YEAR(Tabela1[[#This Row],[data]])</f>
        <v>2026</v>
      </c>
    </row>
    <row r="9800" spans="1:9" x14ac:dyDescent="0.25">
      <c r="A9800" t="s">
        <v>6</v>
      </c>
      <c r="B9800" s="1">
        <v>46066</v>
      </c>
      <c r="C9800">
        <v>7</v>
      </c>
      <c r="D9800">
        <v>236.46</v>
      </c>
      <c r="E9800">
        <v>0</v>
      </c>
      <c r="F9800" t="s">
        <v>7</v>
      </c>
      <c r="G9800" t="s">
        <v>12</v>
      </c>
      <c r="H9800" s="5">
        <f>MONTH(Tabela1[[#This Row],[data]])</f>
        <v>2</v>
      </c>
      <c r="I9800">
        <f>YEAR(Tabela1[[#This Row],[data]])</f>
        <v>2026</v>
      </c>
    </row>
    <row r="9801" spans="1:9" x14ac:dyDescent="0.25">
      <c r="A9801" t="s">
        <v>6</v>
      </c>
      <c r="B9801" s="1">
        <v>46066</v>
      </c>
      <c r="C9801">
        <v>8</v>
      </c>
      <c r="D9801">
        <v>263.33999999999997</v>
      </c>
      <c r="E9801">
        <v>0</v>
      </c>
      <c r="F9801" t="s">
        <v>7</v>
      </c>
      <c r="G9801" t="s">
        <v>12</v>
      </c>
      <c r="H9801" s="5">
        <f>MONTH(Tabela1[[#This Row],[data]])</f>
        <v>2</v>
      </c>
      <c r="I9801">
        <f>YEAR(Tabela1[[#This Row],[data]])</f>
        <v>2026</v>
      </c>
    </row>
    <row r="9802" spans="1:9" x14ac:dyDescent="0.25">
      <c r="A9802" t="s">
        <v>6</v>
      </c>
      <c r="B9802" s="1">
        <v>46066</v>
      </c>
      <c r="C9802">
        <v>9</v>
      </c>
      <c r="D9802">
        <v>355.74</v>
      </c>
      <c r="E9802">
        <v>0</v>
      </c>
      <c r="F9802" t="s">
        <v>7</v>
      </c>
      <c r="G9802" t="s">
        <v>12</v>
      </c>
      <c r="H9802" s="5">
        <f>MONTH(Tabela1[[#This Row],[data]])</f>
        <v>2</v>
      </c>
      <c r="I9802">
        <f>YEAR(Tabela1[[#This Row],[data]])</f>
        <v>2026</v>
      </c>
    </row>
    <row r="9803" spans="1:9" x14ac:dyDescent="0.25">
      <c r="A9803" t="s">
        <v>6</v>
      </c>
      <c r="B9803" s="1">
        <v>46066</v>
      </c>
      <c r="C9803">
        <v>10</v>
      </c>
      <c r="D9803">
        <v>875.28</v>
      </c>
      <c r="E9803">
        <v>204.12</v>
      </c>
      <c r="F9803" t="s">
        <v>7</v>
      </c>
      <c r="G9803" t="s">
        <v>12</v>
      </c>
      <c r="H9803" s="5">
        <f>MONTH(Tabela1[[#This Row],[data]])</f>
        <v>2</v>
      </c>
      <c r="I9803">
        <f>YEAR(Tabela1[[#This Row],[data]])</f>
        <v>2026</v>
      </c>
    </row>
    <row r="9804" spans="1:9" x14ac:dyDescent="0.25">
      <c r="A9804" t="s">
        <v>6</v>
      </c>
      <c r="B9804" s="1">
        <v>46066</v>
      </c>
      <c r="C9804">
        <v>11</v>
      </c>
      <c r="D9804">
        <v>956.76</v>
      </c>
      <c r="E9804">
        <v>229.74</v>
      </c>
      <c r="F9804" t="s">
        <v>7</v>
      </c>
      <c r="G9804" t="s">
        <v>12</v>
      </c>
      <c r="H9804" s="5">
        <f>MONTH(Tabela1[[#This Row],[data]])</f>
        <v>2</v>
      </c>
      <c r="I9804">
        <f>YEAR(Tabela1[[#This Row],[data]])</f>
        <v>2026</v>
      </c>
    </row>
    <row r="9805" spans="1:9" x14ac:dyDescent="0.25">
      <c r="A9805" t="s">
        <v>6</v>
      </c>
      <c r="B9805" s="1">
        <v>46066</v>
      </c>
      <c r="C9805">
        <v>12</v>
      </c>
      <c r="D9805" s="2">
        <v>1049.1600000000001</v>
      </c>
      <c r="E9805">
        <v>252.84</v>
      </c>
      <c r="F9805" t="s">
        <v>7</v>
      </c>
      <c r="G9805" t="s">
        <v>12</v>
      </c>
      <c r="H9805" s="5">
        <f>MONTH(Tabela1[[#This Row],[data]])</f>
        <v>2</v>
      </c>
      <c r="I9805">
        <f>YEAR(Tabela1[[#This Row],[data]])</f>
        <v>2026</v>
      </c>
    </row>
    <row r="9806" spans="1:9" x14ac:dyDescent="0.25">
      <c r="A9806" t="s">
        <v>6</v>
      </c>
      <c r="B9806" s="1">
        <v>46066</v>
      </c>
      <c r="C9806">
        <v>13</v>
      </c>
      <c r="D9806" s="2">
        <v>1068.06</v>
      </c>
      <c r="E9806">
        <v>283.08</v>
      </c>
      <c r="F9806" t="s">
        <v>7</v>
      </c>
      <c r="G9806" t="s">
        <v>12</v>
      </c>
      <c r="H9806" s="5">
        <f>MONTH(Tabela1[[#This Row],[data]])</f>
        <v>2</v>
      </c>
      <c r="I9806">
        <f>YEAR(Tabela1[[#This Row],[data]])</f>
        <v>2026</v>
      </c>
    </row>
    <row r="9807" spans="1:9" x14ac:dyDescent="0.25">
      <c r="A9807" t="s">
        <v>6</v>
      </c>
      <c r="B9807" s="1">
        <v>46066</v>
      </c>
      <c r="C9807">
        <v>14</v>
      </c>
      <c r="D9807" s="2">
        <v>1069.32</v>
      </c>
      <c r="E9807">
        <v>264.18</v>
      </c>
      <c r="F9807" t="s">
        <v>7</v>
      </c>
      <c r="G9807" t="s">
        <v>12</v>
      </c>
      <c r="H9807" s="5">
        <f>MONTH(Tabela1[[#This Row],[data]])</f>
        <v>2</v>
      </c>
      <c r="I9807">
        <f>YEAR(Tabela1[[#This Row],[data]])</f>
        <v>2026</v>
      </c>
    </row>
    <row r="9808" spans="1:9" x14ac:dyDescent="0.25">
      <c r="A9808" t="s">
        <v>6</v>
      </c>
      <c r="B9808" s="1">
        <v>46066</v>
      </c>
      <c r="C9808">
        <v>15</v>
      </c>
      <c r="D9808" s="2">
        <v>1069.32</v>
      </c>
      <c r="E9808">
        <v>255.36</v>
      </c>
      <c r="F9808" t="s">
        <v>7</v>
      </c>
      <c r="G9808" t="s">
        <v>12</v>
      </c>
      <c r="H9808" s="5">
        <f>MONTH(Tabela1[[#This Row],[data]])</f>
        <v>2</v>
      </c>
      <c r="I9808">
        <f>YEAR(Tabela1[[#This Row],[data]])</f>
        <v>2026</v>
      </c>
    </row>
    <row r="9809" spans="1:9" x14ac:dyDescent="0.25">
      <c r="A9809" t="s">
        <v>6</v>
      </c>
      <c r="B9809" s="1">
        <v>46066</v>
      </c>
      <c r="C9809">
        <v>16</v>
      </c>
      <c r="D9809" s="2">
        <v>1054.6199999999999</v>
      </c>
      <c r="E9809">
        <v>281.82</v>
      </c>
      <c r="F9809" t="s">
        <v>7</v>
      </c>
      <c r="G9809" t="s">
        <v>12</v>
      </c>
      <c r="H9809" s="5">
        <f>MONTH(Tabela1[[#This Row],[data]])</f>
        <v>2</v>
      </c>
      <c r="I9809">
        <f>YEAR(Tabela1[[#This Row],[data]])</f>
        <v>2026</v>
      </c>
    </row>
    <row r="9810" spans="1:9" x14ac:dyDescent="0.25">
      <c r="A9810" t="s">
        <v>6</v>
      </c>
      <c r="B9810" s="1">
        <v>46066</v>
      </c>
      <c r="C9810">
        <v>17</v>
      </c>
      <c r="D9810" s="2">
        <v>1044.54</v>
      </c>
      <c r="E9810">
        <v>257.88</v>
      </c>
      <c r="F9810" t="s">
        <v>7</v>
      </c>
      <c r="G9810" t="s">
        <v>12</v>
      </c>
      <c r="H9810" s="5">
        <f>MONTH(Tabela1[[#This Row],[data]])</f>
        <v>2</v>
      </c>
      <c r="I9810">
        <f>YEAR(Tabela1[[#This Row],[data]])</f>
        <v>2026</v>
      </c>
    </row>
    <row r="9811" spans="1:9" x14ac:dyDescent="0.25">
      <c r="A9811" t="s">
        <v>6</v>
      </c>
      <c r="B9811" s="1">
        <v>46066</v>
      </c>
      <c r="C9811">
        <v>18</v>
      </c>
      <c r="D9811" s="2">
        <v>1047.48</v>
      </c>
      <c r="E9811">
        <v>252</v>
      </c>
      <c r="F9811" t="s">
        <v>7</v>
      </c>
      <c r="G9811" t="s">
        <v>12</v>
      </c>
      <c r="H9811" s="5">
        <f>MONTH(Tabela1[[#This Row],[data]])</f>
        <v>2</v>
      </c>
      <c r="I9811">
        <f>YEAR(Tabela1[[#This Row],[data]])</f>
        <v>2026</v>
      </c>
    </row>
    <row r="9812" spans="1:9" x14ac:dyDescent="0.25">
      <c r="A9812" t="s">
        <v>6</v>
      </c>
      <c r="B9812" s="1">
        <v>46066</v>
      </c>
      <c r="C9812">
        <v>19</v>
      </c>
      <c r="D9812" s="2">
        <v>1006.74</v>
      </c>
      <c r="E9812">
        <v>231.84</v>
      </c>
      <c r="F9812" t="s">
        <v>7</v>
      </c>
      <c r="G9812" t="s">
        <v>12</v>
      </c>
      <c r="H9812" s="5">
        <f>MONTH(Tabela1[[#This Row],[data]])</f>
        <v>2</v>
      </c>
      <c r="I9812">
        <f>YEAR(Tabela1[[#This Row],[data]])</f>
        <v>2026</v>
      </c>
    </row>
    <row r="9813" spans="1:9" x14ac:dyDescent="0.25">
      <c r="A9813" t="s">
        <v>6</v>
      </c>
      <c r="B9813" s="1">
        <v>46066</v>
      </c>
      <c r="C9813">
        <v>20</v>
      </c>
      <c r="D9813">
        <v>958.44</v>
      </c>
      <c r="E9813">
        <v>207.48</v>
      </c>
      <c r="F9813" t="s">
        <v>7</v>
      </c>
      <c r="G9813" t="s">
        <v>12</v>
      </c>
      <c r="H9813" s="5">
        <f>MONTH(Tabela1[[#This Row],[data]])</f>
        <v>2</v>
      </c>
      <c r="I9813">
        <f>YEAR(Tabela1[[#This Row],[data]])</f>
        <v>2026</v>
      </c>
    </row>
    <row r="9814" spans="1:9" x14ac:dyDescent="0.25">
      <c r="A9814" t="s">
        <v>6</v>
      </c>
      <c r="B9814" s="1">
        <v>46066</v>
      </c>
      <c r="C9814">
        <v>21</v>
      </c>
      <c r="D9814">
        <v>929.04</v>
      </c>
      <c r="E9814">
        <v>207.9</v>
      </c>
      <c r="F9814" t="s">
        <v>7</v>
      </c>
      <c r="G9814" t="s">
        <v>12</v>
      </c>
      <c r="H9814" s="5">
        <f>MONTH(Tabela1[[#This Row],[data]])</f>
        <v>2</v>
      </c>
      <c r="I9814">
        <f>YEAR(Tabela1[[#This Row],[data]])</f>
        <v>2026</v>
      </c>
    </row>
    <row r="9815" spans="1:9" x14ac:dyDescent="0.25">
      <c r="A9815" t="s">
        <v>6</v>
      </c>
      <c r="B9815" s="1">
        <v>46066</v>
      </c>
      <c r="C9815">
        <v>22</v>
      </c>
      <c r="D9815">
        <v>647.22</v>
      </c>
      <c r="E9815">
        <v>99.12</v>
      </c>
      <c r="F9815" t="s">
        <v>7</v>
      </c>
      <c r="G9815" t="s">
        <v>12</v>
      </c>
      <c r="H9815" s="5">
        <f>MONTH(Tabela1[[#This Row],[data]])</f>
        <v>2</v>
      </c>
      <c r="I9815">
        <f>YEAR(Tabela1[[#This Row],[data]])</f>
        <v>2026</v>
      </c>
    </row>
    <row r="9816" spans="1:9" x14ac:dyDescent="0.25">
      <c r="A9816" t="s">
        <v>6</v>
      </c>
      <c r="B9816" s="1">
        <v>46066</v>
      </c>
      <c r="C9816">
        <v>23</v>
      </c>
      <c r="D9816">
        <v>405.72</v>
      </c>
      <c r="E9816">
        <v>13.86</v>
      </c>
      <c r="F9816" t="s">
        <v>7</v>
      </c>
      <c r="G9816" t="s">
        <v>12</v>
      </c>
      <c r="H9816" s="5">
        <f>MONTH(Tabela1[[#This Row],[data]])</f>
        <v>2</v>
      </c>
      <c r="I9816">
        <f>YEAR(Tabela1[[#This Row],[data]])</f>
        <v>2026</v>
      </c>
    </row>
    <row r="9817" spans="1:9" x14ac:dyDescent="0.25">
      <c r="A9817" t="s">
        <v>6</v>
      </c>
      <c r="B9817" s="1">
        <v>46066</v>
      </c>
      <c r="C9817">
        <v>24</v>
      </c>
      <c r="D9817">
        <v>283.08</v>
      </c>
      <c r="E9817">
        <v>0</v>
      </c>
      <c r="F9817" t="s">
        <v>7</v>
      </c>
      <c r="G9817" t="s">
        <v>12</v>
      </c>
      <c r="H9817" s="5">
        <f>MONTH(Tabela1[[#This Row],[data]])</f>
        <v>2</v>
      </c>
      <c r="I9817">
        <f>YEAR(Tabela1[[#This Row],[data]])</f>
        <v>2026</v>
      </c>
    </row>
    <row r="9818" spans="1:9" x14ac:dyDescent="0.25">
      <c r="A9818" t="s">
        <v>6</v>
      </c>
      <c r="B9818" s="1">
        <v>46067</v>
      </c>
      <c r="C9818">
        <v>1</v>
      </c>
      <c r="D9818">
        <v>240.24</v>
      </c>
      <c r="E9818">
        <v>0</v>
      </c>
      <c r="F9818" t="s">
        <v>7</v>
      </c>
      <c r="G9818" t="s">
        <v>12</v>
      </c>
      <c r="H9818" s="5">
        <f>MONTH(Tabela1[[#This Row],[data]])</f>
        <v>2</v>
      </c>
      <c r="I9818">
        <f>YEAR(Tabela1[[#This Row],[data]])</f>
        <v>2026</v>
      </c>
    </row>
    <row r="9819" spans="1:9" x14ac:dyDescent="0.25">
      <c r="A9819" t="s">
        <v>6</v>
      </c>
      <c r="B9819" s="1">
        <v>46067</v>
      </c>
      <c r="C9819">
        <v>2</v>
      </c>
      <c r="D9819">
        <v>232.26</v>
      </c>
      <c r="E9819">
        <v>0</v>
      </c>
      <c r="F9819" t="s">
        <v>7</v>
      </c>
      <c r="G9819" t="s">
        <v>12</v>
      </c>
      <c r="H9819" s="5">
        <f>MONTH(Tabela1[[#This Row],[data]])</f>
        <v>2</v>
      </c>
      <c r="I9819">
        <f>YEAR(Tabela1[[#This Row],[data]])</f>
        <v>2026</v>
      </c>
    </row>
    <row r="9820" spans="1:9" x14ac:dyDescent="0.25">
      <c r="A9820" t="s">
        <v>6</v>
      </c>
      <c r="B9820" s="1">
        <v>46067</v>
      </c>
      <c r="C9820">
        <v>3</v>
      </c>
      <c r="D9820">
        <v>231</v>
      </c>
      <c r="E9820">
        <v>0</v>
      </c>
      <c r="F9820" t="s">
        <v>7</v>
      </c>
      <c r="G9820" t="s">
        <v>12</v>
      </c>
      <c r="H9820" s="5">
        <f>MONTH(Tabela1[[#This Row],[data]])</f>
        <v>2</v>
      </c>
      <c r="I9820">
        <f>YEAR(Tabela1[[#This Row],[data]])</f>
        <v>2026</v>
      </c>
    </row>
    <row r="9821" spans="1:9" x14ac:dyDescent="0.25">
      <c r="A9821" t="s">
        <v>6</v>
      </c>
      <c r="B9821" s="1">
        <v>46067</v>
      </c>
      <c r="C9821">
        <v>4</v>
      </c>
      <c r="D9821">
        <v>227.64</v>
      </c>
      <c r="E9821">
        <v>0</v>
      </c>
      <c r="F9821" t="s">
        <v>7</v>
      </c>
      <c r="G9821" t="s">
        <v>12</v>
      </c>
      <c r="H9821" s="5">
        <f>MONTH(Tabela1[[#This Row],[data]])</f>
        <v>2</v>
      </c>
      <c r="I9821">
        <f>YEAR(Tabela1[[#This Row],[data]])</f>
        <v>2026</v>
      </c>
    </row>
    <row r="9822" spans="1:9" x14ac:dyDescent="0.25">
      <c r="A9822" t="s">
        <v>6</v>
      </c>
      <c r="B9822" s="1">
        <v>46067</v>
      </c>
      <c r="C9822">
        <v>5</v>
      </c>
      <c r="D9822">
        <v>229.74</v>
      </c>
      <c r="E9822">
        <v>0</v>
      </c>
      <c r="F9822" t="s">
        <v>7</v>
      </c>
      <c r="G9822" t="s">
        <v>12</v>
      </c>
      <c r="H9822" s="5">
        <f>MONTH(Tabela1[[#This Row],[data]])</f>
        <v>2</v>
      </c>
      <c r="I9822">
        <f>YEAR(Tabela1[[#This Row],[data]])</f>
        <v>2026</v>
      </c>
    </row>
    <row r="9823" spans="1:9" x14ac:dyDescent="0.25">
      <c r="A9823" t="s">
        <v>6</v>
      </c>
      <c r="B9823" s="1">
        <v>46067</v>
      </c>
      <c r="C9823">
        <v>6</v>
      </c>
      <c r="D9823">
        <v>210.84</v>
      </c>
      <c r="E9823">
        <v>0</v>
      </c>
      <c r="F9823" t="s">
        <v>7</v>
      </c>
      <c r="G9823" t="s">
        <v>12</v>
      </c>
      <c r="H9823" s="5">
        <f>MONTH(Tabela1[[#This Row],[data]])</f>
        <v>2</v>
      </c>
      <c r="I9823">
        <f>YEAR(Tabela1[[#This Row],[data]])</f>
        <v>2026</v>
      </c>
    </row>
    <row r="9824" spans="1:9" x14ac:dyDescent="0.25">
      <c r="A9824" t="s">
        <v>6</v>
      </c>
      <c r="B9824" s="1">
        <v>46067</v>
      </c>
      <c r="C9824">
        <v>7</v>
      </c>
      <c r="D9824">
        <v>210.42</v>
      </c>
      <c r="E9824">
        <v>0</v>
      </c>
      <c r="F9824" t="s">
        <v>7</v>
      </c>
      <c r="G9824" t="s">
        <v>12</v>
      </c>
      <c r="H9824" s="5">
        <f>MONTH(Tabela1[[#This Row],[data]])</f>
        <v>2</v>
      </c>
      <c r="I9824">
        <f>YEAR(Tabela1[[#This Row],[data]])</f>
        <v>2026</v>
      </c>
    </row>
    <row r="9825" spans="1:9" x14ac:dyDescent="0.25">
      <c r="A9825" t="s">
        <v>6</v>
      </c>
      <c r="B9825" s="1">
        <v>46067</v>
      </c>
      <c r="C9825">
        <v>8</v>
      </c>
      <c r="D9825">
        <v>235.62</v>
      </c>
      <c r="E9825">
        <v>0</v>
      </c>
      <c r="F9825" t="s">
        <v>7</v>
      </c>
      <c r="G9825" t="s">
        <v>12</v>
      </c>
      <c r="H9825" s="5">
        <f>MONTH(Tabela1[[#This Row],[data]])</f>
        <v>2</v>
      </c>
      <c r="I9825">
        <f>YEAR(Tabela1[[#This Row],[data]])</f>
        <v>2026</v>
      </c>
    </row>
    <row r="9826" spans="1:9" x14ac:dyDescent="0.25">
      <c r="A9826" t="s">
        <v>6</v>
      </c>
      <c r="B9826" s="1">
        <v>46067</v>
      </c>
      <c r="C9826">
        <v>9</v>
      </c>
      <c r="D9826">
        <v>321.3</v>
      </c>
      <c r="E9826">
        <v>0</v>
      </c>
      <c r="F9826" t="s">
        <v>7</v>
      </c>
      <c r="G9826" t="s">
        <v>12</v>
      </c>
      <c r="H9826" s="5">
        <f>MONTH(Tabela1[[#This Row],[data]])</f>
        <v>2</v>
      </c>
      <c r="I9826">
        <f>YEAR(Tabela1[[#This Row],[data]])</f>
        <v>2026</v>
      </c>
    </row>
    <row r="9827" spans="1:9" x14ac:dyDescent="0.25">
      <c r="A9827" t="s">
        <v>6</v>
      </c>
      <c r="B9827" s="1">
        <v>46067</v>
      </c>
      <c r="C9827">
        <v>10</v>
      </c>
      <c r="D9827">
        <v>508.62</v>
      </c>
      <c r="E9827">
        <v>39.06</v>
      </c>
      <c r="F9827" t="s">
        <v>7</v>
      </c>
      <c r="G9827" t="s">
        <v>12</v>
      </c>
      <c r="H9827" s="5">
        <f>MONTH(Tabela1[[#This Row],[data]])</f>
        <v>2</v>
      </c>
      <c r="I9827">
        <f>YEAR(Tabela1[[#This Row],[data]])</f>
        <v>2026</v>
      </c>
    </row>
    <row r="9828" spans="1:9" x14ac:dyDescent="0.25">
      <c r="A9828" t="s">
        <v>6</v>
      </c>
      <c r="B9828" s="1">
        <v>46067</v>
      </c>
      <c r="C9828">
        <v>11</v>
      </c>
      <c r="D9828">
        <v>948.36</v>
      </c>
      <c r="E9828">
        <v>204.96</v>
      </c>
      <c r="F9828" t="s">
        <v>7</v>
      </c>
      <c r="G9828" t="s">
        <v>12</v>
      </c>
      <c r="H9828" s="5">
        <f>MONTH(Tabela1[[#This Row],[data]])</f>
        <v>2</v>
      </c>
      <c r="I9828">
        <f>YEAR(Tabela1[[#This Row],[data]])</f>
        <v>2026</v>
      </c>
    </row>
    <row r="9829" spans="1:9" x14ac:dyDescent="0.25">
      <c r="A9829" t="s">
        <v>6</v>
      </c>
      <c r="B9829" s="1">
        <v>46067</v>
      </c>
      <c r="C9829">
        <v>12</v>
      </c>
      <c r="D9829">
        <v>967.26</v>
      </c>
      <c r="E9829">
        <v>207.48</v>
      </c>
      <c r="F9829" t="s">
        <v>7</v>
      </c>
      <c r="G9829" t="s">
        <v>12</v>
      </c>
      <c r="H9829" s="5">
        <f>MONTH(Tabela1[[#This Row],[data]])</f>
        <v>2</v>
      </c>
      <c r="I9829">
        <f>YEAR(Tabela1[[#This Row],[data]])</f>
        <v>2026</v>
      </c>
    </row>
    <row r="9830" spans="1:9" x14ac:dyDescent="0.25">
      <c r="A9830" t="s">
        <v>6</v>
      </c>
      <c r="B9830" s="1">
        <v>46067</v>
      </c>
      <c r="C9830">
        <v>13</v>
      </c>
      <c r="D9830">
        <v>971.04</v>
      </c>
      <c r="E9830">
        <v>210.84</v>
      </c>
      <c r="F9830" t="s">
        <v>7</v>
      </c>
      <c r="G9830" t="s">
        <v>12</v>
      </c>
      <c r="H9830" s="5">
        <f>MONTH(Tabela1[[#This Row],[data]])</f>
        <v>2</v>
      </c>
      <c r="I9830">
        <f>YEAR(Tabela1[[#This Row],[data]])</f>
        <v>2026</v>
      </c>
    </row>
    <row r="9831" spans="1:9" x14ac:dyDescent="0.25">
      <c r="A9831" t="s">
        <v>6</v>
      </c>
      <c r="B9831" s="1">
        <v>46067</v>
      </c>
      <c r="C9831">
        <v>14</v>
      </c>
      <c r="D9831">
        <v>981.96</v>
      </c>
      <c r="E9831">
        <v>212.1</v>
      </c>
      <c r="F9831" t="s">
        <v>7</v>
      </c>
      <c r="G9831" t="s">
        <v>12</v>
      </c>
      <c r="H9831" s="5">
        <f>MONTH(Tabela1[[#This Row],[data]])</f>
        <v>2</v>
      </c>
      <c r="I9831">
        <f>YEAR(Tabela1[[#This Row],[data]])</f>
        <v>2026</v>
      </c>
    </row>
    <row r="9832" spans="1:9" x14ac:dyDescent="0.25">
      <c r="A9832" t="s">
        <v>6</v>
      </c>
      <c r="B9832" s="1">
        <v>46067</v>
      </c>
      <c r="C9832">
        <v>15</v>
      </c>
      <c r="D9832">
        <v>958.02</v>
      </c>
      <c r="E9832">
        <v>196.14</v>
      </c>
      <c r="F9832" t="s">
        <v>7</v>
      </c>
      <c r="G9832" t="s">
        <v>12</v>
      </c>
      <c r="H9832" s="5">
        <f>MONTH(Tabela1[[#This Row],[data]])</f>
        <v>2</v>
      </c>
      <c r="I9832">
        <f>YEAR(Tabela1[[#This Row],[data]])</f>
        <v>2026</v>
      </c>
    </row>
    <row r="9833" spans="1:9" x14ac:dyDescent="0.25">
      <c r="A9833" t="s">
        <v>6</v>
      </c>
      <c r="B9833" s="1">
        <v>46067</v>
      </c>
      <c r="C9833">
        <v>16</v>
      </c>
      <c r="D9833">
        <v>937.44</v>
      </c>
      <c r="E9833">
        <v>192.78</v>
      </c>
      <c r="F9833" t="s">
        <v>7</v>
      </c>
      <c r="G9833" t="s">
        <v>12</v>
      </c>
      <c r="H9833" s="5">
        <f>MONTH(Tabela1[[#This Row],[data]])</f>
        <v>2</v>
      </c>
      <c r="I9833">
        <f>YEAR(Tabela1[[#This Row],[data]])</f>
        <v>2026</v>
      </c>
    </row>
    <row r="9834" spans="1:9" x14ac:dyDescent="0.25">
      <c r="A9834" t="s">
        <v>6</v>
      </c>
      <c r="B9834" s="1">
        <v>46067</v>
      </c>
      <c r="C9834">
        <v>17</v>
      </c>
      <c r="D9834">
        <v>955.92</v>
      </c>
      <c r="E9834">
        <v>203.7</v>
      </c>
      <c r="F9834" t="s">
        <v>7</v>
      </c>
      <c r="G9834" t="s">
        <v>12</v>
      </c>
      <c r="H9834" s="5">
        <f>MONTH(Tabela1[[#This Row],[data]])</f>
        <v>2</v>
      </c>
      <c r="I9834">
        <f>YEAR(Tabela1[[#This Row],[data]])</f>
        <v>2026</v>
      </c>
    </row>
    <row r="9835" spans="1:9" x14ac:dyDescent="0.25">
      <c r="A9835" t="s">
        <v>6</v>
      </c>
      <c r="B9835" s="1">
        <v>46067</v>
      </c>
      <c r="C9835">
        <v>18</v>
      </c>
      <c r="D9835">
        <v>949.62</v>
      </c>
      <c r="E9835">
        <v>205.38</v>
      </c>
      <c r="F9835" t="s">
        <v>7</v>
      </c>
      <c r="G9835" t="s">
        <v>12</v>
      </c>
      <c r="H9835" s="5">
        <f>MONTH(Tabela1[[#This Row],[data]])</f>
        <v>2</v>
      </c>
      <c r="I9835">
        <f>YEAR(Tabela1[[#This Row],[data]])</f>
        <v>2026</v>
      </c>
    </row>
    <row r="9836" spans="1:9" x14ac:dyDescent="0.25">
      <c r="A9836" t="s">
        <v>6</v>
      </c>
      <c r="B9836" s="1">
        <v>46067</v>
      </c>
      <c r="C9836">
        <v>19</v>
      </c>
      <c r="D9836">
        <v>935.34</v>
      </c>
      <c r="E9836">
        <v>194.46</v>
      </c>
      <c r="F9836" t="s">
        <v>7</v>
      </c>
      <c r="G9836" t="s">
        <v>12</v>
      </c>
      <c r="H9836" s="5">
        <f>MONTH(Tabela1[[#This Row],[data]])</f>
        <v>2</v>
      </c>
      <c r="I9836">
        <f>YEAR(Tabela1[[#This Row],[data]])</f>
        <v>2026</v>
      </c>
    </row>
    <row r="9837" spans="1:9" x14ac:dyDescent="0.25">
      <c r="A9837" t="s">
        <v>6</v>
      </c>
      <c r="B9837" s="1">
        <v>46067</v>
      </c>
      <c r="C9837">
        <v>20</v>
      </c>
      <c r="D9837">
        <v>929.04</v>
      </c>
      <c r="E9837">
        <v>183.12</v>
      </c>
      <c r="F9837" t="s">
        <v>7</v>
      </c>
      <c r="G9837" t="s">
        <v>12</v>
      </c>
      <c r="H9837" s="5">
        <f>MONTH(Tabela1[[#This Row],[data]])</f>
        <v>2</v>
      </c>
      <c r="I9837">
        <f>YEAR(Tabela1[[#This Row],[data]])</f>
        <v>2026</v>
      </c>
    </row>
    <row r="9838" spans="1:9" x14ac:dyDescent="0.25">
      <c r="A9838" t="s">
        <v>6</v>
      </c>
      <c r="B9838" s="1">
        <v>46067</v>
      </c>
      <c r="C9838">
        <v>21</v>
      </c>
      <c r="D9838">
        <v>792.96</v>
      </c>
      <c r="E9838">
        <v>130.19999999999999</v>
      </c>
      <c r="F9838" t="s">
        <v>7</v>
      </c>
      <c r="G9838" t="s">
        <v>12</v>
      </c>
      <c r="H9838" s="5">
        <f>MONTH(Tabela1[[#This Row],[data]])</f>
        <v>2</v>
      </c>
      <c r="I9838">
        <f>YEAR(Tabela1[[#This Row],[data]])</f>
        <v>2026</v>
      </c>
    </row>
    <row r="9839" spans="1:9" x14ac:dyDescent="0.25">
      <c r="A9839" t="s">
        <v>6</v>
      </c>
      <c r="B9839" s="1">
        <v>46067</v>
      </c>
      <c r="C9839">
        <v>22</v>
      </c>
      <c r="D9839">
        <v>641.76</v>
      </c>
      <c r="E9839">
        <v>59.22</v>
      </c>
      <c r="F9839" t="s">
        <v>7</v>
      </c>
      <c r="G9839" t="s">
        <v>12</v>
      </c>
      <c r="H9839" s="5">
        <f>MONTH(Tabela1[[#This Row],[data]])</f>
        <v>2</v>
      </c>
      <c r="I9839">
        <f>YEAR(Tabela1[[#This Row],[data]])</f>
        <v>2026</v>
      </c>
    </row>
    <row r="9840" spans="1:9" x14ac:dyDescent="0.25">
      <c r="A9840" t="s">
        <v>6</v>
      </c>
      <c r="B9840" s="1">
        <v>46067</v>
      </c>
      <c r="C9840">
        <v>23</v>
      </c>
      <c r="D9840">
        <v>414.54</v>
      </c>
      <c r="E9840">
        <v>5.88</v>
      </c>
      <c r="F9840" t="s">
        <v>7</v>
      </c>
      <c r="G9840" t="s">
        <v>12</v>
      </c>
      <c r="H9840" s="5">
        <f>MONTH(Tabela1[[#This Row],[data]])</f>
        <v>2</v>
      </c>
      <c r="I9840">
        <f>YEAR(Tabela1[[#This Row],[data]])</f>
        <v>2026</v>
      </c>
    </row>
    <row r="9841" spans="1:9" x14ac:dyDescent="0.25">
      <c r="A9841" t="s">
        <v>6</v>
      </c>
      <c r="B9841" s="1">
        <v>46067</v>
      </c>
      <c r="C9841">
        <v>24</v>
      </c>
      <c r="D9841">
        <v>279.3</v>
      </c>
      <c r="E9841">
        <v>0</v>
      </c>
      <c r="F9841" t="s">
        <v>7</v>
      </c>
      <c r="G9841" t="s">
        <v>12</v>
      </c>
      <c r="H9841" s="5">
        <f>MONTH(Tabela1[[#This Row],[data]])</f>
        <v>2</v>
      </c>
      <c r="I9841">
        <f>YEAR(Tabela1[[#This Row],[data]])</f>
        <v>2026</v>
      </c>
    </row>
    <row r="9842" spans="1:9" x14ac:dyDescent="0.25">
      <c r="A9842" t="s">
        <v>6</v>
      </c>
      <c r="B9842" s="1">
        <v>46068</v>
      </c>
      <c r="C9842">
        <v>1</v>
      </c>
      <c r="D9842">
        <v>235.62</v>
      </c>
      <c r="E9842">
        <v>0</v>
      </c>
      <c r="F9842" t="s">
        <v>7</v>
      </c>
      <c r="G9842" t="s">
        <v>12</v>
      </c>
      <c r="H9842" s="5">
        <f>MONTH(Tabela1[[#This Row],[data]])</f>
        <v>2</v>
      </c>
      <c r="I9842">
        <f>YEAR(Tabela1[[#This Row],[data]])</f>
        <v>2026</v>
      </c>
    </row>
    <row r="9843" spans="1:9" x14ac:dyDescent="0.25">
      <c r="A9843" t="s">
        <v>6</v>
      </c>
      <c r="B9843" s="1">
        <v>46068</v>
      </c>
      <c r="C9843">
        <v>2</v>
      </c>
      <c r="D9843">
        <v>233.94</v>
      </c>
      <c r="E9843">
        <v>0</v>
      </c>
      <c r="F9843" t="s">
        <v>7</v>
      </c>
      <c r="G9843" t="s">
        <v>12</v>
      </c>
      <c r="H9843" s="5">
        <f>MONTH(Tabela1[[#This Row],[data]])</f>
        <v>2</v>
      </c>
      <c r="I9843">
        <f>YEAR(Tabela1[[#This Row],[data]])</f>
        <v>2026</v>
      </c>
    </row>
    <row r="9844" spans="1:9" x14ac:dyDescent="0.25">
      <c r="A9844" t="s">
        <v>6</v>
      </c>
      <c r="B9844" s="1">
        <v>46068</v>
      </c>
      <c r="C9844">
        <v>3</v>
      </c>
      <c r="D9844">
        <v>225.96</v>
      </c>
      <c r="E9844">
        <v>0</v>
      </c>
      <c r="F9844" t="s">
        <v>7</v>
      </c>
      <c r="G9844" t="s">
        <v>12</v>
      </c>
      <c r="H9844" s="5">
        <f>MONTH(Tabela1[[#This Row],[data]])</f>
        <v>2</v>
      </c>
      <c r="I9844">
        <f>YEAR(Tabela1[[#This Row],[data]])</f>
        <v>2026</v>
      </c>
    </row>
    <row r="9845" spans="1:9" x14ac:dyDescent="0.25">
      <c r="A9845" t="s">
        <v>6</v>
      </c>
      <c r="B9845" s="1">
        <v>46068</v>
      </c>
      <c r="C9845">
        <v>4</v>
      </c>
      <c r="D9845">
        <v>224.28</v>
      </c>
      <c r="E9845">
        <v>0</v>
      </c>
      <c r="F9845" t="s">
        <v>7</v>
      </c>
      <c r="G9845" t="s">
        <v>12</v>
      </c>
      <c r="H9845" s="5">
        <f>MONTH(Tabela1[[#This Row],[data]])</f>
        <v>2</v>
      </c>
      <c r="I9845">
        <f>YEAR(Tabela1[[#This Row],[data]])</f>
        <v>2026</v>
      </c>
    </row>
    <row r="9846" spans="1:9" x14ac:dyDescent="0.25">
      <c r="A9846" t="s">
        <v>6</v>
      </c>
      <c r="B9846" s="1">
        <v>46068</v>
      </c>
      <c r="C9846">
        <v>5</v>
      </c>
      <c r="D9846">
        <v>231.84</v>
      </c>
      <c r="E9846">
        <v>0</v>
      </c>
      <c r="F9846" t="s">
        <v>7</v>
      </c>
      <c r="G9846" t="s">
        <v>12</v>
      </c>
      <c r="H9846" s="5">
        <f>MONTH(Tabela1[[#This Row],[data]])</f>
        <v>2</v>
      </c>
      <c r="I9846">
        <f>YEAR(Tabela1[[#This Row],[data]])</f>
        <v>2026</v>
      </c>
    </row>
    <row r="9847" spans="1:9" x14ac:dyDescent="0.25">
      <c r="A9847" t="s">
        <v>6</v>
      </c>
      <c r="B9847" s="1">
        <v>46068</v>
      </c>
      <c r="C9847">
        <v>6</v>
      </c>
      <c r="D9847">
        <v>231.84</v>
      </c>
      <c r="E9847">
        <v>0</v>
      </c>
      <c r="F9847" t="s">
        <v>7</v>
      </c>
      <c r="G9847" t="s">
        <v>12</v>
      </c>
      <c r="H9847" s="5">
        <f>MONTH(Tabela1[[#This Row],[data]])</f>
        <v>2</v>
      </c>
      <c r="I9847">
        <f>YEAR(Tabela1[[#This Row],[data]])</f>
        <v>2026</v>
      </c>
    </row>
    <row r="9848" spans="1:9" x14ac:dyDescent="0.25">
      <c r="A9848" t="s">
        <v>6</v>
      </c>
      <c r="B9848" s="1">
        <v>46068</v>
      </c>
      <c r="C9848">
        <v>7</v>
      </c>
      <c r="D9848">
        <v>216.72</v>
      </c>
      <c r="E9848">
        <v>0</v>
      </c>
      <c r="F9848" t="s">
        <v>7</v>
      </c>
      <c r="G9848" t="s">
        <v>12</v>
      </c>
      <c r="H9848" s="5">
        <f>MONTH(Tabela1[[#This Row],[data]])</f>
        <v>2</v>
      </c>
      <c r="I9848">
        <f>YEAR(Tabela1[[#This Row],[data]])</f>
        <v>2026</v>
      </c>
    </row>
    <row r="9849" spans="1:9" x14ac:dyDescent="0.25">
      <c r="A9849" t="s">
        <v>6</v>
      </c>
      <c r="B9849" s="1">
        <v>46068</v>
      </c>
      <c r="C9849">
        <v>8</v>
      </c>
      <c r="D9849">
        <v>222.6</v>
      </c>
      <c r="E9849">
        <v>0</v>
      </c>
      <c r="F9849" t="s">
        <v>7</v>
      </c>
      <c r="G9849" t="s">
        <v>12</v>
      </c>
      <c r="H9849" s="5">
        <f>MONTH(Tabela1[[#This Row],[data]])</f>
        <v>2</v>
      </c>
      <c r="I9849">
        <f>YEAR(Tabela1[[#This Row],[data]])</f>
        <v>2026</v>
      </c>
    </row>
    <row r="9850" spans="1:9" x14ac:dyDescent="0.25">
      <c r="A9850" t="s">
        <v>6</v>
      </c>
      <c r="B9850" s="1">
        <v>46068</v>
      </c>
      <c r="C9850">
        <v>9</v>
      </c>
      <c r="D9850">
        <v>272.58</v>
      </c>
      <c r="E9850">
        <v>0</v>
      </c>
      <c r="F9850" t="s">
        <v>7</v>
      </c>
      <c r="G9850" t="s">
        <v>12</v>
      </c>
      <c r="H9850" s="5">
        <f>MONTH(Tabela1[[#This Row],[data]])</f>
        <v>2</v>
      </c>
      <c r="I9850">
        <f>YEAR(Tabela1[[#This Row],[data]])</f>
        <v>2026</v>
      </c>
    </row>
    <row r="9851" spans="1:9" x14ac:dyDescent="0.25">
      <c r="A9851" t="s">
        <v>6</v>
      </c>
      <c r="B9851" s="1">
        <v>46068</v>
      </c>
      <c r="C9851">
        <v>10</v>
      </c>
      <c r="D9851">
        <v>335.16</v>
      </c>
      <c r="E9851">
        <v>0.84</v>
      </c>
      <c r="F9851" t="s">
        <v>7</v>
      </c>
      <c r="G9851" t="s">
        <v>12</v>
      </c>
      <c r="H9851" s="5">
        <f>MONTH(Tabela1[[#This Row],[data]])</f>
        <v>2</v>
      </c>
      <c r="I9851">
        <f>YEAR(Tabela1[[#This Row],[data]])</f>
        <v>2026</v>
      </c>
    </row>
    <row r="9852" spans="1:9" x14ac:dyDescent="0.25">
      <c r="A9852" t="s">
        <v>6</v>
      </c>
      <c r="B9852" s="1">
        <v>46068</v>
      </c>
      <c r="C9852">
        <v>11</v>
      </c>
      <c r="D9852">
        <v>403.2</v>
      </c>
      <c r="E9852">
        <v>16.38</v>
      </c>
      <c r="F9852" t="s">
        <v>7</v>
      </c>
      <c r="G9852" t="s">
        <v>12</v>
      </c>
      <c r="H9852" s="5">
        <f>MONTH(Tabela1[[#This Row],[data]])</f>
        <v>2</v>
      </c>
      <c r="I9852">
        <f>YEAR(Tabela1[[#This Row],[data]])</f>
        <v>2026</v>
      </c>
    </row>
    <row r="9853" spans="1:9" x14ac:dyDescent="0.25">
      <c r="A9853" t="s">
        <v>6</v>
      </c>
      <c r="B9853" s="1">
        <v>46068</v>
      </c>
      <c r="C9853">
        <v>12</v>
      </c>
      <c r="D9853">
        <v>655.62</v>
      </c>
      <c r="E9853">
        <v>108.36</v>
      </c>
      <c r="F9853" t="s">
        <v>7</v>
      </c>
      <c r="G9853" t="s">
        <v>12</v>
      </c>
      <c r="H9853" s="5">
        <f>MONTH(Tabela1[[#This Row],[data]])</f>
        <v>2</v>
      </c>
      <c r="I9853">
        <f>YEAR(Tabela1[[#This Row],[data]])</f>
        <v>2026</v>
      </c>
    </row>
    <row r="9854" spans="1:9" x14ac:dyDescent="0.25">
      <c r="A9854" t="s">
        <v>6</v>
      </c>
      <c r="B9854" s="1">
        <v>46068</v>
      </c>
      <c r="C9854">
        <v>13</v>
      </c>
      <c r="D9854">
        <v>911.4</v>
      </c>
      <c r="E9854">
        <v>188.16</v>
      </c>
      <c r="F9854" t="s">
        <v>7</v>
      </c>
      <c r="G9854" t="s">
        <v>12</v>
      </c>
      <c r="H9854" s="5">
        <f>MONTH(Tabela1[[#This Row],[data]])</f>
        <v>2</v>
      </c>
      <c r="I9854">
        <f>YEAR(Tabela1[[#This Row],[data]])</f>
        <v>2026</v>
      </c>
    </row>
    <row r="9855" spans="1:9" x14ac:dyDescent="0.25">
      <c r="A9855" t="s">
        <v>6</v>
      </c>
      <c r="B9855" s="1">
        <v>46068</v>
      </c>
      <c r="C9855">
        <v>14</v>
      </c>
      <c r="D9855">
        <v>903</v>
      </c>
      <c r="E9855">
        <v>181.86</v>
      </c>
      <c r="F9855" t="s">
        <v>7</v>
      </c>
      <c r="G9855" t="s">
        <v>12</v>
      </c>
      <c r="H9855" s="5">
        <f>MONTH(Tabela1[[#This Row],[data]])</f>
        <v>2</v>
      </c>
      <c r="I9855">
        <f>YEAR(Tabela1[[#This Row],[data]])</f>
        <v>2026</v>
      </c>
    </row>
    <row r="9856" spans="1:9" x14ac:dyDescent="0.25">
      <c r="A9856" t="s">
        <v>6</v>
      </c>
      <c r="B9856" s="1">
        <v>46068</v>
      </c>
      <c r="C9856">
        <v>15</v>
      </c>
      <c r="D9856">
        <v>939.96</v>
      </c>
      <c r="E9856">
        <v>194.88</v>
      </c>
      <c r="F9856" t="s">
        <v>7</v>
      </c>
      <c r="G9856" t="s">
        <v>12</v>
      </c>
      <c r="H9856" s="5">
        <f>MONTH(Tabela1[[#This Row],[data]])</f>
        <v>2</v>
      </c>
      <c r="I9856">
        <f>YEAR(Tabela1[[#This Row],[data]])</f>
        <v>2026</v>
      </c>
    </row>
    <row r="9857" spans="1:9" x14ac:dyDescent="0.25">
      <c r="A9857" t="s">
        <v>6</v>
      </c>
      <c r="B9857" s="1">
        <v>46068</v>
      </c>
      <c r="C9857">
        <v>16</v>
      </c>
      <c r="D9857">
        <v>953.82</v>
      </c>
      <c r="E9857">
        <v>208.32</v>
      </c>
      <c r="F9857" t="s">
        <v>7</v>
      </c>
      <c r="G9857" t="s">
        <v>12</v>
      </c>
      <c r="H9857" s="5">
        <f>MONTH(Tabela1[[#This Row],[data]])</f>
        <v>2</v>
      </c>
      <c r="I9857">
        <f>YEAR(Tabela1[[#This Row],[data]])</f>
        <v>2026</v>
      </c>
    </row>
    <row r="9858" spans="1:9" x14ac:dyDescent="0.25">
      <c r="A9858" t="s">
        <v>6</v>
      </c>
      <c r="B9858" s="1">
        <v>46068</v>
      </c>
      <c r="C9858">
        <v>17</v>
      </c>
      <c r="D9858">
        <v>960.54</v>
      </c>
      <c r="E9858">
        <v>210.42</v>
      </c>
      <c r="F9858" t="s">
        <v>7</v>
      </c>
      <c r="G9858" t="s">
        <v>12</v>
      </c>
      <c r="H9858" s="5">
        <f>MONTH(Tabela1[[#This Row],[data]])</f>
        <v>2</v>
      </c>
      <c r="I9858">
        <f>YEAR(Tabela1[[#This Row],[data]])</f>
        <v>2026</v>
      </c>
    </row>
    <row r="9859" spans="1:9" x14ac:dyDescent="0.25">
      <c r="A9859" t="s">
        <v>6</v>
      </c>
      <c r="B9859" s="1">
        <v>46068</v>
      </c>
      <c r="C9859">
        <v>18</v>
      </c>
      <c r="D9859">
        <v>945.42</v>
      </c>
      <c r="E9859">
        <v>203.7</v>
      </c>
      <c r="F9859" t="s">
        <v>7</v>
      </c>
      <c r="G9859" t="s">
        <v>12</v>
      </c>
      <c r="H9859" s="5">
        <f>MONTH(Tabela1[[#This Row],[data]])</f>
        <v>2</v>
      </c>
      <c r="I9859">
        <f>YEAR(Tabela1[[#This Row],[data]])</f>
        <v>2026</v>
      </c>
    </row>
    <row r="9860" spans="1:9" x14ac:dyDescent="0.25">
      <c r="A9860" t="s">
        <v>6</v>
      </c>
      <c r="B9860" s="1">
        <v>46068</v>
      </c>
      <c r="C9860">
        <v>19</v>
      </c>
      <c r="D9860">
        <v>943.74</v>
      </c>
      <c r="E9860">
        <v>209.58</v>
      </c>
      <c r="F9860" t="s">
        <v>7</v>
      </c>
      <c r="G9860" t="s">
        <v>12</v>
      </c>
      <c r="H9860" s="5">
        <f>MONTH(Tabela1[[#This Row],[data]])</f>
        <v>2</v>
      </c>
      <c r="I9860">
        <f>YEAR(Tabela1[[#This Row],[data]])</f>
        <v>2026</v>
      </c>
    </row>
    <row r="9861" spans="1:9" x14ac:dyDescent="0.25">
      <c r="A9861" t="s">
        <v>6</v>
      </c>
      <c r="B9861" s="1">
        <v>46068</v>
      </c>
      <c r="C9861">
        <v>20</v>
      </c>
      <c r="D9861">
        <v>914.34</v>
      </c>
      <c r="E9861">
        <v>198.66</v>
      </c>
      <c r="F9861" t="s">
        <v>7</v>
      </c>
      <c r="G9861" t="s">
        <v>12</v>
      </c>
      <c r="H9861" s="5">
        <f>MONTH(Tabela1[[#This Row],[data]])</f>
        <v>2</v>
      </c>
      <c r="I9861">
        <f>YEAR(Tabela1[[#This Row],[data]])</f>
        <v>2026</v>
      </c>
    </row>
    <row r="9862" spans="1:9" x14ac:dyDescent="0.25">
      <c r="A9862" t="s">
        <v>6</v>
      </c>
      <c r="B9862" s="1">
        <v>46068</v>
      </c>
      <c r="C9862">
        <v>21</v>
      </c>
      <c r="D9862">
        <v>842.52</v>
      </c>
      <c r="E9862">
        <v>184.8</v>
      </c>
      <c r="F9862" t="s">
        <v>7</v>
      </c>
      <c r="G9862" t="s">
        <v>12</v>
      </c>
      <c r="H9862" s="5">
        <f>MONTH(Tabela1[[#This Row],[data]])</f>
        <v>2</v>
      </c>
      <c r="I9862">
        <f>YEAR(Tabela1[[#This Row],[data]])</f>
        <v>2026</v>
      </c>
    </row>
    <row r="9863" spans="1:9" x14ac:dyDescent="0.25">
      <c r="A9863" t="s">
        <v>6</v>
      </c>
      <c r="B9863" s="1">
        <v>46068</v>
      </c>
      <c r="C9863">
        <v>22</v>
      </c>
      <c r="D9863">
        <v>691.32</v>
      </c>
      <c r="E9863">
        <v>149.52000000000001</v>
      </c>
      <c r="F9863" t="s">
        <v>7</v>
      </c>
      <c r="G9863" t="s">
        <v>12</v>
      </c>
      <c r="H9863" s="5">
        <f>MONTH(Tabela1[[#This Row],[data]])</f>
        <v>2</v>
      </c>
      <c r="I9863">
        <f>YEAR(Tabela1[[#This Row],[data]])</f>
        <v>2026</v>
      </c>
    </row>
    <row r="9864" spans="1:9" x14ac:dyDescent="0.25">
      <c r="A9864" t="s">
        <v>6</v>
      </c>
      <c r="B9864" s="1">
        <v>46068</v>
      </c>
      <c r="C9864">
        <v>23</v>
      </c>
      <c r="D9864">
        <v>363.3</v>
      </c>
      <c r="E9864">
        <v>11.34</v>
      </c>
      <c r="F9864" t="s">
        <v>7</v>
      </c>
      <c r="G9864" t="s">
        <v>12</v>
      </c>
      <c r="H9864" s="5">
        <f>MONTH(Tabela1[[#This Row],[data]])</f>
        <v>2</v>
      </c>
      <c r="I9864">
        <f>YEAR(Tabela1[[#This Row],[data]])</f>
        <v>2026</v>
      </c>
    </row>
    <row r="9865" spans="1:9" x14ac:dyDescent="0.25">
      <c r="A9865" t="s">
        <v>6</v>
      </c>
      <c r="B9865" s="1">
        <v>46068</v>
      </c>
      <c r="C9865">
        <v>24</v>
      </c>
      <c r="D9865">
        <v>294.83999999999997</v>
      </c>
      <c r="E9865">
        <v>0</v>
      </c>
      <c r="F9865" t="s">
        <v>7</v>
      </c>
      <c r="G9865" t="s">
        <v>12</v>
      </c>
      <c r="H9865" s="5">
        <f>MONTH(Tabela1[[#This Row],[data]])</f>
        <v>2</v>
      </c>
      <c r="I9865">
        <f>YEAR(Tabela1[[#This Row],[data]])</f>
        <v>2026</v>
      </c>
    </row>
    <row r="9866" spans="1:9" x14ac:dyDescent="0.25">
      <c r="A9866" t="s">
        <v>6</v>
      </c>
      <c r="B9866" s="1">
        <v>46069</v>
      </c>
      <c r="C9866">
        <v>1</v>
      </c>
      <c r="D9866">
        <v>267.12</v>
      </c>
      <c r="E9866">
        <v>0</v>
      </c>
      <c r="F9866" t="s">
        <v>7</v>
      </c>
      <c r="G9866" t="s">
        <v>12</v>
      </c>
      <c r="H9866" s="5">
        <f>MONTH(Tabela1[[#This Row],[data]])</f>
        <v>2</v>
      </c>
      <c r="I9866">
        <f>YEAR(Tabela1[[#This Row],[data]])</f>
        <v>2026</v>
      </c>
    </row>
    <row r="9867" spans="1:9" x14ac:dyDescent="0.25">
      <c r="A9867" t="s">
        <v>6</v>
      </c>
      <c r="B9867" s="1">
        <v>46069</v>
      </c>
      <c r="C9867">
        <v>2</v>
      </c>
      <c r="D9867">
        <v>248.22</v>
      </c>
      <c r="E9867">
        <v>0</v>
      </c>
      <c r="F9867" t="s">
        <v>7</v>
      </c>
      <c r="G9867" t="s">
        <v>12</v>
      </c>
      <c r="H9867" s="5">
        <f>MONTH(Tabela1[[#This Row],[data]])</f>
        <v>2</v>
      </c>
      <c r="I9867">
        <f>YEAR(Tabela1[[#This Row],[data]])</f>
        <v>2026</v>
      </c>
    </row>
    <row r="9868" spans="1:9" x14ac:dyDescent="0.25">
      <c r="A9868" t="s">
        <v>6</v>
      </c>
      <c r="B9868" s="1">
        <v>46069</v>
      </c>
      <c r="C9868">
        <v>3</v>
      </c>
      <c r="D9868">
        <v>245.7</v>
      </c>
      <c r="E9868">
        <v>0</v>
      </c>
      <c r="F9868" t="s">
        <v>7</v>
      </c>
      <c r="G9868" t="s">
        <v>12</v>
      </c>
      <c r="H9868" s="5">
        <f>MONTH(Tabela1[[#This Row],[data]])</f>
        <v>2</v>
      </c>
      <c r="I9868">
        <f>YEAR(Tabela1[[#This Row],[data]])</f>
        <v>2026</v>
      </c>
    </row>
    <row r="9869" spans="1:9" x14ac:dyDescent="0.25">
      <c r="A9869" t="s">
        <v>6</v>
      </c>
      <c r="B9869" s="1">
        <v>46069</v>
      </c>
      <c r="C9869">
        <v>4</v>
      </c>
      <c r="D9869">
        <v>244.44</v>
      </c>
      <c r="E9869">
        <v>0</v>
      </c>
      <c r="F9869" t="s">
        <v>7</v>
      </c>
      <c r="G9869" t="s">
        <v>12</v>
      </c>
      <c r="H9869" s="5">
        <f>MONTH(Tabela1[[#This Row],[data]])</f>
        <v>2</v>
      </c>
      <c r="I9869">
        <f>YEAR(Tabela1[[#This Row],[data]])</f>
        <v>2026</v>
      </c>
    </row>
    <row r="9870" spans="1:9" x14ac:dyDescent="0.25">
      <c r="A9870" t="s">
        <v>6</v>
      </c>
      <c r="B9870" s="1">
        <v>46069</v>
      </c>
      <c r="C9870">
        <v>5</v>
      </c>
      <c r="D9870">
        <v>247.8</v>
      </c>
      <c r="E9870">
        <v>0</v>
      </c>
      <c r="F9870" t="s">
        <v>7</v>
      </c>
      <c r="G9870" t="s">
        <v>12</v>
      </c>
      <c r="H9870" s="5">
        <f>MONTH(Tabela1[[#This Row],[data]])</f>
        <v>2</v>
      </c>
      <c r="I9870">
        <f>YEAR(Tabela1[[#This Row],[data]])</f>
        <v>2026</v>
      </c>
    </row>
    <row r="9871" spans="1:9" x14ac:dyDescent="0.25">
      <c r="A9871" t="s">
        <v>6</v>
      </c>
      <c r="B9871" s="1">
        <v>46069</v>
      </c>
      <c r="C9871">
        <v>6</v>
      </c>
      <c r="D9871">
        <v>244.86</v>
      </c>
      <c r="E9871">
        <v>0</v>
      </c>
      <c r="F9871" t="s">
        <v>7</v>
      </c>
      <c r="G9871" t="s">
        <v>12</v>
      </c>
      <c r="H9871" s="5">
        <f>MONTH(Tabela1[[#This Row],[data]])</f>
        <v>2</v>
      </c>
      <c r="I9871">
        <f>YEAR(Tabela1[[#This Row],[data]])</f>
        <v>2026</v>
      </c>
    </row>
    <row r="9872" spans="1:9" x14ac:dyDescent="0.25">
      <c r="A9872" t="s">
        <v>6</v>
      </c>
      <c r="B9872" s="1">
        <v>46069</v>
      </c>
      <c r="C9872">
        <v>7</v>
      </c>
      <c r="D9872">
        <v>246.96</v>
      </c>
      <c r="E9872">
        <v>0</v>
      </c>
      <c r="F9872" t="s">
        <v>7</v>
      </c>
      <c r="G9872" t="s">
        <v>12</v>
      </c>
      <c r="H9872" s="5">
        <f>MONTH(Tabela1[[#This Row],[data]])</f>
        <v>2</v>
      </c>
      <c r="I9872">
        <f>YEAR(Tabela1[[#This Row],[data]])</f>
        <v>2026</v>
      </c>
    </row>
    <row r="9873" spans="1:9" x14ac:dyDescent="0.25">
      <c r="A9873" t="s">
        <v>6</v>
      </c>
      <c r="B9873" s="1">
        <v>46069</v>
      </c>
      <c r="C9873">
        <v>8</v>
      </c>
      <c r="D9873">
        <v>267.54000000000002</v>
      </c>
      <c r="E9873">
        <v>0</v>
      </c>
      <c r="F9873" t="s">
        <v>7</v>
      </c>
      <c r="G9873" t="s">
        <v>12</v>
      </c>
      <c r="H9873" s="5">
        <f>MONTH(Tabela1[[#This Row],[data]])</f>
        <v>2</v>
      </c>
      <c r="I9873">
        <f>YEAR(Tabela1[[#This Row],[data]])</f>
        <v>2026</v>
      </c>
    </row>
    <row r="9874" spans="1:9" x14ac:dyDescent="0.25">
      <c r="A9874" t="s">
        <v>6</v>
      </c>
      <c r="B9874" s="1">
        <v>46069</v>
      </c>
      <c r="C9874">
        <v>9</v>
      </c>
      <c r="D9874">
        <v>328.44</v>
      </c>
      <c r="E9874">
        <v>0</v>
      </c>
      <c r="F9874" t="s">
        <v>7</v>
      </c>
      <c r="G9874" t="s">
        <v>12</v>
      </c>
      <c r="H9874" s="5">
        <f>MONTH(Tabela1[[#This Row],[data]])</f>
        <v>2</v>
      </c>
      <c r="I9874">
        <f>YEAR(Tabela1[[#This Row],[data]])</f>
        <v>2026</v>
      </c>
    </row>
    <row r="9875" spans="1:9" x14ac:dyDescent="0.25">
      <c r="A9875" t="s">
        <v>6</v>
      </c>
      <c r="B9875" s="1">
        <v>46069</v>
      </c>
      <c r="C9875">
        <v>10</v>
      </c>
      <c r="D9875">
        <v>446.88</v>
      </c>
      <c r="E9875">
        <v>18.899999999999999</v>
      </c>
      <c r="F9875" t="s">
        <v>7</v>
      </c>
      <c r="G9875" t="s">
        <v>12</v>
      </c>
      <c r="H9875" s="5">
        <f>MONTH(Tabela1[[#This Row],[data]])</f>
        <v>2</v>
      </c>
      <c r="I9875">
        <f>YEAR(Tabela1[[#This Row],[data]])</f>
        <v>2026</v>
      </c>
    </row>
    <row r="9876" spans="1:9" x14ac:dyDescent="0.25">
      <c r="A9876" t="s">
        <v>6</v>
      </c>
      <c r="B9876" s="1">
        <v>46069</v>
      </c>
      <c r="C9876">
        <v>11</v>
      </c>
      <c r="D9876">
        <v>901.74</v>
      </c>
      <c r="E9876">
        <v>225.12</v>
      </c>
      <c r="F9876" t="s">
        <v>7</v>
      </c>
      <c r="G9876" t="s">
        <v>12</v>
      </c>
      <c r="H9876" s="5">
        <f>MONTH(Tabela1[[#This Row],[data]])</f>
        <v>2</v>
      </c>
      <c r="I9876">
        <f>YEAR(Tabela1[[#This Row],[data]])</f>
        <v>2026</v>
      </c>
    </row>
    <row r="9877" spans="1:9" x14ac:dyDescent="0.25">
      <c r="A9877" t="s">
        <v>6</v>
      </c>
      <c r="B9877" s="1">
        <v>46069</v>
      </c>
      <c r="C9877">
        <v>12</v>
      </c>
      <c r="D9877">
        <v>952.56</v>
      </c>
      <c r="E9877">
        <v>236.88</v>
      </c>
      <c r="F9877" t="s">
        <v>7</v>
      </c>
      <c r="G9877" t="s">
        <v>12</v>
      </c>
      <c r="H9877" s="5">
        <f>MONTH(Tabela1[[#This Row],[data]])</f>
        <v>2</v>
      </c>
      <c r="I9877">
        <f>YEAR(Tabela1[[#This Row],[data]])</f>
        <v>2026</v>
      </c>
    </row>
    <row r="9878" spans="1:9" x14ac:dyDescent="0.25">
      <c r="A9878" t="s">
        <v>6</v>
      </c>
      <c r="B9878" s="1">
        <v>46069</v>
      </c>
      <c r="C9878">
        <v>13</v>
      </c>
      <c r="D9878">
        <v>975.24</v>
      </c>
      <c r="E9878">
        <v>253.68</v>
      </c>
      <c r="F9878" t="s">
        <v>7</v>
      </c>
      <c r="G9878" t="s">
        <v>12</v>
      </c>
      <c r="H9878" s="5">
        <f>MONTH(Tabela1[[#This Row],[data]])</f>
        <v>2</v>
      </c>
      <c r="I9878">
        <f>YEAR(Tabela1[[#This Row],[data]])</f>
        <v>2026</v>
      </c>
    </row>
    <row r="9879" spans="1:9" x14ac:dyDescent="0.25">
      <c r="A9879" t="s">
        <v>6</v>
      </c>
      <c r="B9879" s="1">
        <v>46069</v>
      </c>
      <c r="C9879">
        <v>14</v>
      </c>
      <c r="D9879">
        <v>989.94</v>
      </c>
      <c r="E9879">
        <v>241.5</v>
      </c>
      <c r="F9879" t="s">
        <v>7</v>
      </c>
      <c r="G9879" t="s">
        <v>12</v>
      </c>
      <c r="H9879" s="5">
        <f>MONTH(Tabela1[[#This Row],[data]])</f>
        <v>2</v>
      </c>
      <c r="I9879">
        <f>YEAR(Tabela1[[#This Row],[data]])</f>
        <v>2026</v>
      </c>
    </row>
    <row r="9880" spans="1:9" x14ac:dyDescent="0.25">
      <c r="A9880" t="s">
        <v>6</v>
      </c>
      <c r="B9880" s="1">
        <v>46069</v>
      </c>
      <c r="C9880">
        <v>15</v>
      </c>
      <c r="D9880">
        <v>994.98</v>
      </c>
      <c r="E9880">
        <v>238.56</v>
      </c>
      <c r="F9880" t="s">
        <v>7</v>
      </c>
      <c r="G9880" t="s">
        <v>12</v>
      </c>
      <c r="H9880" s="5">
        <f>MONTH(Tabela1[[#This Row],[data]])</f>
        <v>2</v>
      </c>
      <c r="I9880">
        <f>YEAR(Tabela1[[#This Row],[data]])</f>
        <v>2026</v>
      </c>
    </row>
    <row r="9881" spans="1:9" x14ac:dyDescent="0.25">
      <c r="A9881" t="s">
        <v>6</v>
      </c>
      <c r="B9881" s="1">
        <v>46069</v>
      </c>
      <c r="C9881">
        <v>16</v>
      </c>
      <c r="D9881">
        <v>987.42</v>
      </c>
      <c r="E9881">
        <v>239.4</v>
      </c>
      <c r="F9881" t="s">
        <v>7</v>
      </c>
      <c r="G9881" t="s">
        <v>12</v>
      </c>
      <c r="H9881" s="5">
        <f>MONTH(Tabela1[[#This Row],[data]])</f>
        <v>2</v>
      </c>
      <c r="I9881">
        <f>YEAR(Tabela1[[#This Row],[data]])</f>
        <v>2026</v>
      </c>
    </row>
    <row r="9882" spans="1:9" x14ac:dyDescent="0.25">
      <c r="A9882" t="s">
        <v>6</v>
      </c>
      <c r="B9882" s="1">
        <v>46069</v>
      </c>
      <c r="C9882">
        <v>17</v>
      </c>
      <c r="D9882">
        <v>981.96</v>
      </c>
      <c r="E9882">
        <v>249.48</v>
      </c>
      <c r="F9882" t="s">
        <v>7</v>
      </c>
      <c r="G9882" t="s">
        <v>12</v>
      </c>
      <c r="H9882" s="5">
        <f>MONTH(Tabela1[[#This Row],[data]])</f>
        <v>2</v>
      </c>
      <c r="I9882">
        <f>YEAR(Tabela1[[#This Row],[data]])</f>
        <v>2026</v>
      </c>
    </row>
    <row r="9883" spans="1:9" x14ac:dyDescent="0.25">
      <c r="A9883" t="s">
        <v>6</v>
      </c>
      <c r="B9883" s="1">
        <v>46069</v>
      </c>
      <c r="C9883">
        <v>18</v>
      </c>
      <c r="D9883">
        <v>977.34</v>
      </c>
      <c r="E9883">
        <v>259.14</v>
      </c>
      <c r="F9883" t="s">
        <v>7</v>
      </c>
      <c r="G9883" t="s">
        <v>12</v>
      </c>
      <c r="H9883" s="5">
        <f>MONTH(Tabela1[[#This Row],[data]])</f>
        <v>2</v>
      </c>
      <c r="I9883">
        <f>YEAR(Tabela1[[#This Row],[data]])</f>
        <v>2026</v>
      </c>
    </row>
    <row r="9884" spans="1:9" x14ac:dyDescent="0.25">
      <c r="A9884" t="s">
        <v>6</v>
      </c>
      <c r="B9884" s="1">
        <v>46069</v>
      </c>
      <c r="C9884">
        <v>19</v>
      </c>
      <c r="D9884">
        <v>965.16</v>
      </c>
      <c r="E9884">
        <v>224.28</v>
      </c>
      <c r="F9884" t="s">
        <v>7</v>
      </c>
      <c r="G9884" t="s">
        <v>12</v>
      </c>
      <c r="H9884" s="5">
        <f>MONTH(Tabela1[[#This Row],[data]])</f>
        <v>2</v>
      </c>
      <c r="I9884">
        <f>YEAR(Tabela1[[#This Row],[data]])</f>
        <v>2026</v>
      </c>
    </row>
    <row r="9885" spans="1:9" x14ac:dyDescent="0.25">
      <c r="A9885" t="s">
        <v>6</v>
      </c>
      <c r="B9885" s="1">
        <v>46069</v>
      </c>
      <c r="C9885">
        <v>20</v>
      </c>
      <c r="D9885">
        <v>900.06</v>
      </c>
      <c r="E9885">
        <v>198.24</v>
      </c>
      <c r="F9885" t="s">
        <v>7</v>
      </c>
      <c r="G9885" t="s">
        <v>12</v>
      </c>
      <c r="H9885" s="5">
        <f>MONTH(Tabela1[[#This Row],[data]])</f>
        <v>2</v>
      </c>
      <c r="I9885">
        <f>YEAR(Tabela1[[#This Row],[data]])</f>
        <v>2026</v>
      </c>
    </row>
    <row r="9886" spans="1:9" x14ac:dyDescent="0.25">
      <c r="A9886" t="s">
        <v>6</v>
      </c>
      <c r="B9886" s="1">
        <v>46069</v>
      </c>
      <c r="C9886">
        <v>21</v>
      </c>
      <c r="D9886">
        <v>756.84</v>
      </c>
      <c r="E9886">
        <v>149.1</v>
      </c>
      <c r="F9886" t="s">
        <v>7</v>
      </c>
      <c r="G9886" t="s">
        <v>12</v>
      </c>
      <c r="H9886" s="5">
        <f>MONTH(Tabela1[[#This Row],[data]])</f>
        <v>2</v>
      </c>
      <c r="I9886">
        <f>YEAR(Tabela1[[#This Row],[data]])</f>
        <v>2026</v>
      </c>
    </row>
    <row r="9887" spans="1:9" x14ac:dyDescent="0.25">
      <c r="A9887" t="s">
        <v>6</v>
      </c>
      <c r="B9887" s="1">
        <v>46069</v>
      </c>
      <c r="C9887">
        <v>22</v>
      </c>
      <c r="D9887">
        <v>593.46</v>
      </c>
      <c r="E9887">
        <v>71.819999999999993</v>
      </c>
      <c r="F9887" t="s">
        <v>7</v>
      </c>
      <c r="G9887" t="s">
        <v>12</v>
      </c>
      <c r="H9887" s="5">
        <f>MONTH(Tabela1[[#This Row],[data]])</f>
        <v>2</v>
      </c>
      <c r="I9887">
        <f>YEAR(Tabela1[[#This Row],[data]])</f>
        <v>2026</v>
      </c>
    </row>
    <row r="9888" spans="1:9" x14ac:dyDescent="0.25">
      <c r="A9888" t="s">
        <v>6</v>
      </c>
      <c r="B9888" s="1">
        <v>46069</v>
      </c>
      <c r="C9888">
        <v>23</v>
      </c>
      <c r="D9888">
        <v>414.54</v>
      </c>
      <c r="E9888">
        <v>19.739999999999998</v>
      </c>
      <c r="F9888" t="s">
        <v>7</v>
      </c>
      <c r="G9888" t="s">
        <v>12</v>
      </c>
      <c r="H9888" s="5">
        <f>MONTH(Tabela1[[#This Row],[data]])</f>
        <v>2</v>
      </c>
      <c r="I9888">
        <f>YEAR(Tabela1[[#This Row],[data]])</f>
        <v>2026</v>
      </c>
    </row>
    <row r="9889" spans="1:9" x14ac:dyDescent="0.25">
      <c r="A9889" t="s">
        <v>6</v>
      </c>
      <c r="B9889" s="1">
        <v>46069</v>
      </c>
      <c r="C9889">
        <v>24</v>
      </c>
      <c r="D9889">
        <v>305.76</v>
      </c>
      <c r="E9889">
        <v>0</v>
      </c>
      <c r="F9889" t="s">
        <v>7</v>
      </c>
      <c r="G9889" t="s">
        <v>12</v>
      </c>
      <c r="H9889" s="5">
        <f>MONTH(Tabela1[[#This Row],[data]])</f>
        <v>2</v>
      </c>
      <c r="I9889">
        <f>YEAR(Tabela1[[#This Row],[data]])</f>
        <v>2026</v>
      </c>
    </row>
    <row r="9890" spans="1:9" x14ac:dyDescent="0.25">
      <c r="A9890" t="s">
        <v>6</v>
      </c>
      <c r="B9890" s="1">
        <v>46070</v>
      </c>
      <c r="C9890">
        <v>1</v>
      </c>
      <c r="D9890">
        <v>268.38</v>
      </c>
      <c r="E9890">
        <v>0</v>
      </c>
      <c r="F9890" t="s">
        <v>7</v>
      </c>
      <c r="G9890" t="s">
        <v>12</v>
      </c>
      <c r="H9890" s="5">
        <f>MONTH(Tabela1[[#This Row],[data]])</f>
        <v>2</v>
      </c>
      <c r="I9890">
        <f>YEAR(Tabela1[[#This Row],[data]])</f>
        <v>2026</v>
      </c>
    </row>
    <row r="9891" spans="1:9" x14ac:dyDescent="0.25">
      <c r="A9891" t="s">
        <v>6</v>
      </c>
      <c r="B9891" s="1">
        <v>46070</v>
      </c>
      <c r="C9891">
        <v>2</v>
      </c>
      <c r="D9891">
        <v>249.06</v>
      </c>
      <c r="E9891">
        <v>0</v>
      </c>
      <c r="F9891" t="s">
        <v>7</v>
      </c>
      <c r="G9891" t="s">
        <v>12</v>
      </c>
      <c r="H9891" s="5">
        <f>MONTH(Tabela1[[#This Row],[data]])</f>
        <v>2</v>
      </c>
      <c r="I9891">
        <f>YEAR(Tabela1[[#This Row],[data]])</f>
        <v>2026</v>
      </c>
    </row>
    <row r="9892" spans="1:9" x14ac:dyDescent="0.25">
      <c r="A9892" t="s">
        <v>6</v>
      </c>
      <c r="B9892" s="1">
        <v>46070</v>
      </c>
      <c r="C9892">
        <v>3</v>
      </c>
      <c r="D9892">
        <v>239.4</v>
      </c>
      <c r="E9892">
        <v>0</v>
      </c>
      <c r="F9892" t="s">
        <v>7</v>
      </c>
      <c r="G9892" t="s">
        <v>12</v>
      </c>
      <c r="H9892" s="5">
        <f>MONTH(Tabela1[[#This Row],[data]])</f>
        <v>2</v>
      </c>
      <c r="I9892">
        <f>YEAR(Tabela1[[#This Row],[data]])</f>
        <v>2026</v>
      </c>
    </row>
    <row r="9893" spans="1:9" x14ac:dyDescent="0.25">
      <c r="A9893" t="s">
        <v>6</v>
      </c>
      <c r="B9893" s="1">
        <v>46070</v>
      </c>
      <c r="C9893">
        <v>4</v>
      </c>
      <c r="D9893">
        <v>241.5</v>
      </c>
      <c r="E9893">
        <v>0</v>
      </c>
      <c r="F9893" t="s">
        <v>7</v>
      </c>
      <c r="G9893" t="s">
        <v>12</v>
      </c>
      <c r="H9893" s="5">
        <f>MONTH(Tabela1[[#This Row],[data]])</f>
        <v>2</v>
      </c>
      <c r="I9893">
        <f>YEAR(Tabela1[[#This Row],[data]])</f>
        <v>2026</v>
      </c>
    </row>
    <row r="9894" spans="1:9" x14ac:dyDescent="0.25">
      <c r="A9894" t="s">
        <v>6</v>
      </c>
      <c r="B9894" s="1">
        <v>46070</v>
      </c>
      <c r="C9894">
        <v>5</v>
      </c>
      <c r="D9894">
        <v>243.18</v>
      </c>
      <c r="E9894">
        <v>0</v>
      </c>
      <c r="F9894" t="s">
        <v>7</v>
      </c>
      <c r="G9894" t="s">
        <v>12</v>
      </c>
      <c r="H9894" s="5">
        <f>MONTH(Tabela1[[#This Row],[data]])</f>
        <v>2</v>
      </c>
      <c r="I9894">
        <f>YEAR(Tabela1[[#This Row],[data]])</f>
        <v>2026</v>
      </c>
    </row>
    <row r="9895" spans="1:9" x14ac:dyDescent="0.25">
      <c r="A9895" t="s">
        <v>6</v>
      </c>
      <c r="B9895" s="1">
        <v>46070</v>
      </c>
      <c r="C9895">
        <v>6</v>
      </c>
      <c r="D9895">
        <v>234.78</v>
      </c>
      <c r="E9895">
        <v>0</v>
      </c>
      <c r="F9895" t="s">
        <v>7</v>
      </c>
      <c r="G9895" t="s">
        <v>12</v>
      </c>
      <c r="H9895" s="5">
        <f>MONTH(Tabela1[[#This Row],[data]])</f>
        <v>2</v>
      </c>
      <c r="I9895">
        <f>YEAR(Tabela1[[#This Row],[data]])</f>
        <v>2026</v>
      </c>
    </row>
    <row r="9896" spans="1:9" x14ac:dyDescent="0.25">
      <c r="A9896" t="s">
        <v>6</v>
      </c>
      <c r="B9896" s="1">
        <v>46070</v>
      </c>
      <c r="C9896">
        <v>7</v>
      </c>
      <c r="D9896">
        <v>215.04</v>
      </c>
      <c r="E9896">
        <v>0</v>
      </c>
      <c r="F9896" t="s">
        <v>7</v>
      </c>
      <c r="G9896" t="s">
        <v>12</v>
      </c>
      <c r="H9896" s="5">
        <f>MONTH(Tabela1[[#This Row],[data]])</f>
        <v>2</v>
      </c>
      <c r="I9896">
        <f>YEAR(Tabela1[[#This Row],[data]])</f>
        <v>2026</v>
      </c>
    </row>
    <row r="9897" spans="1:9" x14ac:dyDescent="0.25">
      <c r="A9897" t="s">
        <v>6</v>
      </c>
      <c r="B9897" s="1">
        <v>46070</v>
      </c>
      <c r="C9897">
        <v>8</v>
      </c>
      <c r="D9897">
        <v>252.42</v>
      </c>
      <c r="E9897">
        <v>0</v>
      </c>
      <c r="F9897" t="s">
        <v>7</v>
      </c>
      <c r="G9897" t="s">
        <v>12</v>
      </c>
      <c r="H9897" s="5">
        <f>MONTH(Tabela1[[#This Row],[data]])</f>
        <v>2</v>
      </c>
      <c r="I9897">
        <f>YEAR(Tabela1[[#This Row],[data]])</f>
        <v>2026</v>
      </c>
    </row>
    <row r="9898" spans="1:9" x14ac:dyDescent="0.25">
      <c r="A9898" t="s">
        <v>6</v>
      </c>
      <c r="B9898" s="1">
        <v>46070</v>
      </c>
      <c r="C9898">
        <v>9</v>
      </c>
      <c r="D9898">
        <v>338.94</v>
      </c>
      <c r="E9898">
        <v>0</v>
      </c>
      <c r="F9898" t="s">
        <v>7</v>
      </c>
      <c r="G9898" t="s">
        <v>12</v>
      </c>
      <c r="H9898" s="5">
        <f>MONTH(Tabela1[[#This Row],[data]])</f>
        <v>2</v>
      </c>
      <c r="I9898">
        <f>YEAR(Tabela1[[#This Row],[data]])</f>
        <v>2026</v>
      </c>
    </row>
    <row r="9899" spans="1:9" x14ac:dyDescent="0.25">
      <c r="A9899" t="s">
        <v>6</v>
      </c>
      <c r="B9899" s="1">
        <v>46070</v>
      </c>
      <c r="C9899">
        <v>10</v>
      </c>
      <c r="D9899">
        <v>413.7</v>
      </c>
      <c r="E9899">
        <v>16.8</v>
      </c>
      <c r="F9899" t="s">
        <v>7</v>
      </c>
      <c r="G9899" t="s">
        <v>12</v>
      </c>
      <c r="H9899" s="5">
        <f>MONTH(Tabela1[[#This Row],[data]])</f>
        <v>2</v>
      </c>
      <c r="I9899">
        <f>YEAR(Tabela1[[#This Row],[data]])</f>
        <v>2026</v>
      </c>
    </row>
    <row r="9900" spans="1:9" x14ac:dyDescent="0.25">
      <c r="A9900" t="s">
        <v>6</v>
      </c>
      <c r="B9900" s="1">
        <v>46070</v>
      </c>
      <c r="C9900">
        <v>11</v>
      </c>
      <c r="D9900">
        <v>511.14</v>
      </c>
      <c r="E9900">
        <v>60.9</v>
      </c>
      <c r="F9900" t="s">
        <v>7</v>
      </c>
      <c r="G9900" t="s">
        <v>12</v>
      </c>
      <c r="H9900" s="5">
        <f>MONTH(Tabela1[[#This Row],[data]])</f>
        <v>2</v>
      </c>
      <c r="I9900">
        <f>YEAR(Tabela1[[#This Row],[data]])</f>
        <v>2026</v>
      </c>
    </row>
    <row r="9901" spans="1:9" x14ac:dyDescent="0.25">
      <c r="A9901" t="s">
        <v>6</v>
      </c>
      <c r="B9901" s="1">
        <v>46070</v>
      </c>
      <c r="C9901">
        <v>12</v>
      </c>
      <c r="D9901">
        <v>540.96</v>
      </c>
      <c r="E9901">
        <v>76.02</v>
      </c>
      <c r="F9901" t="s">
        <v>7</v>
      </c>
      <c r="G9901" t="s">
        <v>12</v>
      </c>
      <c r="H9901" s="5">
        <f>MONTH(Tabela1[[#This Row],[data]])</f>
        <v>2</v>
      </c>
      <c r="I9901">
        <f>YEAR(Tabela1[[#This Row],[data]])</f>
        <v>2026</v>
      </c>
    </row>
    <row r="9902" spans="1:9" x14ac:dyDescent="0.25">
      <c r="A9902" t="s">
        <v>6</v>
      </c>
      <c r="B9902" s="1">
        <v>46070</v>
      </c>
      <c r="C9902">
        <v>13</v>
      </c>
      <c r="D9902">
        <v>589.26</v>
      </c>
      <c r="E9902">
        <v>99.96</v>
      </c>
      <c r="F9902" t="s">
        <v>7</v>
      </c>
      <c r="G9902" t="s">
        <v>12</v>
      </c>
      <c r="H9902" s="5">
        <f>MONTH(Tabela1[[#This Row],[data]])</f>
        <v>2</v>
      </c>
      <c r="I9902">
        <f>YEAR(Tabela1[[#This Row],[data]])</f>
        <v>2026</v>
      </c>
    </row>
    <row r="9903" spans="1:9" x14ac:dyDescent="0.25">
      <c r="A9903" t="s">
        <v>6</v>
      </c>
      <c r="B9903" s="1">
        <v>46070</v>
      </c>
      <c r="C9903">
        <v>14</v>
      </c>
      <c r="D9903">
        <v>786.66</v>
      </c>
      <c r="E9903">
        <v>174.72</v>
      </c>
      <c r="F9903" t="s">
        <v>7</v>
      </c>
      <c r="G9903" t="s">
        <v>12</v>
      </c>
      <c r="H9903" s="5">
        <f>MONTH(Tabela1[[#This Row],[data]])</f>
        <v>2</v>
      </c>
      <c r="I9903">
        <f>YEAR(Tabela1[[#This Row],[data]])</f>
        <v>2026</v>
      </c>
    </row>
    <row r="9904" spans="1:9" x14ac:dyDescent="0.25">
      <c r="A9904" t="s">
        <v>6</v>
      </c>
      <c r="B9904" s="1">
        <v>46070</v>
      </c>
      <c r="C9904">
        <v>15</v>
      </c>
      <c r="D9904">
        <v>996.66</v>
      </c>
      <c r="E9904">
        <v>254.1</v>
      </c>
      <c r="F9904" t="s">
        <v>7</v>
      </c>
      <c r="G9904" t="s">
        <v>12</v>
      </c>
      <c r="H9904" s="5">
        <f>MONTH(Tabela1[[#This Row],[data]])</f>
        <v>2</v>
      </c>
      <c r="I9904">
        <f>YEAR(Tabela1[[#This Row],[data]])</f>
        <v>2026</v>
      </c>
    </row>
    <row r="9905" spans="1:9" x14ac:dyDescent="0.25">
      <c r="A9905" t="s">
        <v>6</v>
      </c>
      <c r="B9905" s="1">
        <v>46070</v>
      </c>
      <c r="C9905">
        <v>16</v>
      </c>
      <c r="D9905" s="2">
        <v>1204.1400000000001</v>
      </c>
      <c r="E9905">
        <v>345.66</v>
      </c>
      <c r="F9905" t="s">
        <v>7</v>
      </c>
      <c r="G9905" t="s">
        <v>12</v>
      </c>
      <c r="H9905" s="5">
        <f>MONTH(Tabela1[[#This Row],[data]])</f>
        <v>2</v>
      </c>
      <c r="I9905">
        <f>YEAR(Tabela1[[#This Row],[data]])</f>
        <v>2026</v>
      </c>
    </row>
    <row r="9906" spans="1:9" x14ac:dyDescent="0.25">
      <c r="A9906" t="s">
        <v>6</v>
      </c>
      <c r="B9906" s="1">
        <v>46070</v>
      </c>
      <c r="C9906">
        <v>17</v>
      </c>
      <c r="D9906" s="2">
        <v>1119.72</v>
      </c>
      <c r="E9906">
        <v>330.54</v>
      </c>
      <c r="F9906" t="s">
        <v>7</v>
      </c>
      <c r="G9906" t="s">
        <v>12</v>
      </c>
      <c r="H9906" s="5">
        <f>MONTH(Tabela1[[#This Row],[data]])</f>
        <v>2</v>
      </c>
      <c r="I9906">
        <f>YEAR(Tabela1[[#This Row],[data]])</f>
        <v>2026</v>
      </c>
    </row>
    <row r="9907" spans="1:9" x14ac:dyDescent="0.25">
      <c r="A9907" t="s">
        <v>6</v>
      </c>
      <c r="B9907" s="1">
        <v>46070</v>
      </c>
      <c r="C9907">
        <v>18</v>
      </c>
      <c r="D9907" s="2">
        <v>1086.1199999999999</v>
      </c>
      <c r="E9907">
        <v>330.54</v>
      </c>
      <c r="F9907" t="s">
        <v>7</v>
      </c>
      <c r="G9907" t="s">
        <v>12</v>
      </c>
      <c r="H9907" s="5">
        <f>MONTH(Tabela1[[#This Row],[data]])</f>
        <v>2</v>
      </c>
      <c r="I9907">
        <f>YEAR(Tabela1[[#This Row],[data]])</f>
        <v>2026</v>
      </c>
    </row>
    <row r="9908" spans="1:9" x14ac:dyDescent="0.25">
      <c r="A9908" t="s">
        <v>6</v>
      </c>
      <c r="B9908" s="1">
        <v>46070</v>
      </c>
      <c r="C9908">
        <v>19</v>
      </c>
      <c r="D9908" s="2">
        <v>1046.6400000000001</v>
      </c>
      <c r="E9908">
        <v>325.92</v>
      </c>
      <c r="F9908" t="s">
        <v>7</v>
      </c>
      <c r="G9908" t="s">
        <v>12</v>
      </c>
      <c r="H9908" s="5">
        <f>MONTH(Tabela1[[#This Row],[data]])</f>
        <v>2</v>
      </c>
      <c r="I9908">
        <f>YEAR(Tabela1[[#This Row],[data]])</f>
        <v>2026</v>
      </c>
    </row>
    <row r="9909" spans="1:9" x14ac:dyDescent="0.25">
      <c r="A9909" t="s">
        <v>6</v>
      </c>
      <c r="B9909" s="1">
        <v>46070</v>
      </c>
      <c r="C9909">
        <v>20</v>
      </c>
      <c r="D9909" s="2">
        <v>1008</v>
      </c>
      <c r="E9909">
        <v>287.27999999999997</v>
      </c>
      <c r="F9909" t="s">
        <v>7</v>
      </c>
      <c r="G9909" t="s">
        <v>12</v>
      </c>
      <c r="H9909" s="5">
        <f>MONTH(Tabela1[[#This Row],[data]])</f>
        <v>2</v>
      </c>
      <c r="I9909">
        <f>YEAR(Tabela1[[#This Row],[data]])</f>
        <v>2026</v>
      </c>
    </row>
    <row r="9910" spans="1:9" x14ac:dyDescent="0.25">
      <c r="A9910" t="s">
        <v>6</v>
      </c>
      <c r="B9910" s="1">
        <v>46070</v>
      </c>
      <c r="C9910">
        <v>21</v>
      </c>
      <c r="D9910">
        <v>973.98</v>
      </c>
      <c r="E9910">
        <v>267.54000000000002</v>
      </c>
      <c r="F9910" t="s">
        <v>7</v>
      </c>
      <c r="G9910" t="s">
        <v>12</v>
      </c>
      <c r="H9910" s="5">
        <f>MONTH(Tabela1[[#This Row],[data]])</f>
        <v>2</v>
      </c>
      <c r="I9910">
        <f>YEAR(Tabela1[[#This Row],[data]])</f>
        <v>2026</v>
      </c>
    </row>
    <row r="9911" spans="1:9" x14ac:dyDescent="0.25">
      <c r="A9911" t="s">
        <v>6</v>
      </c>
      <c r="B9911" s="1">
        <v>46070</v>
      </c>
      <c r="C9911">
        <v>22</v>
      </c>
      <c r="D9911">
        <v>792.96</v>
      </c>
      <c r="E9911">
        <v>186.48</v>
      </c>
      <c r="F9911" t="s">
        <v>7</v>
      </c>
      <c r="G9911" t="s">
        <v>12</v>
      </c>
      <c r="H9911" s="5">
        <f>MONTH(Tabela1[[#This Row],[data]])</f>
        <v>2</v>
      </c>
      <c r="I9911">
        <f>YEAR(Tabela1[[#This Row],[data]])</f>
        <v>2026</v>
      </c>
    </row>
    <row r="9912" spans="1:9" x14ac:dyDescent="0.25">
      <c r="A9912" t="s">
        <v>6</v>
      </c>
      <c r="B9912" s="1">
        <v>46070</v>
      </c>
      <c r="C9912">
        <v>23</v>
      </c>
      <c r="D9912">
        <v>362.46</v>
      </c>
      <c r="E9912">
        <v>10.5</v>
      </c>
      <c r="F9912" t="s">
        <v>7</v>
      </c>
      <c r="G9912" t="s">
        <v>12</v>
      </c>
      <c r="H9912" s="5">
        <f>MONTH(Tabela1[[#This Row],[data]])</f>
        <v>2</v>
      </c>
      <c r="I9912">
        <f>YEAR(Tabela1[[#This Row],[data]])</f>
        <v>2026</v>
      </c>
    </row>
    <row r="9913" spans="1:9" x14ac:dyDescent="0.25">
      <c r="A9913" t="s">
        <v>6</v>
      </c>
      <c r="B9913" s="1">
        <v>46070</v>
      </c>
      <c r="C9913">
        <v>24</v>
      </c>
      <c r="D9913">
        <v>281.39999999999998</v>
      </c>
      <c r="E9913">
        <v>0</v>
      </c>
      <c r="F9913" t="s">
        <v>7</v>
      </c>
      <c r="G9913" t="s">
        <v>12</v>
      </c>
      <c r="H9913" s="5">
        <f>MONTH(Tabela1[[#This Row],[data]])</f>
        <v>2</v>
      </c>
      <c r="I9913">
        <f>YEAR(Tabela1[[#This Row],[data]])</f>
        <v>2026</v>
      </c>
    </row>
    <row r="9914" spans="1:9" x14ac:dyDescent="0.25">
      <c r="A9914" t="s">
        <v>6</v>
      </c>
      <c r="B9914" s="1">
        <v>46071</v>
      </c>
      <c r="C9914">
        <v>1</v>
      </c>
      <c r="D9914">
        <v>247.38</v>
      </c>
      <c r="E9914">
        <v>0</v>
      </c>
      <c r="F9914" t="s">
        <v>7</v>
      </c>
      <c r="G9914" t="s">
        <v>11</v>
      </c>
      <c r="H9914" s="5">
        <f>MONTH(Tabela1[[#This Row],[data]])</f>
        <v>2</v>
      </c>
      <c r="I9914">
        <f>YEAR(Tabela1[[#This Row],[data]])</f>
        <v>2026</v>
      </c>
    </row>
    <row r="9915" spans="1:9" x14ac:dyDescent="0.25">
      <c r="A9915" t="s">
        <v>6</v>
      </c>
      <c r="B9915" s="1">
        <v>46071</v>
      </c>
      <c r="C9915">
        <v>2</v>
      </c>
      <c r="D9915">
        <v>235.62</v>
      </c>
      <c r="E9915">
        <v>0</v>
      </c>
      <c r="F9915" t="s">
        <v>7</v>
      </c>
      <c r="G9915" t="s">
        <v>11</v>
      </c>
      <c r="H9915" s="5">
        <f>MONTH(Tabela1[[#This Row],[data]])</f>
        <v>2</v>
      </c>
      <c r="I9915">
        <f>YEAR(Tabela1[[#This Row],[data]])</f>
        <v>2026</v>
      </c>
    </row>
    <row r="9916" spans="1:9" x14ac:dyDescent="0.25">
      <c r="A9916" t="s">
        <v>6</v>
      </c>
      <c r="B9916" s="1">
        <v>46071</v>
      </c>
      <c r="C9916">
        <v>3</v>
      </c>
      <c r="D9916">
        <v>231.42</v>
      </c>
      <c r="E9916">
        <v>0</v>
      </c>
      <c r="F9916" t="s">
        <v>7</v>
      </c>
      <c r="G9916" t="s">
        <v>11</v>
      </c>
      <c r="H9916" s="5">
        <f>MONTH(Tabela1[[#This Row],[data]])</f>
        <v>2</v>
      </c>
      <c r="I9916">
        <f>YEAR(Tabela1[[#This Row],[data]])</f>
        <v>2026</v>
      </c>
    </row>
    <row r="9917" spans="1:9" x14ac:dyDescent="0.25">
      <c r="A9917" t="s">
        <v>6</v>
      </c>
      <c r="B9917" s="1">
        <v>46071</v>
      </c>
      <c r="C9917">
        <v>4</v>
      </c>
      <c r="D9917">
        <v>228.48</v>
      </c>
      <c r="E9917">
        <v>0</v>
      </c>
      <c r="F9917" t="s">
        <v>7</v>
      </c>
      <c r="G9917" t="s">
        <v>11</v>
      </c>
      <c r="H9917" s="5">
        <f>MONTH(Tabela1[[#This Row],[data]])</f>
        <v>2</v>
      </c>
      <c r="I9917">
        <f>YEAR(Tabela1[[#This Row],[data]])</f>
        <v>2026</v>
      </c>
    </row>
    <row r="9918" spans="1:9" x14ac:dyDescent="0.25">
      <c r="A9918" t="s">
        <v>6</v>
      </c>
      <c r="B9918" s="1">
        <v>46071</v>
      </c>
      <c r="C9918">
        <v>5</v>
      </c>
      <c r="D9918">
        <v>227.22</v>
      </c>
      <c r="E9918">
        <v>0</v>
      </c>
      <c r="F9918" t="s">
        <v>7</v>
      </c>
      <c r="G9918" t="s">
        <v>11</v>
      </c>
      <c r="H9918" s="5">
        <f>MONTH(Tabela1[[#This Row],[data]])</f>
        <v>2</v>
      </c>
      <c r="I9918">
        <f>YEAR(Tabela1[[#This Row],[data]])</f>
        <v>2026</v>
      </c>
    </row>
    <row r="9919" spans="1:9" x14ac:dyDescent="0.25">
      <c r="A9919" t="s">
        <v>6</v>
      </c>
      <c r="B9919" s="1">
        <v>46071</v>
      </c>
      <c r="C9919">
        <v>6</v>
      </c>
      <c r="D9919">
        <v>219.66</v>
      </c>
      <c r="E9919">
        <v>0</v>
      </c>
      <c r="F9919" t="s">
        <v>7</v>
      </c>
      <c r="G9919" t="s">
        <v>11</v>
      </c>
      <c r="H9919" s="5">
        <f>MONTH(Tabela1[[#This Row],[data]])</f>
        <v>2</v>
      </c>
      <c r="I9919">
        <f>YEAR(Tabela1[[#This Row],[data]])</f>
        <v>2026</v>
      </c>
    </row>
    <row r="9920" spans="1:9" x14ac:dyDescent="0.25">
      <c r="A9920" t="s">
        <v>6</v>
      </c>
      <c r="B9920" s="1">
        <v>46071</v>
      </c>
      <c r="C9920">
        <v>7</v>
      </c>
      <c r="D9920">
        <v>227.64</v>
      </c>
      <c r="E9920">
        <v>0</v>
      </c>
      <c r="F9920" t="s">
        <v>7</v>
      </c>
      <c r="G9920" t="s">
        <v>11</v>
      </c>
      <c r="H9920" s="5">
        <f>MONTH(Tabela1[[#This Row],[data]])</f>
        <v>2</v>
      </c>
      <c r="I9920">
        <f>YEAR(Tabela1[[#This Row],[data]])</f>
        <v>2026</v>
      </c>
    </row>
    <row r="9921" spans="1:9" x14ac:dyDescent="0.25">
      <c r="A9921" t="s">
        <v>6</v>
      </c>
      <c r="B9921" s="1">
        <v>46071</v>
      </c>
      <c r="C9921">
        <v>8</v>
      </c>
      <c r="D9921">
        <v>253.68</v>
      </c>
      <c r="E9921">
        <v>0</v>
      </c>
      <c r="F9921" t="s">
        <v>7</v>
      </c>
      <c r="G9921" t="s">
        <v>11</v>
      </c>
      <c r="H9921" s="5">
        <f>MONTH(Tabela1[[#This Row],[data]])</f>
        <v>2</v>
      </c>
      <c r="I9921">
        <f>YEAR(Tabela1[[#This Row],[data]])</f>
        <v>2026</v>
      </c>
    </row>
    <row r="9922" spans="1:9" x14ac:dyDescent="0.25">
      <c r="A9922" t="s">
        <v>6</v>
      </c>
      <c r="B9922" s="1">
        <v>46071</v>
      </c>
      <c r="C9922">
        <v>9</v>
      </c>
      <c r="D9922">
        <v>355.32</v>
      </c>
      <c r="E9922">
        <v>0</v>
      </c>
      <c r="F9922" t="s">
        <v>7</v>
      </c>
      <c r="G9922" t="s">
        <v>11</v>
      </c>
      <c r="H9922" s="5">
        <f>MONTH(Tabela1[[#This Row],[data]])</f>
        <v>2</v>
      </c>
      <c r="I9922">
        <f>YEAR(Tabela1[[#This Row],[data]])</f>
        <v>2026</v>
      </c>
    </row>
    <row r="9923" spans="1:9" x14ac:dyDescent="0.25">
      <c r="A9923" t="s">
        <v>6</v>
      </c>
      <c r="B9923" s="1">
        <v>46071</v>
      </c>
      <c r="C9923">
        <v>10</v>
      </c>
      <c r="D9923">
        <v>440.16</v>
      </c>
      <c r="E9923">
        <v>22.26</v>
      </c>
      <c r="F9923" t="s">
        <v>7</v>
      </c>
      <c r="G9923" t="s">
        <v>11</v>
      </c>
      <c r="H9923" s="5">
        <f>MONTH(Tabela1[[#This Row],[data]])</f>
        <v>2</v>
      </c>
      <c r="I9923">
        <f>YEAR(Tabela1[[#This Row],[data]])</f>
        <v>2026</v>
      </c>
    </row>
    <row r="9924" spans="1:9" x14ac:dyDescent="0.25">
      <c r="A9924" t="s">
        <v>6</v>
      </c>
      <c r="B9924" s="1">
        <v>46071</v>
      </c>
      <c r="C9924">
        <v>11</v>
      </c>
      <c r="D9924">
        <v>887.46</v>
      </c>
      <c r="E9924">
        <v>207.06</v>
      </c>
      <c r="F9924" t="s">
        <v>7</v>
      </c>
      <c r="G9924" t="s">
        <v>11</v>
      </c>
      <c r="H9924" s="5">
        <f>MONTH(Tabela1[[#This Row],[data]])</f>
        <v>2</v>
      </c>
      <c r="I9924">
        <f>YEAR(Tabela1[[#This Row],[data]])</f>
        <v>2026</v>
      </c>
    </row>
    <row r="9925" spans="1:9" x14ac:dyDescent="0.25">
      <c r="A9925" t="s">
        <v>6</v>
      </c>
      <c r="B9925" s="1">
        <v>46071</v>
      </c>
      <c r="C9925">
        <v>12</v>
      </c>
      <c r="D9925">
        <v>957.18</v>
      </c>
      <c r="E9925">
        <v>264.18</v>
      </c>
      <c r="F9925" t="s">
        <v>7</v>
      </c>
      <c r="G9925" t="s">
        <v>11</v>
      </c>
      <c r="H9925" s="5">
        <f>MONTH(Tabela1[[#This Row],[data]])</f>
        <v>2</v>
      </c>
      <c r="I9925">
        <f>YEAR(Tabela1[[#This Row],[data]])</f>
        <v>2026</v>
      </c>
    </row>
    <row r="9926" spans="1:9" x14ac:dyDescent="0.25">
      <c r="A9926" t="s">
        <v>6</v>
      </c>
      <c r="B9926" s="1">
        <v>46071</v>
      </c>
      <c r="C9926">
        <v>13</v>
      </c>
      <c r="D9926" s="2">
        <v>1003.8</v>
      </c>
      <c r="E9926">
        <v>274.68</v>
      </c>
      <c r="F9926" t="s">
        <v>7</v>
      </c>
      <c r="G9926" t="s">
        <v>11</v>
      </c>
      <c r="H9926" s="5">
        <f>MONTH(Tabela1[[#This Row],[data]])</f>
        <v>2</v>
      </c>
      <c r="I9926">
        <f>YEAR(Tabela1[[#This Row],[data]])</f>
        <v>2026</v>
      </c>
    </row>
    <row r="9927" spans="1:9" x14ac:dyDescent="0.25">
      <c r="A9927" t="s">
        <v>6</v>
      </c>
      <c r="B9927" s="1">
        <v>46071</v>
      </c>
      <c r="C9927">
        <v>14</v>
      </c>
      <c r="D9927" s="2">
        <v>1010.94</v>
      </c>
      <c r="E9927">
        <v>257.04000000000002</v>
      </c>
      <c r="F9927" t="s">
        <v>7</v>
      </c>
      <c r="G9927" t="s">
        <v>11</v>
      </c>
      <c r="H9927" s="5">
        <f>MONTH(Tabela1[[#This Row],[data]])</f>
        <v>2</v>
      </c>
      <c r="I9927">
        <f>YEAR(Tabela1[[#This Row],[data]])</f>
        <v>2026</v>
      </c>
    </row>
    <row r="9928" spans="1:9" x14ac:dyDescent="0.25">
      <c r="A9928" t="s">
        <v>6</v>
      </c>
      <c r="B9928" s="1">
        <v>46071</v>
      </c>
      <c r="C9928">
        <v>15</v>
      </c>
      <c r="D9928" s="2">
        <v>1002.54</v>
      </c>
      <c r="E9928">
        <v>266.27999999999997</v>
      </c>
      <c r="F9928" t="s">
        <v>7</v>
      </c>
      <c r="G9928" t="s">
        <v>11</v>
      </c>
      <c r="H9928" s="5">
        <f>MONTH(Tabela1[[#This Row],[data]])</f>
        <v>2</v>
      </c>
      <c r="I9928">
        <f>YEAR(Tabela1[[#This Row],[data]])</f>
        <v>2026</v>
      </c>
    </row>
    <row r="9929" spans="1:9" x14ac:dyDescent="0.25">
      <c r="A9929" t="s">
        <v>6</v>
      </c>
      <c r="B9929" s="1">
        <v>46071</v>
      </c>
      <c r="C9929">
        <v>16</v>
      </c>
      <c r="D9929">
        <v>808.5</v>
      </c>
      <c r="E9929">
        <v>178.92</v>
      </c>
      <c r="F9929" t="s">
        <v>7</v>
      </c>
      <c r="G9929" t="s">
        <v>11</v>
      </c>
      <c r="H9929" s="5">
        <f>MONTH(Tabela1[[#This Row],[data]])</f>
        <v>2</v>
      </c>
      <c r="I9929">
        <f>YEAR(Tabela1[[#This Row],[data]])</f>
        <v>2026</v>
      </c>
    </row>
    <row r="9930" spans="1:9" x14ac:dyDescent="0.25">
      <c r="A9930" t="s">
        <v>6</v>
      </c>
      <c r="B9930" s="1">
        <v>46071</v>
      </c>
      <c r="C9930">
        <v>17</v>
      </c>
      <c r="D9930" s="2">
        <v>1002.96</v>
      </c>
      <c r="E9930">
        <v>249.48</v>
      </c>
      <c r="F9930" t="s">
        <v>7</v>
      </c>
      <c r="G9930" t="s">
        <v>11</v>
      </c>
      <c r="H9930" s="5">
        <f>MONTH(Tabela1[[#This Row],[data]])</f>
        <v>2</v>
      </c>
      <c r="I9930">
        <f>YEAR(Tabela1[[#This Row],[data]])</f>
        <v>2026</v>
      </c>
    </row>
    <row r="9931" spans="1:9" x14ac:dyDescent="0.25">
      <c r="A9931" t="s">
        <v>6</v>
      </c>
      <c r="B9931" s="1">
        <v>46071</v>
      </c>
      <c r="C9931">
        <v>18</v>
      </c>
      <c r="D9931">
        <v>984.06</v>
      </c>
      <c r="E9931">
        <v>227.22</v>
      </c>
      <c r="F9931" t="s">
        <v>7</v>
      </c>
      <c r="G9931" t="s">
        <v>11</v>
      </c>
      <c r="H9931" s="5">
        <f>MONTH(Tabela1[[#This Row],[data]])</f>
        <v>2</v>
      </c>
      <c r="I9931">
        <f>YEAR(Tabela1[[#This Row],[data]])</f>
        <v>2026</v>
      </c>
    </row>
    <row r="9932" spans="1:9" x14ac:dyDescent="0.25">
      <c r="A9932" t="s">
        <v>6</v>
      </c>
      <c r="B9932" s="1">
        <v>46071</v>
      </c>
      <c r="C9932">
        <v>19</v>
      </c>
      <c r="D9932">
        <v>951.72</v>
      </c>
      <c r="E9932">
        <v>203.7</v>
      </c>
      <c r="F9932" t="s">
        <v>7</v>
      </c>
      <c r="G9932" t="s">
        <v>11</v>
      </c>
      <c r="H9932" s="5">
        <f>MONTH(Tabela1[[#This Row],[data]])</f>
        <v>2</v>
      </c>
      <c r="I9932">
        <f>YEAR(Tabela1[[#This Row],[data]])</f>
        <v>2026</v>
      </c>
    </row>
    <row r="9933" spans="1:9" x14ac:dyDescent="0.25">
      <c r="A9933" t="s">
        <v>6</v>
      </c>
      <c r="B9933" s="1">
        <v>46071</v>
      </c>
      <c r="C9933">
        <v>20</v>
      </c>
      <c r="D9933">
        <v>911.4</v>
      </c>
      <c r="E9933">
        <v>184.38</v>
      </c>
      <c r="F9933" t="s">
        <v>7</v>
      </c>
      <c r="G9933" t="s">
        <v>11</v>
      </c>
      <c r="H9933" s="5">
        <f>MONTH(Tabela1[[#This Row],[data]])</f>
        <v>2</v>
      </c>
      <c r="I9933">
        <f>YEAR(Tabela1[[#This Row],[data]])</f>
        <v>2026</v>
      </c>
    </row>
    <row r="9934" spans="1:9" x14ac:dyDescent="0.25">
      <c r="A9934" t="s">
        <v>6</v>
      </c>
      <c r="B9934" s="1">
        <v>46071</v>
      </c>
      <c r="C9934">
        <v>21</v>
      </c>
      <c r="D9934">
        <v>680.4</v>
      </c>
      <c r="E9934">
        <v>113.4</v>
      </c>
      <c r="F9934" t="s">
        <v>7</v>
      </c>
      <c r="G9934" t="s">
        <v>11</v>
      </c>
      <c r="H9934" s="5">
        <f>MONTH(Tabela1[[#This Row],[data]])</f>
        <v>2</v>
      </c>
      <c r="I9934">
        <f>YEAR(Tabela1[[#This Row],[data]])</f>
        <v>2026</v>
      </c>
    </row>
    <row r="9935" spans="1:9" x14ac:dyDescent="0.25">
      <c r="A9935" t="s">
        <v>6</v>
      </c>
      <c r="B9935" s="1">
        <v>46071</v>
      </c>
      <c r="C9935">
        <v>22</v>
      </c>
      <c r="D9935">
        <v>614.46</v>
      </c>
      <c r="E9935">
        <v>76.02</v>
      </c>
      <c r="F9935" t="s">
        <v>7</v>
      </c>
      <c r="G9935" t="s">
        <v>11</v>
      </c>
      <c r="H9935" s="5">
        <f>MONTH(Tabela1[[#This Row],[data]])</f>
        <v>2</v>
      </c>
      <c r="I9935">
        <f>YEAR(Tabela1[[#This Row],[data]])</f>
        <v>2026</v>
      </c>
    </row>
    <row r="9936" spans="1:9" x14ac:dyDescent="0.25">
      <c r="A9936" t="s">
        <v>6</v>
      </c>
      <c r="B9936" s="1">
        <v>46071</v>
      </c>
      <c r="C9936">
        <v>23</v>
      </c>
      <c r="D9936">
        <v>382.62</v>
      </c>
      <c r="E9936">
        <v>9.24</v>
      </c>
      <c r="F9936" t="s">
        <v>7</v>
      </c>
      <c r="G9936" t="s">
        <v>11</v>
      </c>
      <c r="H9936" s="5">
        <f>MONTH(Tabela1[[#This Row],[data]])</f>
        <v>2</v>
      </c>
      <c r="I9936">
        <f>YEAR(Tabela1[[#This Row],[data]])</f>
        <v>2026</v>
      </c>
    </row>
    <row r="9937" spans="1:9" x14ac:dyDescent="0.25">
      <c r="A9937" t="s">
        <v>6</v>
      </c>
      <c r="B9937" s="1">
        <v>46071</v>
      </c>
      <c r="C9937">
        <v>24</v>
      </c>
      <c r="D9937">
        <v>282.24</v>
      </c>
      <c r="E9937">
        <v>0</v>
      </c>
      <c r="F9937" t="s">
        <v>7</v>
      </c>
      <c r="G9937" t="s">
        <v>11</v>
      </c>
      <c r="H9937" s="5">
        <f>MONTH(Tabela1[[#This Row],[data]])</f>
        <v>2</v>
      </c>
      <c r="I9937">
        <f>YEAR(Tabela1[[#This Row],[data]])</f>
        <v>2026</v>
      </c>
    </row>
    <row r="9938" spans="1:9" x14ac:dyDescent="0.25">
      <c r="A9938" t="s">
        <v>6</v>
      </c>
      <c r="B9938" s="1">
        <v>46072</v>
      </c>
      <c r="C9938">
        <v>1</v>
      </c>
      <c r="D9938">
        <v>248.64</v>
      </c>
      <c r="E9938">
        <v>0</v>
      </c>
      <c r="F9938" t="s">
        <v>7</v>
      </c>
      <c r="G9938" t="s">
        <v>11</v>
      </c>
      <c r="H9938" s="5">
        <f>MONTH(Tabela1[[#This Row],[data]])</f>
        <v>2</v>
      </c>
      <c r="I9938">
        <f>YEAR(Tabela1[[#This Row],[data]])</f>
        <v>2026</v>
      </c>
    </row>
    <row r="9939" spans="1:9" x14ac:dyDescent="0.25">
      <c r="A9939" t="s">
        <v>6</v>
      </c>
      <c r="B9939" s="1">
        <v>46072</v>
      </c>
      <c r="C9939">
        <v>2</v>
      </c>
      <c r="D9939">
        <v>246.54</v>
      </c>
      <c r="E9939">
        <v>0</v>
      </c>
      <c r="F9939" t="s">
        <v>7</v>
      </c>
      <c r="G9939" t="s">
        <v>11</v>
      </c>
      <c r="H9939" s="5">
        <f>MONTH(Tabela1[[#This Row],[data]])</f>
        <v>2</v>
      </c>
      <c r="I9939">
        <f>YEAR(Tabela1[[#This Row],[data]])</f>
        <v>2026</v>
      </c>
    </row>
    <row r="9940" spans="1:9" x14ac:dyDescent="0.25">
      <c r="A9940" t="s">
        <v>6</v>
      </c>
      <c r="B9940" s="1">
        <v>46072</v>
      </c>
      <c r="C9940">
        <v>3</v>
      </c>
      <c r="D9940">
        <v>237.72</v>
      </c>
      <c r="E9940">
        <v>0</v>
      </c>
      <c r="F9940" t="s">
        <v>7</v>
      </c>
      <c r="G9940" t="s">
        <v>11</v>
      </c>
      <c r="H9940" s="5">
        <f>MONTH(Tabela1[[#This Row],[data]])</f>
        <v>2</v>
      </c>
      <c r="I9940">
        <f>YEAR(Tabela1[[#This Row],[data]])</f>
        <v>2026</v>
      </c>
    </row>
    <row r="9941" spans="1:9" x14ac:dyDescent="0.25">
      <c r="A9941" t="s">
        <v>6</v>
      </c>
      <c r="B9941" s="1">
        <v>46072</v>
      </c>
      <c r="C9941">
        <v>4</v>
      </c>
      <c r="D9941">
        <v>236.04</v>
      </c>
      <c r="E9941">
        <v>0</v>
      </c>
      <c r="F9941" t="s">
        <v>7</v>
      </c>
      <c r="G9941" t="s">
        <v>11</v>
      </c>
      <c r="H9941" s="5">
        <f>MONTH(Tabela1[[#This Row],[data]])</f>
        <v>2</v>
      </c>
      <c r="I9941">
        <f>YEAR(Tabela1[[#This Row],[data]])</f>
        <v>2026</v>
      </c>
    </row>
    <row r="9942" spans="1:9" x14ac:dyDescent="0.25">
      <c r="A9942" t="s">
        <v>6</v>
      </c>
      <c r="B9942" s="1">
        <v>46072</v>
      </c>
      <c r="C9942">
        <v>5</v>
      </c>
      <c r="D9942">
        <v>243.18</v>
      </c>
      <c r="E9942">
        <v>0</v>
      </c>
      <c r="F9942" t="s">
        <v>7</v>
      </c>
      <c r="G9942" t="s">
        <v>11</v>
      </c>
      <c r="H9942" s="5">
        <f>MONTH(Tabela1[[#This Row],[data]])</f>
        <v>2</v>
      </c>
      <c r="I9942">
        <f>YEAR(Tabela1[[#This Row],[data]])</f>
        <v>2026</v>
      </c>
    </row>
    <row r="9943" spans="1:9" x14ac:dyDescent="0.25">
      <c r="A9943" t="s">
        <v>6</v>
      </c>
      <c r="B9943" s="1">
        <v>46072</v>
      </c>
      <c r="C9943">
        <v>6</v>
      </c>
      <c r="D9943">
        <v>233.1</v>
      </c>
      <c r="E9943">
        <v>0</v>
      </c>
      <c r="F9943" t="s">
        <v>7</v>
      </c>
      <c r="G9943" t="s">
        <v>11</v>
      </c>
      <c r="H9943" s="5">
        <f>MONTH(Tabela1[[#This Row],[data]])</f>
        <v>2</v>
      </c>
      <c r="I9943">
        <f>YEAR(Tabela1[[#This Row],[data]])</f>
        <v>2026</v>
      </c>
    </row>
    <row r="9944" spans="1:9" x14ac:dyDescent="0.25">
      <c r="A9944" t="s">
        <v>6</v>
      </c>
      <c r="B9944" s="1">
        <v>46072</v>
      </c>
      <c r="C9944">
        <v>7</v>
      </c>
      <c r="D9944">
        <v>236.46</v>
      </c>
      <c r="E9944">
        <v>0</v>
      </c>
      <c r="F9944" t="s">
        <v>7</v>
      </c>
      <c r="G9944" t="s">
        <v>11</v>
      </c>
      <c r="H9944" s="5">
        <f>MONTH(Tabela1[[#This Row],[data]])</f>
        <v>2</v>
      </c>
      <c r="I9944">
        <f>YEAR(Tabela1[[#This Row],[data]])</f>
        <v>2026</v>
      </c>
    </row>
    <row r="9945" spans="1:9" x14ac:dyDescent="0.25">
      <c r="A9945" t="s">
        <v>6</v>
      </c>
      <c r="B9945" s="1">
        <v>46072</v>
      </c>
      <c r="C9945">
        <v>8</v>
      </c>
      <c r="D9945">
        <v>286.44</v>
      </c>
      <c r="E9945">
        <v>0</v>
      </c>
      <c r="F9945" t="s">
        <v>7</v>
      </c>
      <c r="G9945" t="s">
        <v>11</v>
      </c>
      <c r="H9945" s="5">
        <f>MONTH(Tabela1[[#This Row],[data]])</f>
        <v>2</v>
      </c>
      <c r="I9945">
        <f>YEAR(Tabela1[[#This Row],[data]])</f>
        <v>2026</v>
      </c>
    </row>
    <row r="9946" spans="1:9" x14ac:dyDescent="0.25">
      <c r="A9946" t="s">
        <v>6</v>
      </c>
      <c r="B9946" s="1">
        <v>46072</v>
      </c>
      <c r="C9946">
        <v>9</v>
      </c>
      <c r="D9946">
        <v>403.2</v>
      </c>
      <c r="E9946">
        <v>3.36</v>
      </c>
      <c r="F9946" t="s">
        <v>7</v>
      </c>
      <c r="G9946" t="s">
        <v>11</v>
      </c>
      <c r="H9946" s="5">
        <f>MONTH(Tabela1[[#This Row],[data]])</f>
        <v>2</v>
      </c>
      <c r="I9946">
        <f>YEAR(Tabela1[[#This Row],[data]])</f>
        <v>2026</v>
      </c>
    </row>
    <row r="9947" spans="1:9" x14ac:dyDescent="0.25">
      <c r="A9947" t="s">
        <v>6</v>
      </c>
      <c r="B9947" s="1">
        <v>46072</v>
      </c>
      <c r="C9947">
        <v>10</v>
      </c>
      <c r="D9947">
        <v>537.6</v>
      </c>
      <c r="E9947">
        <v>60.06</v>
      </c>
      <c r="F9947" t="s">
        <v>7</v>
      </c>
      <c r="G9947" t="s">
        <v>11</v>
      </c>
      <c r="H9947" s="5">
        <f>MONTH(Tabela1[[#This Row],[data]])</f>
        <v>2</v>
      </c>
      <c r="I9947">
        <f>YEAR(Tabela1[[#This Row],[data]])</f>
        <v>2026</v>
      </c>
    </row>
    <row r="9948" spans="1:9" x14ac:dyDescent="0.25">
      <c r="A9948" t="s">
        <v>6</v>
      </c>
      <c r="B9948" s="1">
        <v>46072</v>
      </c>
      <c r="C9948">
        <v>11</v>
      </c>
      <c r="D9948">
        <v>962.64</v>
      </c>
      <c r="E9948">
        <v>249.9</v>
      </c>
      <c r="F9948" t="s">
        <v>7</v>
      </c>
      <c r="G9948" t="s">
        <v>11</v>
      </c>
      <c r="H9948" s="5">
        <f>MONTH(Tabela1[[#This Row],[data]])</f>
        <v>2</v>
      </c>
      <c r="I9948">
        <f>YEAR(Tabela1[[#This Row],[data]])</f>
        <v>2026</v>
      </c>
    </row>
    <row r="9949" spans="1:9" x14ac:dyDescent="0.25">
      <c r="A9949" t="s">
        <v>6</v>
      </c>
      <c r="B9949" s="1">
        <v>46072</v>
      </c>
      <c r="C9949">
        <v>12</v>
      </c>
      <c r="D9949" s="2">
        <v>1138.6199999999999</v>
      </c>
      <c r="E9949">
        <v>317.52</v>
      </c>
      <c r="F9949" t="s">
        <v>7</v>
      </c>
      <c r="G9949" t="s">
        <v>11</v>
      </c>
      <c r="H9949" s="5">
        <f>MONTH(Tabela1[[#This Row],[data]])</f>
        <v>2</v>
      </c>
      <c r="I9949">
        <f>YEAR(Tabela1[[#This Row],[data]])</f>
        <v>2026</v>
      </c>
    </row>
    <row r="9950" spans="1:9" x14ac:dyDescent="0.25">
      <c r="A9950" t="s">
        <v>6</v>
      </c>
      <c r="B9950" s="1">
        <v>46072</v>
      </c>
      <c r="C9950">
        <v>13</v>
      </c>
      <c r="D9950" s="2">
        <v>1096.6199999999999</v>
      </c>
      <c r="E9950">
        <v>343.14</v>
      </c>
      <c r="F9950" t="s">
        <v>7</v>
      </c>
      <c r="G9950" t="s">
        <v>11</v>
      </c>
      <c r="H9950" s="5">
        <f>MONTH(Tabela1[[#This Row],[data]])</f>
        <v>2</v>
      </c>
      <c r="I9950">
        <f>YEAR(Tabela1[[#This Row],[data]])</f>
        <v>2026</v>
      </c>
    </row>
    <row r="9951" spans="1:9" x14ac:dyDescent="0.25">
      <c r="A9951" t="s">
        <v>6</v>
      </c>
      <c r="B9951" s="1">
        <v>46072</v>
      </c>
      <c r="C9951">
        <v>14</v>
      </c>
      <c r="D9951" s="2">
        <v>1079.82</v>
      </c>
      <c r="E9951">
        <v>312.89999999999998</v>
      </c>
      <c r="F9951" t="s">
        <v>7</v>
      </c>
      <c r="G9951" t="s">
        <v>11</v>
      </c>
      <c r="H9951" s="5">
        <f>MONTH(Tabela1[[#This Row],[data]])</f>
        <v>2</v>
      </c>
      <c r="I9951">
        <f>YEAR(Tabela1[[#This Row],[data]])</f>
        <v>2026</v>
      </c>
    </row>
    <row r="9952" spans="1:9" x14ac:dyDescent="0.25">
      <c r="A9952" t="s">
        <v>6</v>
      </c>
      <c r="B9952" s="1">
        <v>46072</v>
      </c>
      <c r="C9952">
        <v>15</v>
      </c>
      <c r="D9952" s="2">
        <v>1045.3800000000001</v>
      </c>
      <c r="E9952">
        <v>312.06</v>
      </c>
      <c r="F9952" t="s">
        <v>7</v>
      </c>
      <c r="G9952" t="s">
        <v>11</v>
      </c>
      <c r="H9952" s="5">
        <f>MONTH(Tabela1[[#This Row],[data]])</f>
        <v>2</v>
      </c>
      <c r="I9952">
        <f>YEAR(Tabela1[[#This Row],[data]])</f>
        <v>2026</v>
      </c>
    </row>
    <row r="9953" spans="1:9" x14ac:dyDescent="0.25">
      <c r="A9953" t="s">
        <v>6</v>
      </c>
      <c r="B9953" s="1">
        <v>46072</v>
      </c>
      <c r="C9953">
        <v>16</v>
      </c>
      <c r="D9953" s="2">
        <v>1042.02</v>
      </c>
      <c r="E9953">
        <v>329.28</v>
      </c>
      <c r="F9953" t="s">
        <v>7</v>
      </c>
      <c r="G9953" t="s">
        <v>11</v>
      </c>
      <c r="H9953" s="5">
        <f>MONTH(Tabela1[[#This Row],[data]])</f>
        <v>2</v>
      </c>
      <c r="I9953">
        <f>YEAR(Tabela1[[#This Row],[data]])</f>
        <v>2026</v>
      </c>
    </row>
    <row r="9954" spans="1:9" x14ac:dyDescent="0.25">
      <c r="A9954" t="s">
        <v>6</v>
      </c>
      <c r="B9954" s="1">
        <v>46072</v>
      </c>
      <c r="C9954">
        <v>17</v>
      </c>
      <c r="D9954" s="2">
        <v>1052.52</v>
      </c>
      <c r="E9954">
        <v>344.4</v>
      </c>
      <c r="F9954" t="s">
        <v>7</v>
      </c>
      <c r="G9954" t="s">
        <v>11</v>
      </c>
      <c r="H9954" s="5">
        <f>MONTH(Tabela1[[#This Row],[data]])</f>
        <v>2</v>
      </c>
      <c r="I9954">
        <f>YEAR(Tabela1[[#This Row],[data]])</f>
        <v>2026</v>
      </c>
    </row>
    <row r="9955" spans="1:9" x14ac:dyDescent="0.25">
      <c r="A9955" t="s">
        <v>6</v>
      </c>
      <c r="B9955" s="1">
        <v>46072</v>
      </c>
      <c r="C9955">
        <v>18</v>
      </c>
      <c r="D9955" s="2">
        <v>1047.06</v>
      </c>
      <c r="E9955">
        <v>305.76</v>
      </c>
      <c r="F9955" t="s">
        <v>7</v>
      </c>
      <c r="G9955" t="s">
        <v>11</v>
      </c>
      <c r="H9955" s="5">
        <f>MONTH(Tabela1[[#This Row],[data]])</f>
        <v>2</v>
      </c>
      <c r="I9955">
        <f>YEAR(Tabela1[[#This Row],[data]])</f>
        <v>2026</v>
      </c>
    </row>
    <row r="9956" spans="1:9" x14ac:dyDescent="0.25">
      <c r="A9956" t="s">
        <v>6</v>
      </c>
      <c r="B9956" s="1">
        <v>46072</v>
      </c>
      <c r="C9956">
        <v>19</v>
      </c>
      <c r="D9956">
        <v>987</v>
      </c>
      <c r="E9956">
        <v>288.54000000000002</v>
      </c>
      <c r="F9956" t="s">
        <v>7</v>
      </c>
      <c r="G9956" t="s">
        <v>11</v>
      </c>
      <c r="H9956" s="5">
        <f>MONTH(Tabela1[[#This Row],[data]])</f>
        <v>2</v>
      </c>
      <c r="I9956">
        <f>YEAR(Tabela1[[#This Row],[data]])</f>
        <v>2026</v>
      </c>
    </row>
    <row r="9957" spans="1:9" x14ac:dyDescent="0.25">
      <c r="A9957" t="s">
        <v>6</v>
      </c>
      <c r="B9957" s="1">
        <v>46072</v>
      </c>
      <c r="C9957">
        <v>20</v>
      </c>
      <c r="D9957">
        <v>945.42</v>
      </c>
      <c r="E9957">
        <v>257.04000000000002</v>
      </c>
      <c r="F9957" t="s">
        <v>7</v>
      </c>
      <c r="G9957" t="s">
        <v>11</v>
      </c>
      <c r="H9957" s="5">
        <f>MONTH(Tabela1[[#This Row],[data]])</f>
        <v>2</v>
      </c>
      <c r="I9957">
        <f>YEAR(Tabela1[[#This Row],[data]])</f>
        <v>2026</v>
      </c>
    </row>
    <row r="9958" spans="1:9" x14ac:dyDescent="0.25">
      <c r="A9958" t="s">
        <v>6</v>
      </c>
      <c r="B9958" s="1">
        <v>46072</v>
      </c>
      <c r="C9958">
        <v>21</v>
      </c>
      <c r="D9958">
        <v>923.58</v>
      </c>
      <c r="E9958">
        <v>234.36</v>
      </c>
      <c r="F9958" t="s">
        <v>7</v>
      </c>
      <c r="G9958" t="s">
        <v>11</v>
      </c>
      <c r="H9958" s="5">
        <f>MONTH(Tabela1[[#This Row],[data]])</f>
        <v>2</v>
      </c>
      <c r="I9958">
        <f>YEAR(Tabela1[[#This Row],[data]])</f>
        <v>2026</v>
      </c>
    </row>
    <row r="9959" spans="1:9" x14ac:dyDescent="0.25">
      <c r="A9959" t="s">
        <v>6</v>
      </c>
      <c r="B9959" s="1">
        <v>46072</v>
      </c>
      <c r="C9959">
        <v>22</v>
      </c>
      <c r="D9959">
        <v>849.66</v>
      </c>
      <c r="E9959">
        <v>220.5</v>
      </c>
      <c r="F9959" t="s">
        <v>7</v>
      </c>
      <c r="G9959" t="s">
        <v>11</v>
      </c>
      <c r="H9959" s="5">
        <f>MONTH(Tabela1[[#This Row],[data]])</f>
        <v>2</v>
      </c>
      <c r="I9959">
        <f>YEAR(Tabela1[[#This Row],[data]])</f>
        <v>2026</v>
      </c>
    </row>
    <row r="9960" spans="1:9" x14ac:dyDescent="0.25">
      <c r="A9960" t="s">
        <v>6</v>
      </c>
      <c r="B9960" s="1">
        <v>46072</v>
      </c>
      <c r="C9960">
        <v>23</v>
      </c>
      <c r="D9960">
        <v>369.6</v>
      </c>
      <c r="E9960">
        <v>3.78</v>
      </c>
      <c r="F9960" t="s">
        <v>7</v>
      </c>
      <c r="G9960" t="s">
        <v>11</v>
      </c>
      <c r="H9960" s="5">
        <f>MONTH(Tabela1[[#This Row],[data]])</f>
        <v>2</v>
      </c>
      <c r="I9960">
        <f>YEAR(Tabela1[[#This Row],[data]])</f>
        <v>2026</v>
      </c>
    </row>
    <row r="9961" spans="1:9" x14ac:dyDescent="0.25">
      <c r="A9961" t="s">
        <v>6</v>
      </c>
      <c r="B9961" s="1">
        <v>46072</v>
      </c>
      <c r="C9961">
        <v>24</v>
      </c>
      <c r="D9961">
        <v>267.54000000000002</v>
      </c>
      <c r="E9961">
        <v>0</v>
      </c>
      <c r="F9961" t="s">
        <v>7</v>
      </c>
      <c r="G9961" t="s">
        <v>11</v>
      </c>
      <c r="H9961" s="5">
        <f>MONTH(Tabela1[[#This Row],[data]])</f>
        <v>2</v>
      </c>
      <c r="I9961">
        <f>YEAR(Tabela1[[#This Row],[data]])</f>
        <v>2026</v>
      </c>
    </row>
    <row r="9962" spans="1:9" x14ac:dyDescent="0.25">
      <c r="A9962" t="s">
        <v>6</v>
      </c>
      <c r="B9962" s="1">
        <v>46073</v>
      </c>
      <c r="C9962">
        <v>1</v>
      </c>
      <c r="D9962">
        <v>239.4</v>
      </c>
      <c r="E9962">
        <v>0</v>
      </c>
      <c r="F9962" t="s">
        <v>7</v>
      </c>
      <c r="G9962" t="s">
        <v>11</v>
      </c>
      <c r="H9962" s="5">
        <f>MONTH(Tabela1[[#This Row],[data]])</f>
        <v>2</v>
      </c>
      <c r="I9962">
        <f>YEAR(Tabela1[[#This Row],[data]])</f>
        <v>2026</v>
      </c>
    </row>
    <row r="9963" spans="1:9" x14ac:dyDescent="0.25">
      <c r="A9963" t="s">
        <v>6</v>
      </c>
      <c r="B9963" s="1">
        <v>46073</v>
      </c>
      <c r="C9963">
        <v>2</v>
      </c>
      <c r="D9963">
        <v>228.06</v>
      </c>
      <c r="E9963">
        <v>0</v>
      </c>
      <c r="F9963" t="s">
        <v>7</v>
      </c>
      <c r="G9963" t="s">
        <v>11</v>
      </c>
      <c r="H9963" s="5">
        <f>MONTH(Tabela1[[#This Row],[data]])</f>
        <v>2</v>
      </c>
      <c r="I9963">
        <f>YEAR(Tabela1[[#This Row],[data]])</f>
        <v>2026</v>
      </c>
    </row>
    <row r="9964" spans="1:9" x14ac:dyDescent="0.25">
      <c r="A9964" t="s">
        <v>6</v>
      </c>
      <c r="B9964" s="1">
        <v>46073</v>
      </c>
      <c r="C9964">
        <v>3</v>
      </c>
      <c r="D9964">
        <v>226.8</v>
      </c>
      <c r="E9964">
        <v>0</v>
      </c>
      <c r="F9964" t="s">
        <v>7</v>
      </c>
      <c r="G9964" t="s">
        <v>11</v>
      </c>
      <c r="H9964" s="5">
        <f>MONTH(Tabela1[[#This Row],[data]])</f>
        <v>2</v>
      </c>
      <c r="I9964">
        <f>YEAR(Tabela1[[#This Row],[data]])</f>
        <v>2026</v>
      </c>
    </row>
    <row r="9965" spans="1:9" x14ac:dyDescent="0.25">
      <c r="A9965" t="s">
        <v>6</v>
      </c>
      <c r="B9965" s="1">
        <v>46073</v>
      </c>
      <c r="C9965">
        <v>4</v>
      </c>
      <c r="D9965">
        <v>220.5</v>
      </c>
      <c r="E9965">
        <v>0</v>
      </c>
      <c r="F9965" t="s">
        <v>7</v>
      </c>
      <c r="G9965" t="s">
        <v>11</v>
      </c>
      <c r="H9965" s="5">
        <f>MONTH(Tabela1[[#This Row],[data]])</f>
        <v>2</v>
      </c>
      <c r="I9965">
        <f>YEAR(Tabela1[[#This Row],[data]])</f>
        <v>2026</v>
      </c>
    </row>
    <row r="9966" spans="1:9" x14ac:dyDescent="0.25">
      <c r="A9966" t="s">
        <v>6</v>
      </c>
      <c r="B9966" s="1">
        <v>46073</v>
      </c>
      <c r="C9966">
        <v>5</v>
      </c>
      <c r="D9966">
        <v>228.9</v>
      </c>
      <c r="E9966">
        <v>0</v>
      </c>
      <c r="F9966" t="s">
        <v>7</v>
      </c>
      <c r="G9966" t="s">
        <v>11</v>
      </c>
      <c r="H9966" s="5">
        <f>MONTH(Tabela1[[#This Row],[data]])</f>
        <v>2</v>
      </c>
      <c r="I9966">
        <f>YEAR(Tabela1[[#This Row],[data]])</f>
        <v>2026</v>
      </c>
    </row>
    <row r="9967" spans="1:9" x14ac:dyDescent="0.25">
      <c r="A9967" t="s">
        <v>6</v>
      </c>
      <c r="B9967" s="1">
        <v>46073</v>
      </c>
      <c r="C9967">
        <v>6</v>
      </c>
      <c r="D9967">
        <v>225.96</v>
      </c>
      <c r="E9967">
        <v>0</v>
      </c>
      <c r="F9967" t="s">
        <v>7</v>
      </c>
      <c r="G9967" t="s">
        <v>11</v>
      </c>
      <c r="H9967" s="5">
        <f>MONTH(Tabela1[[#This Row],[data]])</f>
        <v>2</v>
      </c>
      <c r="I9967">
        <f>YEAR(Tabela1[[#This Row],[data]])</f>
        <v>2026</v>
      </c>
    </row>
    <row r="9968" spans="1:9" x14ac:dyDescent="0.25">
      <c r="A9968" t="s">
        <v>6</v>
      </c>
      <c r="B9968" s="1">
        <v>46073</v>
      </c>
      <c r="C9968">
        <v>7</v>
      </c>
      <c r="D9968">
        <v>238.98</v>
      </c>
      <c r="E9968">
        <v>0</v>
      </c>
      <c r="F9968" t="s">
        <v>7</v>
      </c>
      <c r="G9968" t="s">
        <v>11</v>
      </c>
      <c r="H9968" s="5">
        <f>MONTH(Tabela1[[#This Row],[data]])</f>
        <v>2</v>
      </c>
      <c r="I9968">
        <f>YEAR(Tabela1[[#This Row],[data]])</f>
        <v>2026</v>
      </c>
    </row>
    <row r="9969" spans="1:9" x14ac:dyDescent="0.25">
      <c r="A9969" t="s">
        <v>6</v>
      </c>
      <c r="B9969" s="1">
        <v>46073</v>
      </c>
      <c r="C9969">
        <v>8</v>
      </c>
      <c r="D9969">
        <v>242.76</v>
      </c>
      <c r="E9969">
        <v>0</v>
      </c>
      <c r="F9969" t="s">
        <v>7</v>
      </c>
      <c r="G9969" t="s">
        <v>11</v>
      </c>
      <c r="H9969" s="5">
        <f>MONTH(Tabela1[[#This Row],[data]])</f>
        <v>2</v>
      </c>
      <c r="I9969">
        <f>YEAR(Tabela1[[#This Row],[data]])</f>
        <v>2026</v>
      </c>
    </row>
    <row r="9970" spans="1:9" x14ac:dyDescent="0.25">
      <c r="A9970" t="s">
        <v>6</v>
      </c>
      <c r="B9970" s="1">
        <v>46073</v>
      </c>
      <c r="C9970">
        <v>9</v>
      </c>
      <c r="D9970">
        <v>388.08</v>
      </c>
      <c r="E9970">
        <v>2.1</v>
      </c>
      <c r="F9970" t="s">
        <v>7</v>
      </c>
      <c r="G9970" t="s">
        <v>11</v>
      </c>
      <c r="H9970" s="5">
        <f>MONTH(Tabela1[[#This Row],[data]])</f>
        <v>2</v>
      </c>
      <c r="I9970">
        <f>YEAR(Tabela1[[#This Row],[data]])</f>
        <v>2026</v>
      </c>
    </row>
    <row r="9971" spans="1:9" x14ac:dyDescent="0.25">
      <c r="A9971" t="s">
        <v>6</v>
      </c>
      <c r="B9971" s="1">
        <v>46073</v>
      </c>
      <c r="C9971">
        <v>10</v>
      </c>
      <c r="D9971">
        <v>473.34</v>
      </c>
      <c r="E9971">
        <v>32.340000000000003</v>
      </c>
      <c r="F9971" t="s">
        <v>7</v>
      </c>
      <c r="G9971" t="s">
        <v>11</v>
      </c>
      <c r="H9971" s="5">
        <f>MONTH(Tabela1[[#This Row],[data]])</f>
        <v>2</v>
      </c>
      <c r="I9971">
        <f>YEAR(Tabela1[[#This Row],[data]])</f>
        <v>2026</v>
      </c>
    </row>
    <row r="9972" spans="1:9" x14ac:dyDescent="0.25">
      <c r="A9972" t="s">
        <v>6</v>
      </c>
      <c r="B9972" s="1">
        <v>46073</v>
      </c>
      <c r="C9972">
        <v>11</v>
      </c>
      <c r="D9972">
        <v>937.44</v>
      </c>
      <c r="E9972">
        <v>225.54</v>
      </c>
      <c r="F9972" t="s">
        <v>7</v>
      </c>
      <c r="G9972" t="s">
        <v>11</v>
      </c>
      <c r="H9972" s="5">
        <f>MONTH(Tabela1[[#This Row],[data]])</f>
        <v>2</v>
      </c>
      <c r="I9972">
        <f>YEAR(Tabela1[[#This Row],[data]])</f>
        <v>2026</v>
      </c>
    </row>
    <row r="9973" spans="1:9" x14ac:dyDescent="0.25">
      <c r="A9973" t="s">
        <v>6</v>
      </c>
      <c r="B9973" s="1">
        <v>46073</v>
      </c>
      <c r="C9973">
        <v>12</v>
      </c>
      <c r="D9973">
        <v>976.92</v>
      </c>
      <c r="E9973">
        <v>258.72000000000003</v>
      </c>
      <c r="F9973" t="s">
        <v>7</v>
      </c>
      <c r="G9973" t="s">
        <v>11</v>
      </c>
      <c r="H9973" s="5">
        <f>MONTH(Tabela1[[#This Row],[data]])</f>
        <v>2</v>
      </c>
      <c r="I9973">
        <f>YEAR(Tabela1[[#This Row],[data]])</f>
        <v>2026</v>
      </c>
    </row>
    <row r="9974" spans="1:9" x14ac:dyDescent="0.25">
      <c r="A9974" t="s">
        <v>6</v>
      </c>
      <c r="B9974" s="1">
        <v>46073</v>
      </c>
      <c r="C9974">
        <v>13</v>
      </c>
      <c r="D9974" s="2">
        <v>1021.44</v>
      </c>
      <c r="E9974">
        <v>276.77999999999997</v>
      </c>
      <c r="F9974" t="s">
        <v>7</v>
      </c>
      <c r="G9974" t="s">
        <v>11</v>
      </c>
      <c r="H9974" s="5">
        <f>MONTH(Tabela1[[#This Row],[data]])</f>
        <v>2</v>
      </c>
      <c r="I9974">
        <f>YEAR(Tabela1[[#This Row],[data]])</f>
        <v>2026</v>
      </c>
    </row>
    <row r="9975" spans="1:9" x14ac:dyDescent="0.25">
      <c r="A9975" t="s">
        <v>6</v>
      </c>
      <c r="B9975" s="1">
        <v>46073</v>
      </c>
      <c r="C9975">
        <v>14</v>
      </c>
      <c r="D9975" s="2">
        <v>1027.74</v>
      </c>
      <c r="E9975">
        <v>274.26</v>
      </c>
      <c r="F9975" t="s">
        <v>7</v>
      </c>
      <c r="G9975" t="s">
        <v>11</v>
      </c>
      <c r="H9975" s="5">
        <f>MONTH(Tabela1[[#This Row],[data]])</f>
        <v>2</v>
      </c>
      <c r="I9975">
        <f>YEAR(Tabela1[[#This Row],[data]])</f>
        <v>2026</v>
      </c>
    </row>
    <row r="9976" spans="1:9" x14ac:dyDescent="0.25">
      <c r="A9976" t="s">
        <v>6</v>
      </c>
      <c r="B9976" s="1">
        <v>46073</v>
      </c>
      <c r="C9976">
        <v>15</v>
      </c>
      <c r="D9976" s="2">
        <v>1037.4000000000001</v>
      </c>
      <c r="E9976">
        <v>283.92</v>
      </c>
      <c r="F9976" t="s">
        <v>7</v>
      </c>
      <c r="G9976" t="s">
        <v>11</v>
      </c>
      <c r="H9976" s="5">
        <f>MONTH(Tabela1[[#This Row],[data]])</f>
        <v>2</v>
      </c>
      <c r="I9976">
        <f>YEAR(Tabela1[[#This Row],[data]])</f>
        <v>2026</v>
      </c>
    </row>
    <row r="9977" spans="1:9" x14ac:dyDescent="0.25">
      <c r="A9977" t="s">
        <v>6</v>
      </c>
      <c r="B9977" s="1">
        <v>46073</v>
      </c>
      <c r="C9977">
        <v>16</v>
      </c>
      <c r="D9977" s="2">
        <v>1039.08</v>
      </c>
      <c r="E9977">
        <v>288.95999999999998</v>
      </c>
      <c r="F9977" t="s">
        <v>7</v>
      </c>
      <c r="G9977" t="s">
        <v>11</v>
      </c>
      <c r="H9977" s="5">
        <f>MONTH(Tabela1[[#This Row],[data]])</f>
        <v>2</v>
      </c>
      <c r="I9977">
        <f>YEAR(Tabela1[[#This Row],[data]])</f>
        <v>2026</v>
      </c>
    </row>
    <row r="9978" spans="1:9" x14ac:dyDescent="0.25">
      <c r="A9978" t="s">
        <v>6</v>
      </c>
      <c r="B9978" s="1">
        <v>46073</v>
      </c>
      <c r="C9978">
        <v>17</v>
      </c>
      <c r="D9978" s="2">
        <v>1023.12</v>
      </c>
      <c r="E9978">
        <v>267.12</v>
      </c>
      <c r="F9978" t="s">
        <v>7</v>
      </c>
      <c r="G9978" t="s">
        <v>11</v>
      </c>
      <c r="H9978" s="5">
        <f>MONTH(Tabela1[[#This Row],[data]])</f>
        <v>2</v>
      </c>
      <c r="I9978">
        <f>YEAR(Tabela1[[#This Row],[data]])</f>
        <v>2026</v>
      </c>
    </row>
    <row r="9979" spans="1:9" x14ac:dyDescent="0.25">
      <c r="A9979" t="s">
        <v>6</v>
      </c>
      <c r="B9979" s="1">
        <v>46073</v>
      </c>
      <c r="C9979">
        <v>18</v>
      </c>
      <c r="D9979" s="2">
        <v>1018.08</v>
      </c>
      <c r="E9979">
        <v>277.62</v>
      </c>
      <c r="F9979" t="s">
        <v>7</v>
      </c>
      <c r="G9979" t="s">
        <v>11</v>
      </c>
      <c r="H9979" s="5">
        <f>MONTH(Tabela1[[#This Row],[data]])</f>
        <v>2</v>
      </c>
      <c r="I9979">
        <f>YEAR(Tabela1[[#This Row],[data]])</f>
        <v>2026</v>
      </c>
    </row>
    <row r="9980" spans="1:9" x14ac:dyDescent="0.25">
      <c r="A9980" t="s">
        <v>6</v>
      </c>
      <c r="B9980" s="1">
        <v>46073</v>
      </c>
      <c r="C9980">
        <v>19</v>
      </c>
      <c r="D9980">
        <v>948.78</v>
      </c>
      <c r="E9980">
        <v>217.14</v>
      </c>
      <c r="F9980" t="s">
        <v>7</v>
      </c>
      <c r="G9980" t="s">
        <v>11</v>
      </c>
      <c r="H9980" s="5">
        <f>MONTH(Tabela1[[#This Row],[data]])</f>
        <v>2</v>
      </c>
      <c r="I9980">
        <f>YEAR(Tabela1[[#This Row],[data]])</f>
        <v>2026</v>
      </c>
    </row>
    <row r="9981" spans="1:9" x14ac:dyDescent="0.25">
      <c r="A9981" t="s">
        <v>6</v>
      </c>
      <c r="B9981" s="1">
        <v>46073</v>
      </c>
      <c r="C9981">
        <v>20</v>
      </c>
      <c r="D9981">
        <v>923.16</v>
      </c>
      <c r="E9981">
        <v>211.26</v>
      </c>
      <c r="F9981" t="s">
        <v>7</v>
      </c>
      <c r="G9981" t="s">
        <v>11</v>
      </c>
      <c r="H9981" s="5">
        <f>MONTH(Tabela1[[#This Row],[data]])</f>
        <v>2</v>
      </c>
      <c r="I9981">
        <f>YEAR(Tabela1[[#This Row],[data]])</f>
        <v>2026</v>
      </c>
    </row>
    <row r="9982" spans="1:9" x14ac:dyDescent="0.25">
      <c r="A9982" t="s">
        <v>6</v>
      </c>
      <c r="B9982" s="1">
        <v>46073</v>
      </c>
      <c r="C9982">
        <v>21</v>
      </c>
      <c r="D9982">
        <v>946.26</v>
      </c>
      <c r="E9982">
        <v>230.58</v>
      </c>
      <c r="F9982" t="s">
        <v>7</v>
      </c>
      <c r="G9982" t="s">
        <v>11</v>
      </c>
      <c r="H9982" s="5">
        <f>MONTH(Tabela1[[#This Row],[data]])</f>
        <v>2</v>
      </c>
      <c r="I9982">
        <f>YEAR(Tabela1[[#This Row],[data]])</f>
        <v>2026</v>
      </c>
    </row>
    <row r="9983" spans="1:9" x14ac:dyDescent="0.25">
      <c r="A9983" t="s">
        <v>6</v>
      </c>
      <c r="B9983" s="1">
        <v>46073</v>
      </c>
      <c r="C9983">
        <v>22</v>
      </c>
      <c r="D9983">
        <v>900.9</v>
      </c>
      <c r="E9983">
        <v>207.9</v>
      </c>
      <c r="F9983" t="s">
        <v>7</v>
      </c>
      <c r="G9983" t="s">
        <v>11</v>
      </c>
      <c r="H9983" s="5">
        <f>MONTH(Tabela1[[#This Row],[data]])</f>
        <v>2</v>
      </c>
      <c r="I9983">
        <f>YEAR(Tabela1[[#This Row],[data]])</f>
        <v>2026</v>
      </c>
    </row>
    <row r="9984" spans="1:9" x14ac:dyDescent="0.25">
      <c r="A9984" t="s">
        <v>6</v>
      </c>
      <c r="B9984" s="1">
        <v>46073</v>
      </c>
      <c r="C9984">
        <v>23</v>
      </c>
      <c r="D9984">
        <v>414.96</v>
      </c>
      <c r="E9984">
        <v>16.8</v>
      </c>
      <c r="F9984" t="s">
        <v>7</v>
      </c>
      <c r="G9984" t="s">
        <v>11</v>
      </c>
      <c r="H9984" s="5">
        <f>MONTH(Tabela1[[#This Row],[data]])</f>
        <v>2</v>
      </c>
      <c r="I9984">
        <f>YEAR(Tabela1[[#This Row],[data]])</f>
        <v>2026</v>
      </c>
    </row>
    <row r="9985" spans="1:9" x14ac:dyDescent="0.25">
      <c r="A9985" t="s">
        <v>6</v>
      </c>
      <c r="B9985" s="1">
        <v>46073</v>
      </c>
      <c r="C9985">
        <v>24</v>
      </c>
      <c r="D9985">
        <v>277.62</v>
      </c>
      <c r="E9985">
        <v>0</v>
      </c>
      <c r="F9985" t="s">
        <v>7</v>
      </c>
      <c r="G9985" t="s">
        <v>11</v>
      </c>
      <c r="H9985" s="5">
        <f>MONTH(Tabela1[[#This Row],[data]])</f>
        <v>2</v>
      </c>
      <c r="I9985">
        <f>YEAR(Tabela1[[#This Row],[data]])</f>
        <v>2026</v>
      </c>
    </row>
    <row r="9986" spans="1:9" x14ac:dyDescent="0.25">
      <c r="A9986" t="s">
        <v>6</v>
      </c>
      <c r="B9986" s="1">
        <v>46074</v>
      </c>
      <c r="C9986">
        <v>1</v>
      </c>
      <c r="D9986">
        <v>238.56</v>
      </c>
      <c r="E9986">
        <v>0</v>
      </c>
      <c r="F9986" t="s">
        <v>7</v>
      </c>
      <c r="G9986" t="s">
        <v>11</v>
      </c>
      <c r="H9986" s="5">
        <f>MONTH(Tabela1[[#This Row],[data]])</f>
        <v>2</v>
      </c>
      <c r="I9986">
        <f>YEAR(Tabela1[[#This Row],[data]])</f>
        <v>2026</v>
      </c>
    </row>
    <row r="9987" spans="1:9" x14ac:dyDescent="0.25">
      <c r="A9987" t="s">
        <v>6</v>
      </c>
      <c r="B9987" s="1">
        <v>46074</v>
      </c>
      <c r="C9987">
        <v>2</v>
      </c>
      <c r="D9987">
        <v>227.22</v>
      </c>
      <c r="E9987">
        <v>0</v>
      </c>
      <c r="F9987" t="s">
        <v>7</v>
      </c>
      <c r="G9987" t="s">
        <v>11</v>
      </c>
      <c r="H9987" s="5">
        <f>MONTH(Tabela1[[#This Row],[data]])</f>
        <v>2</v>
      </c>
      <c r="I9987">
        <f>YEAR(Tabela1[[#This Row],[data]])</f>
        <v>2026</v>
      </c>
    </row>
    <row r="9988" spans="1:9" x14ac:dyDescent="0.25">
      <c r="A9988" t="s">
        <v>6</v>
      </c>
      <c r="B9988" s="1">
        <v>46074</v>
      </c>
      <c r="C9988">
        <v>3</v>
      </c>
      <c r="D9988">
        <v>224.7</v>
      </c>
      <c r="E9988">
        <v>0</v>
      </c>
      <c r="F9988" t="s">
        <v>7</v>
      </c>
      <c r="G9988" t="s">
        <v>11</v>
      </c>
      <c r="H9988" s="5">
        <f>MONTH(Tabela1[[#This Row],[data]])</f>
        <v>2</v>
      </c>
      <c r="I9988">
        <f>YEAR(Tabela1[[#This Row],[data]])</f>
        <v>2026</v>
      </c>
    </row>
    <row r="9989" spans="1:9" x14ac:dyDescent="0.25">
      <c r="A9989" t="s">
        <v>6</v>
      </c>
      <c r="B9989" s="1">
        <v>46074</v>
      </c>
      <c r="C9989">
        <v>4</v>
      </c>
      <c r="D9989">
        <v>221.76</v>
      </c>
      <c r="E9989">
        <v>0</v>
      </c>
      <c r="F9989" t="s">
        <v>7</v>
      </c>
      <c r="G9989" t="s">
        <v>11</v>
      </c>
      <c r="H9989" s="5">
        <f>MONTH(Tabela1[[#This Row],[data]])</f>
        <v>2</v>
      </c>
      <c r="I9989">
        <f>YEAR(Tabela1[[#This Row],[data]])</f>
        <v>2026</v>
      </c>
    </row>
    <row r="9990" spans="1:9" x14ac:dyDescent="0.25">
      <c r="A9990" t="s">
        <v>6</v>
      </c>
      <c r="B9990" s="1">
        <v>46074</v>
      </c>
      <c r="C9990">
        <v>5</v>
      </c>
      <c r="D9990">
        <v>225.12</v>
      </c>
      <c r="E9990">
        <v>0</v>
      </c>
      <c r="F9990" t="s">
        <v>7</v>
      </c>
      <c r="G9990" t="s">
        <v>11</v>
      </c>
      <c r="H9990" s="5">
        <f>MONTH(Tabela1[[#This Row],[data]])</f>
        <v>2</v>
      </c>
      <c r="I9990">
        <f>YEAR(Tabela1[[#This Row],[data]])</f>
        <v>2026</v>
      </c>
    </row>
    <row r="9991" spans="1:9" x14ac:dyDescent="0.25">
      <c r="A9991" t="s">
        <v>6</v>
      </c>
      <c r="B9991" s="1">
        <v>46074</v>
      </c>
      <c r="C9991">
        <v>6</v>
      </c>
      <c r="D9991">
        <v>215.88</v>
      </c>
      <c r="E9991">
        <v>0</v>
      </c>
      <c r="F9991" t="s">
        <v>7</v>
      </c>
      <c r="G9991" t="s">
        <v>11</v>
      </c>
      <c r="H9991" s="5">
        <f>MONTH(Tabela1[[#This Row],[data]])</f>
        <v>2</v>
      </c>
      <c r="I9991">
        <f>YEAR(Tabela1[[#This Row],[data]])</f>
        <v>2026</v>
      </c>
    </row>
    <row r="9992" spans="1:9" x14ac:dyDescent="0.25">
      <c r="A9992" t="s">
        <v>6</v>
      </c>
      <c r="B9992" s="1">
        <v>46074</v>
      </c>
      <c r="C9992">
        <v>7</v>
      </c>
      <c r="D9992">
        <v>207.48</v>
      </c>
      <c r="E9992">
        <v>0</v>
      </c>
      <c r="F9992" t="s">
        <v>7</v>
      </c>
      <c r="G9992" t="s">
        <v>11</v>
      </c>
      <c r="H9992" s="5">
        <f>MONTH(Tabela1[[#This Row],[data]])</f>
        <v>2</v>
      </c>
      <c r="I9992">
        <f>YEAR(Tabela1[[#This Row],[data]])</f>
        <v>2026</v>
      </c>
    </row>
    <row r="9993" spans="1:9" x14ac:dyDescent="0.25">
      <c r="A9993" t="s">
        <v>6</v>
      </c>
      <c r="B9993" s="1">
        <v>46074</v>
      </c>
      <c r="C9993">
        <v>8</v>
      </c>
      <c r="D9993">
        <v>244.44</v>
      </c>
      <c r="E9993">
        <v>0</v>
      </c>
      <c r="F9993" t="s">
        <v>7</v>
      </c>
      <c r="G9993" t="s">
        <v>11</v>
      </c>
      <c r="H9993" s="5">
        <f>MONTH(Tabela1[[#This Row],[data]])</f>
        <v>2</v>
      </c>
      <c r="I9993">
        <f>YEAR(Tabela1[[#This Row],[data]])</f>
        <v>2026</v>
      </c>
    </row>
    <row r="9994" spans="1:9" x14ac:dyDescent="0.25">
      <c r="A9994" t="s">
        <v>6</v>
      </c>
      <c r="B9994" s="1">
        <v>46074</v>
      </c>
      <c r="C9994">
        <v>9</v>
      </c>
      <c r="D9994">
        <v>380.94</v>
      </c>
      <c r="E9994">
        <v>4.62</v>
      </c>
      <c r="F9994" t="s">
        <v>7</v>
      </c>
      <c r="G9994" t="s">
        <v>11</v>
      </c>
      <c r="H9994" s="5">
        <f>MONTH(Tabela1[[#This Row],[data]])</f>
        <v>2</v>
      </c>
      <c r="I9994">
        <f>YEAR(Tabela1[[#This Row],[data]])</f>
        <v>2026</v>
      </c>
    </row>
    <row r="9995" spans="1:9" x14ac:dyDescent="0.25">
      <c r="A9995" t="s">
        <v>6</v>
      </c>
      <c r="B9995" s="1">
        <v>46074</v>
      </c>
      <c r="C9995">
        <v>10</v>
      </c>
      <c r="D9995">
        <v>630</v>
      </c>
      <c r="E9995">
        <v>91.98</v>
      </c>
      <c r="F9995" t="s">
        <v>7</v>
      </c>
      <c r="G9995" t="s">
        <v>11</v>
      </c>
      <c r="H9995" s="5">
        <f>MONTH(Tabela1[[#This Row],[data]])</f>
        <v>2</v>
      </c>
      <c r="I9995">
        <f>YEAR(Tabela1[[#This Row],[data]])</f>
        <v>2026</v>
      </c>
    </row>
    <row r="9996" spans="1:9" x14ac:dyDescent="0.25">
      <c r="A9996" t="s">
        <v>6</v>
      </c>
      <c r="B9996" s="1">
        <v>46074</v>
      </c>
      <c r="C9996">
        <v>11</v>
      </c>
      <c r="D9996" s="2">
        <v>1053.3599999999999</v>
      </c>
      <c r="E9996">
        <v>312.89999999999998</v>
      </c>
      <c r="F9996" t="s">
        <v>7</v>
      </c>
      <c r="G9996" t="s">
        <v>11</v>
      </c>
      <c r="H9996" s="5">
        <f>MONTH(Tabela1[[#This Row],[data]])</f>
        <v>2</v>
      </c>
      <c r="I9996">
        <f>YEAR(Tabela1[[#This Row],[data]])</f>
        <v>2026</v>
      </c>
    </row>
    <row r="9997" spans="1:9" x14ac:dyDescent="0.25">
      <c r="A9997" t="s">
        <v>6</v>
      </c>
      <c r="B9997" s="1">
        <v>46074</v>
      </c>
      <c r="C9997">
        <v>12</v>
      </c>
      <c r="D9997" s="2">
        <v>1014.72</v>
      </c>
      <c r="E9997">
        <v>307.44</v>
      </c>
      <c r="F9997" t="s">
        <v>7</v>
      </c>
      <c r="G9997" t="s">
        <v>11</v>
      </c>
      <c r="H9997" s="5">
        <f>MONTH(Tabela1[[#This Row],[data]])</f>
        <v>2</v>
      </c>
      <c r="I9997">
        <f>YEAR(Tabela1[[#This Row],[data]])</f>
        <v>2026</v>
      </c>
    </row>
    <row r="9998" spans="1:9" x14ac:dyDescent="0.25">
      <c r="A9998" t="s">
        <v>6</v>
      </c>
      <c r="B9998" s="1">
        <v>46074</v>
      </c>
      <c r="C9998">
        <v>13</v>
      </c>
      <c r="D9998" s="2">
        <v>1052.52</v>
      </c>
      <c r="E9998">
        <v>334.74</v>
      </c>
      <c r="F9998" t="s">
        <v>7</v>
      </c>
      <c r="G9998" t="s">
        <v>11</v>
      </c>
      <c r="H9998" s="5">
        <f>MONTH(Tabela1[[#This Row],[data]])</f>
        <v>2</v>
      </c>
      <c r="I9998">
        <f>YEAR(Tabela1[[#This Row],[data]])</f>
        <v>2026</v>
      </c>
    </row>
    <row r="9999" spans="1:9" x14ac:dyDescent="0.25">
      <c r="A9999" t="s">
        <v>6</v>
      </c>
      <c r="B9999" s="1">
        <v>46074</v>
      </c>
      <c r="C9999">
        <v>14</v>
      </c>
      <c r="D9999" s="2">
        <v>1063.02</v>
      </c>
      <c r="E9999">
        <v>327.18</v>
      </c>
      <c r="F9999" t="s">
        <v>7</v>
      </c>
      <c r="G9999" t="s">
        <v>11</v>
      </c>
      <c r="H9999" s="5">
        <f>MONTH(Tabela1[[#This Row],[data]])</f>
        <v>2</v>
      </c>
      <c r="I9999">
        <f>YEAR(Tabela1[[#This Row],[data]])</f>
        <v>2026</v>
      </c>
    </row>
    <row r="10000" spans="1:9" x14ac:dyDescent="0.25">
      <c r="A10000" t="s">
        <v>6</v>
      </c>
      <c r="B10000" s="1">
        <v>46074</v>
      </c>
      <c r="C10000">
        <v>15</v>
      </c>
      <c r="D10000" s="2">
        <v>1009.68</v>
      </c>
      <c r="E10000">
        <v>304.92</v>
      </c>
      <c r="F10000" t="s">
        <v>7</v>
      </c>
      <c r="G10000" t="s">
        <v>11</v>
      </c>
      <c r="H10000" s="5">
        <f>MONTH(Tabela1[[#This Row],[data]])</f>
        <v>2</v>
      </c>
      <c r="I10000">
        <f>YEAR(Tabela1[[#This Row],[data]])</f>
        <v>2026</v>
      </c>
    </row>
    <row r="10001" spans="1:9" x14ac:dyDescent="0.25">
      <c r="A10001" t="s">
        <v>6</v>
      </c>
      <c r="B10001" s="1">
        <v>46074</v>
      </c>
      <c r="C10001">
        <v>16</v>
      </c>
      <c r="D10001">
        <v>987.42</v>
      </c>
      <c r="E10001">
        <v>290.64</v>
      </c>
      <c r="F10001" t="s">
        <v>7</v>
      </c>
      <c r="G10001" t="s">
        <v>11</v>
      </c>
      <c r="H10001" s="5">
        <f>MONTH(Tabela1[[#This Row],[data]])</f>
        <v>2</v>
      </c>
      <c r="I10001">
        <f>YEAR(Tabela1[[#This Row],[data]])</f>
        <v>2026</v>
      </c>
    </row>
    <row r="10002" spans="1:9" x14ac:dyDescent="0.25">
      <c r="A10002" t="s">
        <v>6</v>
      </c>
      <c r="B10002" s="1">
        <v>46074</v>
      </c>
      <c r="C10002">
        <v>17</v>
      </c>
      <c r="D10002">
        <v>983.64</v>
      </c>
      <c r="E10002">
        <v>280.56</v>
      </c>
      <c r="F10002" t="s">
        <v>7</v>
      </c>
      <c r="G10002" t="s">
        <v>11</v>
      </c>
      <c r="H10002" s="5">
        <f>MONTH(Tabela1[[#This Row],[data]])</f>
        <v>2</v>
      </c>
      <c r="I10002">
        <f>YEAR(Tabela1[[#This Row],[data]])</f>
        <v>2026</v>
      </c>
    </row>
    <row r="10003" spans="1:9" x14ac:dyDescent="0.25">
      <c r="A10003" t="s">
        <v>6</v>
      </c>
      <c r="B10003" s="1">
        <v>46074</v>
      </c>
      <c r="C10003">
        <v>18</v>
      </c>
      <c r="D10003">
        <v>996.66</v>
      </c>
      <c r="E10003">
        <v>292.32</v>
      </c>
      <c r="F10003" t="s">
        <v>7</v>
      </c>
      <c r="G10003" t="s">
        <v>11</v>
      </c>
      <c r="H10003" s="5">
        <f>MONTH(Tabela1[[#This Row],[data]])</f>
        <v>2</v>
      </c>
      <c r="I10003">
        <f>YEAR(Tabela1[[#This Row],[data]])</f>
        <v>2026</v>
      </c>
    </row>
    <row r="10004" spans="1:9" x14ac:dyDescent="0.25">
      <c r="A10004" t="s">
        <v>6</v>
      </c>
      <c r="B10004" s="1">
        <v>46074</v>
      </c>
      <c r="C10004">
        <v>19</v>
      </c>
      <c r="D10004">
        <v>979.44</v>
      </c>
      <c r="E10004">
        <v>283.92</v>
      </c>
      <c r="F10004" t="s">
        <v>7</v>
      </c>
      <c r="G10004" t="s">
        <v>11</v>
      </c>
      <c r="H10004" s="5">
        <f>MONTH(Tabela1[[#This Row],[data]])</f>
        <v>2</v>
      </c>
      <c r="I10004">
        <f>YEAR(Tabela1[[#This Row],[data]])</f>
        <v>2026</v>
      </c>
    </row>
    <row r="10005" spans="1:9" x14ac:dyDescent="0.25">
      <c r="A10005" t="s">
        <v>6</v>
      </c>
      <c r="B10005" s="1">
        <v>46074</v>
      </c>
      <c r="C10005">
        <v>20</v>
      </c>
      <c r="D10005">
        <v>975.66</v>
      </c>
      <c r="E10005">
        <v>254.94</v>
      </c>
      <c r="F10005" t="s">
        <v>7</v>
      </c>
      <c r="G10005" t="s">
        <v>11</v>
      </c>
      <c r="H10005" s="5">
        <f>MONTH(Tabela1[[#This Row],[data]])</f>
        <v>2</v>
      </c>
      <c r="I10005">
        <f>YEAR(Tabela1[[#This Row],[data]])</f>
        <v>2026</v>
      </c>
    </row>
    <row r="10006" spans="1:9" x14ac:dyDescent="0.25">
      <c r="A10006" t="s">
        <v>6</v>
      </c>
      <c r="B10006" s="1">
        <v>46074</v>
      </c>
      <c r="C10006">
        <v>21</v>
      </c>
      <c r="D10006">
        <v>986.58</v>
      </c>
      <c r="E10006">
        <v>264.18</v>
      </c>
      <c r="F10006" t="s">
        <v>7</v>
      </c>
      <c r="G10006" t="s">
        <v>11</v>
      </c>
      <c r="H10006" s="5">
        <f>MONTH(Tabela1[[#This Row],[data]])</f>
        <v>2</v>
      </c>
      <c r="I10006">
        <f>YEAR(Tabela1[[#This Row],[data]])</f>
        <v>2026</v>
      </c>
    </row>
    <row r="10007" spans="1:9" x14ac:dyDescent="0.25">
      <c r="A10007" t="s">
        <v>6</v>
      </c>
      <c r="B10007" s="1">
        <v>46074</v>
      </c>
      <c r="C10007">
        <v>22</v>
      </c>
      <c r="D10007">
        <v>931.14</v>
      </c>
      <c r="E10007">
        <v>250.74</v>
      </c>
      <c r="F10007" t="s">
        <v>7</v>
      </c>
      <c r="G10007" t="s">
        <v>11</v>
      </c>
      <c r="H10007" s="5">
        <f>MONTH(Tabela1[[#This Row],[data]])</f>
        <v>2</v>
      </c>
      <c r="I10007">
        <f>YEAR(Tabela1[[#This Row],[data]])</f>
        <v>2026</v>
      </c>
    </row>
    <row r="10008" spans="1:9" x14ac:dyDescent="0.25">
      <c r="A10008" t="s">
        <v>6</v>
      </c>
      <c r="B10008" s="1">
        <v>46074</v>
      </c>
      <c r="C10008">
        <v>23</v>
      </c>
      <c r="D10008">
        <v>484.68</v>
      </c>
      <c r="E10008">
        <v>55.44</v>
      </c>
      <c r="F10008" t="s">
        <v>7</v>
      </c>
      <c r="G10008" t="s">
        <v>11</v>
      </c>
      <c r="H10008" s="5">
        <f>MONTH(Tabela1[[#This Row],[data]])</f>
        <v>2</v>
      </c>
      <c r="I10008">
        <f>YEAR(Tabela1[[#This Row],[data]])</f>
        <v>2026</v>
      </c>
    </row>
    <row r="10009" spans="1:9" x14ac:dyDescent="0.25">
      <c r="A10009" t="s">
        <v>6</v>
      </c>
      <c r="B10009" s="1">
        <v>46074</v>
      </c>
      <c r="C10009">
        <v>24</v>
      </c>
      <c r="D10009">
        <v>274.26</v>
      </c>
      <c r="E10009">
        <v>0</v>
      </c>
      <c r="F10009" t="s">
        <v>7</v>
      </c>
      <c r="G10009" t="s">
        <v>11</v>
      </c>
      <c r="H10009" s="5">
        <f>MONTH(Tabela1[[#This Row],[data]])</f>
        <v>2</v>
      </c>
      <c r="I10009">
        <f>YEAR(Tabela1[[#This Row],[data]])</f>
        <v>2026</v>
      </c>
    </row>
    <row r="10010" spans="1:9" x14ac:dyDescent="0.25">
      <c r="A10010" t="s">
        <v>6</v>
      </c>
      <c r="B10010" s="1">
        <v>46075</v>
      </c>
      <c r="C10010">
        <v>1</v>
      </c>
      <c r="D10010">
        <v>241.92</v>
      </c>
      <c r="E10010">
        <v>0</v>
      </c>
      <c r="F10010" t="s">
        <v>7</v>
      </c>
      <c r="G10010" t="s">
        <v>11</v>
      </c>
      <c r="H10010" s="5">
        <f>MONTH(Tabela1[[#This Row],[data]])</f>
        <v>2</v>
      </c>
      <c r="I10010">
        <f>YEAR(Tabela1[[#This Row],[data]])</f>
        <v>2026</v>
      </c>
    </row>
    <row r="10011" spans="1:9" x14ac:dyDescent="0.25">
      <c r="A10011" t="s">
        <v>6</v>
      </c>
      <c r="B10011" s="1">
        <v>46075</v>
      </c>
      <c r="C10011">
        <v>2</v>
      </c>
      <c r="D10011">
        <v>225.54</v>
      </c>
      <c r="E10011">
        <v>0</v>
      </c>
      <c r="F10011" t="s">
        <v>7</v>
      </c>
      <c r="G10011" t="s">
        <v>11</v>
      </c>
      <c r="H10011" s="5">
        <f>MONTH(Tabela1[[#This Row],[data]])</f>
        <v>2</v>
      </c>
      <c r="I10011">
        <f>YEAR(Tabela1[[#This Row],[data]])</f>
        <v>2026</v>
      </c>
    </row>
    <row r="10012" spans="1:9" x14ac:dyDescent="0.25">
      <c r="A10012" t="s">
        <v>6</v>
      </c>
      <c r="B10012" s="1">
        <v>46075</v>
      </c>
      <c r="C10012">
        <v>3</v>
      </c>
      <c r="D10012">
        <v>219.66</v>
      </c>
      <c r="E10012">
        <v>0</v>
      </c>
      <c r="F10012" t="s">
        <v>7</v>
      </c>
      <c r="G10012" t="s">
        <v>11</v>
      </c>
      <c r="H10012" s="5">
        <f>MONTH(Tabela1[[#This Row],[data]])</f>
        <v>2</v>
      </c>
      <c r="I10012">
        <f>YEAR(Tabela1[[#This Row],[data]])</f>
        <v>2026</v>
      </c>
    </row>
    <row r="10013" spans="1:9" x14ac:dyDescent="0.25">
      <c r="A10013" t="s">
        <v>6</v>
      </c>
      <c r="B10013" s="1">
        <v>46075</v>
      </c>
      <c r="C10013">
        <v>4</v>
      </c>
      <c r="D10013">
        <v>221.76</v>
      </c>
      <c r="E10013">
        <v>0</v>
      </c>
      <c r="F10013" t="s">
        <v>7</v>
      </c>
      <c r="G10013" t="s">
        <v>11</v>
      </c>
      <c r="H10013" s="5">
        <f>MONTH(Tabela1[[#This Row],[data]])</f>
        <v>2</v>
      </c>
      <c r="I10013">
        <f>YEAR(Tabela1[[#This Row],[data]])</f>
        <v>2026</v>
      </c>
    </row>
    <row r="10014" spans="1:9" x14ac:dyDescent="0.25">
      <c r="A10014" t="s">
        <v>6</v>
      </c>
      <c r="B10014" s="1">
        <v>46075</v>
      </c>
      <c r="C10014">
        <v>5</v>
      </c>
      <c r="D10014">
        <v>224.28</v>
      </c>
      <c r="E10014">
        <v>0</v>
      </c>
      <c r="F10014" t="s">
        <v>7</v>
      </c>
      <c r="G10014" t="s">
        <v>11</v>
      </c>
      <c r="H10014" s="5">
        <f>MONTH(Tabela1[[#This Row],[data]])</f>
        <v>2</v>
      </c>
      <c r="I10014">
        <f>YEAR(Tabela1[[#This Row],[data]])</f>
        <v>2026</v>
      </c>
    </row>
    <row r="10015" spans="1:9" x14ac:dyDescent="0.25">
      <c r="A10015" t="s">
        <v>6</v>
      </c>
      <c r="B10015" s="1">
        <v>46075</v>
      </c>
      <c r="C10015">
        <v>6</v>
      </c>
      <c r="D10015">
        <v>217.14</v>
      </c>
      <c r="E10015">
        <v>0</v>
      </c>
      <c r="F10015" t="s">
        <v>7</v>
      </c>
      <c r="G10015" t="s">
        <v>11</v>
      </c>
      <c r="H10015" s="5">
        <f>MONTH(Tabela1[[#This Row],[data]])</f>
        <v>2</v>
      </c>
      <c r="I10015">
        <f>YEAR(Tabela1[[#This Row],[data]])</f>
        <v>2026</v>
      </c>
    </row>
    <row r="10016" spans="1:9" x14ac:dyDescent="0.25">
      <c r="A10016" t="s">
        <v>6</v>
      </c>
      <c r="B10016" s="1">
        <v>46075</v>
      </c>
      <c r="C10016">
        <v>7</v>
      </c>
      <c r="D10016">
        <v>220.5</v>
      </c>
      <c r="E10016">
        <v>0</v>
      </c>
      <c r="F10016" t="s">
        <v>7</v>
      </c>
      <c r="G10016" t="s">
        <v>11</v>
      </c>
      <c r="H10016" s="5">
        <f>MONTH(Tabela1[[#This Row],[data]])</f>
        <v>2</v>
      </c>
      <c r="I10016">
        <f>YEAR(Tabela1[[#This Row],[data]])</f>
        <v>2026</v>
      </c>
    </row>
    <row r="10017" spans="1:9" x14ac:dyDescent="0.25">
      <c r="A10017" t="s">
        <v>6</v>
      </c>
      <c r="B10017" s="1">
        <v>46075</v>
      </c>
      <c r="C10017">
        <v>8</v>
      </c>
      <c r="D10017">
        <v>220.5</v>
      </c>
      <c r="E10017">
        <v>0</v>
      </c>
      <c r="F10017" t="s">
        <v>7</v>
      </c>
      <c r="G10017" t="s">
        <v>11</v>
      </c>
      <c r="H10017" s="5">
        <f>MONTH(Tabela1[[#This Row],[data]])</f>
        <v>2</v>
      </c>
      <c r="I10017">
        <f>YEAR(Tabela1[[#This Row],[data]])</f>
        <v>2026</v>
      </c>
    </row>
    <row r="10018" spans="1:9" x14ac:dyDescent="0.25">
      <c r="A10018" t="s">
        <v>6</v>
      </c>
      <c r="B10018" s="1">
        <v>46075</v>
      </c>
      <c r="C10018">
        <v>9</v>
      </c>
      <c r="D10018">
        <v>274.26</v>
      </c>
      <c r="E10018">
        <v>0</v>
      </c>
      <c r="F10018" t="s">
        <v>7</v>
      </c>
      <c r="G10018" t="s">
        <v>11</v>
      </c>
      <c r="H10018" s="5">
        <f>MONTH(Tabela1[[#This Row],[data]])</f>
        <v>2</v>
      </c>
      <c r="I10018">
        <f>YEAR(Tabela1[[#This Row],[data]])</f>
        <v>2026</v>
      </c>
    </row>
    <row r="10019" spans="1:9" x14ac:dyDescent="0.25">
      <c r="A10019" t="s">
        <v>6</v>
      </c>
      <c r="B10019" s="1">
        <v>46075</v>
      </c>
      <c r="C10019">
        <v>10</v>
      </c>
      <c r="D10019">
        <v>346.5</v>
      </c>
      <c r="E10019">
        <v>1.26</v>
      </c>
      <c r="F10019" t="s">
        <v>7</v>
      </c>
      <c r="G10019" t="s">
        <v>11</v>
      </c>
      <c r="H10019" s="5">
        <f>MONTH(Tabela1[[#This Row],[data]])</f>
        <v>2</v>
      </c>
      <c r="I10019">
        <f>YEAR(Tabela1[[#This Row],[data]])</f>
        <v>2026</v>
      </c>
    </row>
    <row r="10020" spans="1:9" x14ac:dyDescent="0.25">
      <c r="A10020" t="s">
        <v>6</v>
      </c>
      <c r="B10020" s="1">
        <v>46075</v>
      </c>
      <c r="C10020">
        <v>11</v>
      </c>
      <c r="D10020">
        <v>663.18</v>
      </c>
      <c r="E10020">
        <v>132.72</v>
      </c>
      <c r="F10020" t="s">
        <v>7</v>
      </c>
      <c r="G10020" t="s">
        <v>11</v>
      </c>
      <c r="H10020" s="5">
        <f>MONTH(Tabela1[[#This Row],[data]])</f>
        <v>2</v>
      </c>
      <c r="I10020">
        <f>YEAR(Tabela1[[#This Row],[data]])</f>
        <v>2026</v>
      </c>
    </row>
    <row r="10021" spans="1:9" x14ac:dyDescent="0.25">
      <c r="A10021" t="s">
        <v>6</v>
      </c>
      <c r="B10021" s="1">
        <v>46075</v>
      </c>
      <c r="C10021">
        <v>12</v>
      </c>
      <c r="D10021">
        <v>763.56</v>
      </c>
      <c r="E10021">
        <v>165.48</v>
      </c>
      <c r="F10021" t="s">
        <v>7</v>
      </c>
      <c r="G10021" t="s">
        <v>11</v>
      </c>
      <c r="H10021" s="5">
        <f>MONTH(Tabela1[[#This Row],[data]])</f>
        <v>2</v>
      </c>
      <c r="I10021">
        <f>YEAR(Tabela1[[#This Row],[data]])</f>
        <v>2026</v>
      </c>
    </row>
    <row r="10022" spans="1:9" x14ac:dyDescent="0.25">
      <c r="A10022" t="s">
        <v>6</v>
      </c>
      <c r="B10022" s="1">
        <v>46075</v>
      </c>
      <c r="C10022">
        <v>13</v>
      </c>
      <c r="D10022">
        <v>858.48</v>
      </c>
      <c r="E10022">
        <v>202.86</v>
      </c>
      <c r="F10022" t="s">
        <v>7</v>
      </c>
      <c r="G10022" t="s">
        <v>11</v>
      </c>
      <c r="H10022" s="5">
        <f>MONTH(Tabela1[[#This Row],[data]])</f>
        <v>2</v>
      </c>
      <c r="I10022">
        <f>YEAR(Tabela1[[#This Row],[data]])</f>
        <v>2026</v>
      </c>
    </row>
    <row r="10023" spans="1:9" x14ac:dyDescent="0.25">
      <c r="A10023" t="s">
        <v>6</v>
      </c>
      <c r="B10023" s="1">
        <v>46075</v>
      </c>
      <c r="C10023">
        <v>14</v>
      </c>
      <c r="D10023">
        <v>929.04</v>
      </c>
      <c r="E10023">
        <v>225.54</v>
      </c>
      <c r="F10023" t="s">
        <v>7</v>
      </c>
      <c r="G10023" t="s">
        <v>11</v>
      </c>
      <c r="H10023" s="5">
        <f>MONTH(Tabela1[[#This Row],[data]])</f>
        <v>2</v>
      </c>
      <c r="I10023">
        <f>YEAR(Tabela1[[#This Row],[data]])</f>
        <v>2026</v>
      </c>
    </row>
    <row r="10024" spans="1:9" x14ac:dyDescent="0.25">
      <c r="A10024" t="s">
        <v>6</v>
      </c>
      <c r="B10024" s="1">
        <v>46075</v>
      </c>
      <c r="C10024">
        <v>15</v>
      </c>
      <c r="D10024">
        <v>958.86</v>
      </c>
      <c r="E10024">
        <v>243.6</v>
      </c>
      <c r="F10024" t="s">
        <v>7</v>
      </c>
      <c r="G10024" t="s">
        <v>11</v>
      </c>
      <c r="H10024" s="5">
        <f>MONTH(Tabela1[[#This Row],[data]])</f>
        <v>2</v>
      </c>
      <c r="I10024">
        <f>YEAR(Tabela1[[#This Row],[data]])</f>
        <v>2026</v>
      </c>
    </row>
    <row r="10025" spans="1:9" x14ac:dyDescent="0.25">
      <c r="A10025" t="s">
        <v>6</v>
      </c>
      <c r="B10025" s="1">
        <v>46075</v>
      </c>
      <c r="C10025">
        <v>16</v>
      </c>
      <c r="D10025">
        <v>948.78</v>
      </c>
      <c r="E10025">
        <v>240.24</v>
      </c>
      <c r="F10025" t="s">
        <v>7</v>
      </c>
      <c r="G10025" t="s">
        <v>11</v>
      </c>
      <c r="H10025" s="5">
        <f>MONTH(Tabela1[[#This Row],[data]])</f>
        <v>2</v>
      </c>
      <c r="I10025">
        <f>YEAR(Tabela1[[#This Row],[data]])</f>
        <v>2026</v>
      </c>
    </row>
    <row r="10026" spans="1:9" x14ac:dyDescent="0.25">
      <c r="A10026" t="s">
        <v>6</v>
      </c>
      <c r="B10026" s="1">
        <v>46075</v>
      </c>
      <c r="C10026">
        <v>17</v>
      </c>
      <c r="D10026">
        <v>937.44</v>
      </c>
      <c r="E10026">
        <v>236.04</v>
      </c>
      <c r="F10026" t="s">
        <v>7</v>
      </c>
      <c r="G10026" t="s">
        <v>11</v>
      </c>
      <c r="H10026" s="5">
        <f>MONTH(Tabela1[[#This Row],[data]])</f>
        <v>2</v>
      </c>
      <c r="I10026">
        <f>YEAR(Tabela1[[#This Row],[data]])</f>
        <v>2026</v>
      </c>
    </row>
    <row r="10027" spans="1:9" x14ac:dyDescent="0.25">
      <c r="A10027" t="s">
        <v>6</v>
      </c>
      <c r="B10027" s="1">
        <v>46075</v>
      </c>
      <c r="C10027">
        <v>18</v>
      </c>
      <c r="D10027">
        <v>914.34</v>
      </c>
      <c r="E10027">
        <v>219.66</v>
      </c>
      <c r="F10027" t="s">
        <v>7</v>
      </c>
      <c r="G10027" t="s">
        <v>11</v>
      </c>
      <c r="H10027" s="5">
        <f>MONTH(Tabela1[[#This Row],[data]])</f>
        <v>2</v>
      </c>
      <c r="I10027">
        <f>YEAR(Tabela1[[#This Row],[data]])</f>
        <v>2026</v>
      </c>
    </row>
    <row r="10028" spans="1:9" x14ac:dyDescent="0.25">
      <c r="A10028" t="s">
        <v>6</v>
      </c>
      <c r="B10028" s="1">
        <v>46075</v>
      </c>
      <c r="C10028">
        <v>19</v>
      </c>
      <c r="D10028">
        <v>902.16</v>
      </c>
      <c r="E10028">
        <v>209.16</v>
      </c>
      <c r="F10028" t="s">
        <v>7</v>
      </c>
      <c r="G10028" t="s">
        <v>11</v>
      </c>
      <c r="H10028" s="5">
        <f>MONTH(Tabela1[[#This Row],[data]])</f>
        <v>2</v>
      </c>
      <c r="I10028">
        <f>YEAR(Tabela1[[#This Row],[data]])</f>
        <v>2026</v>
      </c>
    </row>
    <row r="10029" spans="1:9" x14ac:dyDescent="0.25">
      <c r="A10029" t="s">
        <v>6</v>
      </c>
      <c r="B10029" s="1">
        <v>46075</v>
      </c>
      <c r="C10029">
        <v>20</v>
      </c>
      <c r="D10029">
        <v>889.14</v>
      </c>
      <c r="E10029">
        <v>197.82</v>
      </c>
      <c r="F10029" t="s">
        <v>7</v>
      </c>
      <c r="G10029" t="s">
        <v>11</v>
      </c>
      <c r="H10029" s="5">
        <f>MONTH(Tabela1[[#This Row],[data]])</f>
        <v>2</v>
      </c>
      <c r="I10029">
        <f>YEAR(Tabela1[[#This Row],[data]])</f>
        <v>2026</v>
      </c>
    </row>
    <row r="10030" spans="1:9" x14ac:dyDescent="0.25">
      <c r="A10030" t="s">
        <v>6</v>
      </c>
      <c r="B10030" s="1">
        <v>46075</v>
      </c>
      <c r="C10030">
        <v>21</v>
      </c>
      <c r="D10030">
        <v>811.02</v>
      </c>
      <c r="E10030">
        <v>175.98</v>
      </c>
      <c r="F10030" t="s">
        <v>7</v>
      </c>
      <c r="G10030" t="s">
        <v>11</v>
      </c>
      <c r="H10030" s="5">
        <f>MONTH(Tabela1[[#This Row],[data]])</f>
        <v>2</v>
      </c>
      <c r="I10030">
        <f>YEAR(Tabela1[[#This Row],[data]])</f>
        <v>2026</v>
      </c>
    </row>
    <row r="10031" spans="1:9" x14ac:dyDescent="0.25">
      <c r="A10031" t="s">
        <v>6</v>
      </c>
      <c r="B10031" s="1">
        <v>46075</v>
      </c>
      <c r="C10031">
        <v>22</v>
      </c>
      <c r="D10031">
        <v>615.72</v>
      </c>
      <c r="E10031">
        <v>121.38</v>
      </c>
      <c r="F10031" t="s">
        <v>7</v>
      </c>
      <c r="G10031" t="s">
        <v>11</v>
      </c>
      <c r="H10031" s="5">
        <f>MONTH(Tabela1[[#This Row],[data]])</f>
        <v>2</v>
      </c>
      <c r="I10031">
        <f>YEAR(Tabela1[[#This Row],[data]])</f>
        <v>2026</v>
      </c>
    </row>
    <row r="10032" spans="1:9" x14ac:dyDescent="0.25">
      <c r="A10032" t="s">
        <v>6</v>
      </c>
      <c r="B10032" s="1">
        <v>46075</v>
      </c>
      <c r="C10032">
        <v>23</v>
      </c>
      <c r="D10032">
        <v>325.08</v>
      </c>
      <c r="E10032">
        <v>0.84</v>
      </c>
      <c r="F10032" t="s">
        <v>7</v>
      </c>
      <c r="G10032" t="s">
        <v>11</v>
      </c>
      <c r="H10032" s="5">
        <f>MONTH(Tabela1[[#This Row],[data]])</f>
        <v>2</v>
      </c>
      <c r="I10032">
        <f>YEAR(Tabela1[[#This Row],[data]])</f>
        <v>2026</v>
      </c>
    </row>
    <row r="10033" spans="1:9" x14ac:dyDescent="0.25">
      <c r="A10033" t="s">
        <v>6</v>
      </c>
      <c r="B10033" s="1">
        <v>46075</v>
      </c>
      <c r="C10033">
        <v>24</v>
      </c>
      <c r="D10033">
        <v>275.94</v>
      </c>
      <c r="E10033">
        <v>0</v>
      </c>
      <c r="F10033" t="s">
        <v>7</v>
      </c>
      <c r="G10033" t="s">
        <v>11</v>
      </c>
      <c r="H10033" s="5">
        <f>MONTH(Tabela1[[#This Row],[data]])</f>
        <v>2</v>
      </c>
      <c r="I10033">
        <f>YEAR(Tabela1[[#This Row],[data]])</f>
        <v>2026</v>
      </c>
    </row>
    <row r="10034" spans="1:9" x14ac:dyDescent="0.25">
      <c r="A10034" t="s">
        <v>6</v>
      </c>
      <c r="B10034" s="1">
        <v>46076</v>
      </c>
      <c r="C10034">
        <v>1</v>
      </c>
      <c r="D10034">
        <v>231.84</v>
      </c>
      <c r="E10034">
        <v>0</v>
      </c>
      <c r="F10034" t="s">
        <v>7</v>
      </c>
      <c r="G10034" t="s">
        <v>12</v>
      </c>
      <c r="H10034" s="5">
        <f>MONTH(Tabela1[[#This Row],[data]])</f>
        <v>2</v>
      </c>
      <c r="I10034">
        <f>YEAR(Tabela1[[#This Row],[data]])</f>
        <v>2026</v>
      </c>
    </row>
    <row r="10035" spans="1:9" x14ac:dyDescent="0.25">
      <c r="A10035" t="s">
        <v>6</v>
      </c>
      <c r="B10035" s="1">
        <v>46076</v>
      </c>
      <c r="C10035">
        <v>2</v>
      </c>
      <c r="D10035">
        <v>230.16</v>
      </c>
      <c r="E10035">
        <v>0</v>
      </c>
      <c r="F10035" t="s">
        <v>7</v>
      </c>
      <c r="G10035" t="s">
        <v>12</v>
      </c>
      <c r="H10035" s="5">
        <f>MONTH(Tabela1[[#This Row],[data]])</f>
        <v>2</v>
      </c>
      <c r="I10035">
        <f>YEAR(Tabela1[[#This Row],[data]])</f>
        <v>2026</v>
      </c>
    </row>
    <row r="10036" spans="1:9" x14ac:dyDescent="0.25">
      <c r="A10036" t="s">
        <v>6</v>
      </c>
      <c r="B10036" s="1">
        <v>46076</v>
      </c>
      <c r="C10036">
        <v>3</v>
      </c>
      <c r="D10036">
        <v>225.96</v>
      </c>
      <c r="E10036">
        <v>0</v>
      </c>
      <c r="F10036" t="s">
        <v>7</v>
      </c>
      <c r="G10036" t="s">
        <v>12</v>
      </c>
      <c r="H10036" s="5">
        <f>MONTH(Tabela1[[#This Row],[data]])</f>
        <v>2</v>
      </c>
      <c r="I10036">
        <f>YEAR(Tabela1[[#This Row],[data]])</f>
        <v>2026</v>
      </c>
    </row>
    <row r="10037" spans="1:9" x14ac:dyDescent="0.25">
      <c r="A10037" t="s">
        <v>6</v>
      </c>
      <c r="B10037" s="1">
        <v>46076</v>
      </c>
      <c r="C10037">
        <v>4</v>
      </c>
      <c r="D10037">
        <v>227.64</v>
      </c>
      <c r="E10037">
        <v>0</v>
      </c>
      <c r="F10037" t="s">
        <v>7</v>
      </c>
      <c r="G10037" t="s">
        <v>12</v>
      </c>
      <c r="H10037" s="5">
        <f>MONTH(Tabela1[[#This Row],[data]])</f>
        <v>2</v>
      </c>
      <c r="I10037">
        <f>YEAR(Tabela1[[#This Row],[data]])</f>
        <v>2026</v>
      </c>
    </row>
    <row r="10038" spans="1:9" x14ac:dyDescent="0.25">
      <c r="A10038" t="s">
        <v>6</v>
      </c>
      <c r="B10038" s="1">
        <v>46076</v>
      </c>
      <c r="C10038">
        <v>5</v>
      </c>
      <c r="D10038">
        <v>222.6</v>
      </c>
      <c r="E10038">
        <v>0</v>
      </c>
      <c r="F10038" t="s">
        <v>7</v>
      </c>
      <c r="G10038" t="s">
        <v>12</v>
      </c>
      <c r="H10038" s="5">
        <f>MONTH(Tabela1[[#This Row],[data]])</f>
        <v>2</v>
      </c>
      <c r="I10038">
        <f>YEAR(Tabela1[[#This Row],[data]])</f>
        <v>2026</v>
      </c>
    </row>
    <row r="10039" spans="1:9" x14ac:dyDescent="0.25">
      <c r="A10039" t="s">
        <v>6</v>
      </c>
      <c r="B10039" s="1">
        <v>46076</v>
      </c>
      <c r="C10039">
        <v>6</v>
      </c>
      <c r="D10039">
        <v>220.08</v>
      </c>
      <c r="E10039">
        <v>0</v>
      </c>
      <c r="F10039" t="s">
        <v>7</v>
      </c>
      <c r="G10039" t="s">
        <v>12</v>
      </c>
      <c r="H10039" s="5">
        <f>MONTH(Tabela1[[#This Row],[data]])</f>
        <v>2</v>
      </c>
      <c r="I10039">
        <f>YEAR(Tabela1[[#This Row],[data]])</f>
        <v>2026</v>
      </c>
    </row>
    <row r="10040" spans="1:9" x14ac:dyDescent="0.25">
      <c r="A10040" t="s">
        <v>6</v>
      </c>
      <c r="B10040" s="1">
        <v>46076</v>
      </c>
      <c r="C10040">
        <v>7</v>
      </c>
      <c r="D10040">
        <v>230.58</v>
      </c>
      <c r="E10040">
        <v>0</v>
      </c>
      <c r="F10040" t="s">
        <v>7</v>
      </c>
      <c r="G10040" t="s">
        <v>12</v>
      </c>
      <c r="H10040" s="5">
        <f>MONTH(Tabela1[[#This Row],[data]])</f>
        <v>2</v>
      </c>
      <c r="I10040">
        <f>YEAR(Tabela1[[#This Row],[data]])</f>
        <v>2026</v>
      </c>
    </row>
    <row r="10041" spans="1:9" x14ac:dyDescent="0.25">
      <c r="A10041" t="s">
        <v>6</v>
      </c>
      <c r="B10041" s="1">
        <v>46076</v>
      </c>
      <c r="C10041">
        <v>8</v>
      </c>
      <c r="D10041">
        <v>270.89999999999998</v>
      </c>
      <c r="E10041">
        <v>0</v>
      </c>
      <c r="F10041" t="s">
        <v>7</v>
      </c>
      <c r="G10041" t="s">
        <v>12</v>
      </c>
      <c r="H10041" s="5">
        <f>MONTH(Tabela1[[#This Row],[data]])</f>
        <v>2</v>
      </c>
      <c r="I10041">
        <f>YEAR(Tabela1[[#This Row],[data]])</f>
        <v>2026</v>
      </c>
    </row>
    <row r="10042" spans="1:9" x14ac:dyDescent="0.25">
      <c r="A10042" t="s">
        <v>6</v>
      </c>
      <c r="B10042" s="1">
        <v>46076</v>
      </c>
      <c r="C10042">
        <v>9</v>
      </c>
      <c r="D10042">
        <v>360.78</v>
      </c>
      <c r="E10042">
        <v>5.46</v>
      </c>
      <c r="F10042" t="s">
        <v>7</v>
      </c>
      <c r="G10042" t="s">
        <v>12</v>
      </c>
      <c r="H10042" s="5">
        <f>MONTH(Tabela1[[#This Row],[data]])</f>
        <v>2</v>
      </c>
      <c r="I10042">
        <f>YEAR(Tabela1[[#This Row],[data]])</f>
        <v>2026</v>
      </c>
    </row>
    <row r="10043" spans="1:9" x14ac:dyDescent="0.25">
      <c r="A10043" t="s">
        <v>6</v>
      </c>
      <c r="B10043" s="1">
        <v>46076</v>
      </c>
      <c r="C10043">
        <v>10</v>
      </c>
      <c r="D10043">
        <v>535.08000000000004</v>
      </c>
      <c r="E10043">
        <v>64.260000000000005</v>
      </c>
      <c r="F10043" t="s">
        <v>7</v>
      </c>
      <c r="G10043" t="s">
        <v>12</v>
      </c>
      <c r="H10043" s="5">
        <f>MONTH(Tabela1[[#This Row],[data]])</f>
        <v>2</v>
      </c>
      <c r="I10043">
        <f>YEAR(Tabela1[[#This Row],[data]])</f>
        <v>2026</v>
      </c>
    </row>
    <row r="10044" spans="1:9" x14ac:dyDescent="0.25">
      <c r="A10044" t="s">
        <v>6</v>
      </c>
      <c r="B10044" s="1">
        <v>46076</v>
      </c>
      <c r="C10044">
        <v>11</v>
      </c>
      <c r="D10044" s="2">
        <v>1108.3800000000001</v>
      </c>
      <c r="E10044">
        <v>303.24</v>
      </c>
      <c r="F10044" t="s">
        <v>7</v>
      </c>
      <c r="G10044" t="s">
        <v>12</v>
      </c>
      <c r="H10044" s="5">
        <f>MONTH(Tabela1[[#This Row],[data]])</f>
        <v>2</v>
      </c>
      <c r="I10044">
        <f>YEAR(Tabela1[[#This Row],[data]])</f>
        <v>2026</v>
      </c>
    </row>
    <row r="10045" spans="1:9" x14ac:dyDescent="0.25">
      <c r="A10045" t="s">
        <v>6</v>
      </c>
      <c r="B10045" s="1">
        <v>46076</v>
      </c>
      <c r="C10045">
        <v>12</v>
      </c>
      <c r="D10045" s="2">
        <v>1052.52</v>
      </c>
      <c r="E10045">
        <v>300.3</v>
      </c>
      <c r="F10045" t="s">
        <v>7</v>
      </c>
      <c r="G10045" t="s">
        <v>12</v>
      </c>
      <c r="H10045" s="5">
        <f>MONTH(Tabela1[[#This Row],[data]])</f>
        <v>2</v>
      </c>
      <c r="I10045">
        <f>YEAR(Tabela1[[#This Row],[data]])</f>
        <v>2026</v>
      </c>
    </row>
    <row r="10046" spans="1:9" x14ac:dyDescent="0.25">
      <c r="A10046" t="s">
        <v>6</v>
      </c>
      <c r="B10046" s="1">
        <v>46076</v>
      </c>
      <c r="C10046">
        <v>13</v>
      </c>
      <c r="D10046" s="2">
        <v>1029</v>
      </c>
      <c r="E10046">
        <v>290.64</v>
      </c>
      <c r="F10046" t="s">
        <v>7</v>
      </c>
      <c r="G10046" t="s">
        <v>12</v>
      </c>
      <c r="H10046" s="5">
        <f>MONTH(Tabela1[[#This Row],[data]])</f>
        <v>2</v>
      </c>
      <c r="I10046">
        <f>YEAR(Tabela1[[#This Row],[data]])</f>
        <v>2026</v>
      </c>
    </row>
    <row r="10047" spans="1:9" x14ac:dyDescent="0.25">
      <c r="A10047" t="s">
        <v>6</v>
      </c>
      <c r="B10047" s="1">
        <v>46076</v>
      </c>
      <c r="C10047">
        <v>14</v>
      </c>
      <c r="D10047" s="2">
        <v>1051.26</v>
      </c>
      <c r="E10047">
        <v>281.82</v>
      </c>
      <c r="F10047" t="s">
        <v>7</v>
      </c>
      <c r="G10047" t="s">
        <v>12</v>
      </c>
      <c r="H10047" s="5">
        <f>MONTH(Tabela1[[#This Row],[data]])</f>
        <v>2</v>
      </c>
      <c r="I10047">
        <f>YEAR(Tabela1[[#This Row],[data]])</f>
        <v>2026</v>
      </c>
    </row>
    <row r="10048" spans="1:9" x14ac:dyDescent="0.25">
      <c r="A10048" t="s">
        <v>6</v>
      </c>
      <c r="B10048" s="1">
        <v>46076</v>
      </c>
      <c r="C10048">
        <v>15</v>
      </c>
      <c r="D10048" s="2">
        <v>1035.3</v>
      </c>
      <c r="E10048">
        <v>273.83999999999997</v>
      </c>
      <c r="F10048" t="s">
        <v>7</v>
      </c>
      <c r="G10048" t="s">
        <v>12</v>
      </c>
      <c r="H10048" s="5">
        <f>MONTH(Tabela1[[#This Row],[data]])</f>
        <v>2</v>
      </c>
      <c r="I10048">
        <f>YEAR(Tabela1[[#This Row],[data]])</f>
        <v>2026</v>
      </c>
    </row>
    <row r="10049" spans="1:9" x14ac:dyDescent="0.25">
      <c r="A10049" t="s">
        <v>6</v>
      </c>
      <c r="B10049" s="1">
        <v>46076</v>
      </c>
      <c r="C10049">
        <v>16</v>
      </c>
      <c r="D10049" s="2">
        <v>1036.56</v>
      </c>
      <c r="E10049">
        <v>273.42</v>
      </c>
      <c r="F10049" t="s">
        <v>7</v>
      </c>
      <c r="G10049" t="s">
        <v>12</v>
      </c>
      <c r="H10049" s="5">
        <f>MONTH(Tabela1[[#This Row],[data]])</f>
        <v>2</v>
      </c>
      <c r="I10049">
        <f>YEAR(Tabela1[[#This Row],[data]])</f>
        <v>2026</v>
      </c>
    </row>
    <row r="10050" spans="1:9" x14ac:dyDescent="0.25">
      <c r="A10050" t="s">
        <v>6</v>
      </c>
      <c r="B10050" s="1">
        <v>46076</v>
      </c>
      <c r="C10050">
        <v>17</v>
      </c>
      <c r="D10050" s="2">
        <v>1026.48</v>
      </c>
      <c r="E10050">
        <v>283.5</v>
      </c>
      <c r="F10050" t="s">
        <v>7</v>
      </c>
      <c r="G10050" t="s">
        <v>12</v>
      </c>
      <c r="H10050" s="5">
        <f>MONTH(Tabela1[[#This Row],[data]])</f>
        <v>2</v>
      </c>
      <c r="I10050">
        <f>YEAR(Tabela1[[#This Row],[data]])</f>
        <v>2026</v>
      </c>
    </row>
    <row r="10051" spans="1:9" x14ac:dyDescent="0.25">
      <c r="A10051" t="s">
        <v>6</v>
      </c>
      <c r="B10051" s="1">
        <v>46076</v>
      </c>
      <c r="C10051">
        <v>18</v>
      </c>
      <c r="D10051" s="2">
        <v>1006.32</v>
      </c>
      <c r="E10051">
        <v>275.52</v>
      </c>
      <c r="F10051" t="s">
        <v>7</v>
      </c>
      <c r="G10051" t="s">
        <v>12</v>
      </c>
      <c r="H10051" s="5">
        <f>MONTH(Tabela1[[#This Row],[data]])</f>
        <v>2</v>
      </c>
      <c r="I10051">
        <f>YEAR(Tabela1[[#This Row],[data]])</f>
        <v>2026</v>
      </c>
    </row>
    <row r="10052" spans="1:9" x14ac:dyDescent="0.25">
      <c r="A10052" t="s">
        <v>6</v>
      </c>
      <c r="B10052" s="1">
        <v>46076</v>
      </c>
      <c r="C10052">
        <v>19</v>
      </c>
      <c r="D10052">
        <v>939.54</v>
      </c>
      <c r="E10052">
        <v>210</v>
      </c>
      <c r="F10052" t="s">
        <v>7</v>
      </c>
      <c r="G10052" t="s">
        <v>12</v>
      </c>
      <c r="H10052" s="5">
        <f>MONTH(Tabela1[[#This Row],[data]])</f>
        <v>2</v>
      </c>
      <c r="I10052">
        <f>YEAR(Tabela1[[#This Row],[data]])</f>
        <v>2026</v>
      </c>
    </row>
    <row r="10053" spans="1:9" x14ac:dyDescent="0.25">
      <c r="A10053" t="s">
        <v>6</v>
      </c>
      <c r="B10053" s="1">
        <v>46076</v>
      </c>
      <c r="C10053">
        <v>20</v>
      </c>
      <c r="D10053">
        <v>933.66</v>
      </c>
      <c r="E10053">
        <v>217.98</v>
      </c>
      <c r="F10053" t="s">
        <v>7</v>
      </c>
      <c r="G10053" t="s">
        <v>12</v>
      </c>
      <c r="H10053" s="5">
        <f>MONTH(Tabela1[[#This Row],[data]])</f>
        <v>2</v>
      </c>
      <c r="I10053">
        <f>YEAR(Tabela1[[#This Row],[data]])</f>
        <v>2026</v>
      </c>
    </row>
    <row r="10054" spans="1:9" x14ac:dyDescent="0.25">
      <c r="A10054" t="s">
        <v>6</v>
      </c>
      <c r="B10054" s="1">
        <v>46076</v>
      </c>
      <c r="C10054">
        <v>21</v>
      </c>
      <c r="D10054">
        <v>910.98</v>
      </c>
      <c r="E10054">
        <v>217.98</v>
      </c>
      <c r="F10054" t="s">
        <v>7</v>
      </c>
      <c r="G10054" t="s">
        <v>12</v>
      </c>
      <c r="H10054" s="5">
        <f>MONTH(Tabela1[[#This Row],[data]])</f>
        <v>2</v>
      </c>
      <c r="I10054">
        <f>YEAR(Tabela1[[#This Row],[data]])</f>
        <v>2026</v>
      </c>
    </row>
    <row r="10055" spans="1:9" x14ac:dyDescent="0.25">
      <c r="A10055" t="s">
        <v>6</v>
      </c>
      <c r="B10055" s="1">
        <v>46076</v>
      </c>
      <c r="C10055">
        <v>22</v>
      </c>
      <c r="D10055">
        <v>769.44</v>
      </c>
      <c r="E10055">
        <v>143.63999999999999</v>
      </c>
      <c r="F10055" t="s">
        <v>7</v>
      </c>
      <c r="G10055" t="s">
        <v>12</v>
      </c>
      <c r="H10055" s="5">
        <f>MONTH(Tabela1[[#This Row],[data]])</f>
        <v>2</v>
      </c>
      <c r="I10055">
        <f>YEAR(Tabela1[[#This Row],[data]])</f>
        <v>2026</v>
      </c>
    </row>
    <row r="10056" spans="1:9" x14ac:dyDescent="0.25">
      <c r="A10056" t="s">
        <v>6</v>
      </c>
      <c r="B10056" s="1">
        <v>46076</v>
      </c>
      <c r="C10056">
        <v>23</v>
      </c>
      <c r="D10056">
        <v>374.64</v>
      </c>
      <c r="E10056">
        <v>3.78</v>
      </c>
      <c r="F10056" t="s">
        <v>7</v>
      </c>
      <c r="G10056" t="s">
        <v>12</v>
      </c>
      <c r="H10056" s="5">
        <f>MONTH(Tabela1[[#This Row],[data]])</f>
        <v>2</v>
      </c>
      <c r="I10056">
        <f>YEAR(Tabela1[[#This Row],[data]])</f>
        <v>2026</v>
      </c>
    </row>
    <row r="10057" spans="1:9" x14ac:dyDescent="0.25">
      <c r="A10057" t="s">
        <v>6</v>
      </c>
      <c r="B10057" s="1">
        <v>46076</v>
      </c>
      <c r="C10057">
        <v>24</v>
      </c>
      <c r="D10057">
        <v>270.06</v>
      </c>
      <c r="E10057">
        <v>0</v>
      </c>
      <c r="F10057" t="s">
        <v>7</v>
      </c>
      <c r="G10057" t="s">
        <v>12</v>
      </c>
      <c r="H10057" s="5">
        <f>MONTH(Tabela1[[#This Row],[data]])</f>
        <v>2</v>
      </c>
      <c r="I10057">
        <f>YEAR(Tabela1[[#This Row],[data]])</f>
        <v>2026</v>
      </c>
    </row>
    <row r="10058" spans="1:9" x14ac:dyDescent="0.25">
      <c r="A10058" t="s">
        <v>6</v>
      </c>
      <c r="B10058" s="1">
        <v>46077</v>
      </c>
      <c r="C10058">
        <v>1</v>
      </c>
      <c r="D10058">
        <v>239.4</v>
      </c>
      <c r="E10058">
        <v>0</v>
      </c>
      <c r="F10058" t="s">
        <v>7</v>
      </c>
      <c r="G10058" t="s">
        <v>12</v>
      </c>
      <c r="H10058" s="5">
        <f>MONTH(Tabela1[[#This Row],[data]])</f>
        <v>2</v>
      </c>
      <c r="I10058">
        <f>YEAR(Tabela1[[#This Row],[data]])</f>
        <v>2026</v>
      </c>
    </row>
    <row r="10059" spans="1:9" x14ac:dyDescent="0.25">
      <c r="A10059" t="s">
        <v>6</v>
      </c>
      <c r="B10059" s="1">
        <v>46077</v>
      </c>
      <c r="C10059">
        <v>2</v>
      </c>
      <c r="D10059">
        <v>239.82</v>
      </c>
      <c r="E10059">
        <v>0</v>
      </c>
      <c r="F10059" t="s">
        <v>7</v>
      </c>
      <c r="G10059" t="s">
        <v>12</v>
      </c>
      <c r="H10059" s="5">
        <f>MONTH(Tabela1[[#This Row],[data]])</f>
        <v>2</v>
      </c>
      <c r="I10059">
        <f>YEAR(Tabela1[[#This Row],[data]])</f>
        <v>2026</v>
      </c>
    </row>
    <row r="10060" spans="1:9" x14ac:dyDescent="0.25">
      <c r="A10060" t="s">
        <v>6</v>
      </c>
      <c r="B10060" s="1">
        <v>46077</v>
      </c>
      <c r="C10060">
        <v>3</v>
      </c>
      <c r="D10060">
        <v>233.52</v>
      </c>
      <c r="E10060">
        <v>0</v>
      </c>
      <c r="F10060" t="s">
        <v>7</v>
      </c>
      <c r="G10060" t="s">
        <v>12</v>
      </c>
      <c r="H10060" s="5">
        <f>MONTH(Tabela1[[#This Row],[data]])</f>
        <v>2</v>
      </c>
      <c r="I10060">
        <f>YEAR(Tabela1[[#This Row],[data]])</f>
        <v>2026</v>
      </c>
    </row>
    <row r="10061" spans="1:9" x14ac:dyDescent="0.25">
      <c r="A10061" t="s">
        <v>6</v>
      </c>
      <c r="B10061" s="1">
        <v>46077</v>
      </c>
      <c r="C10061">
        <v>4</v>
      </c>
      <c r="D10061">
        <v>236.04</v>
      </c>
      <c r="E10061">
        <v>0</v>
      </c>
      <c r="F10061" t="s">
        <v>7</v>
      </c>
      <c r="G10061" t="s">
        <v>12</v>
      </c>
      <c r="H10061" s="5">
        <f>MONTH(Tabela1[[#This Row],[data]])</f>
        <v>2</v>
      </c>
      <c r="I10061">
        <f>YEAR(Tabela1[[#This Row],[data]])</f>
        <v>2026</v>
      </c>
    </row>
    <row r="10062" spans="1:9" x14ac:dyDescent="0.25">
      <c r="A10062" t="s">
        <v>6</v>
      </c>
      <c r="B10062" s="1">
        <v>46077</v>
      </c>
      <c r="C10062">
        <v>5</v>
      </c>
      <c r="D10062">
        <v>238.98</v>
      </c>
      <c r="E10062">
        <v>0</v>
      </c>
      <c r="F10062" t="s">
        <v>7</v>
      </c>
      <c r="G10062" t="s">
        <v>12</v>
      </c>
      <c r="H10062" s="5">
        <f>MONTH(Tabela1[[#This Row],[data]])</f>
        <v>2</v>
      </c>
      <c r="I10062">
        <f>YEAR(Tabela1[[#This Row],[data]])</f>
        <v>2026</v>
      </c>
    </row>
    <row r="10063" spans="1:9" x14ac:dyDescent="0.25">
      <c r="A10063" t="s">
        <v>6</v>
      </c>
      <c r="B10063" s="1">
        <v>46077</v>
      </c>
      <c r="C10063">
        <v>6</v>
      </c>
      <c r="D10063">
        <v>233.94</v>
      </c>
      <c r="E10063">
        <v>0</v>
      </c>
      <c r="F10063" t="s">
        <v>7</v>
      </c>
      <c r="G10063" t="s">
        <v>12</v>
      </c>
      <c r="H10063" s="5">
        <f>MONTH(Tabela1[[#This Row],[data]])</f>
        <v>2</v>
      </c>
      <c r="I10063">
        <f>YEAR(Tabela1[[#This Row],[data]])</f>
        <v>2026</v>
      </c>
    </row>
    <row r="10064" spans="1:9" x14ac:dyDescent="0.25">
      <c r="A10064" t="s">
        <v>6</v>
      </c>
      <c r="B10064" s="1">
        <v>46077</v>
      </c>
      <c r="C10064">
        <v>7</v>
      </c>
      <c r="D10064">
        <v>242.34</v>
      </c>
      <c r="E10064">
        <v>0</v>
      </c>
      <c r="F10064" t="s">
        <v>7</v>
      </c>
      <c r="G10064" t="s">
        <v>12</v>
      </c>
      <c r="H10064" s="5">
        <f>MONTH(Tabela1[[#This Row],[data]])</f>
        <v>2</v>
      </c>
      <c r="I10064">
        <f>YEAR(Tabela1[[#This Row],[data]])</f>
        <v>2026</v>
      </c>
    </row>
    <row r="10065" spans="1:9" x14ac:dyDescent="0.25">
      <c r="A10065" t="s">
        <v>6</v>
      </c>
      <c r="B10065" s="1">
        <v>46077</v>
      </c>
      <c r="C10065">
        <v>8</v>
      </c>
      <c r="D10065">
        <v>260.82</v>
      </c>
      <c r="E10065">
        <v>0</v>
      </c>
      <c r="F10065" t="s">
        <v>7</v>
      </c>
      <c r="G10065" t="s">
        <v>12</v>
      </c>
      <c r="H10065" s="5">
        <f>MONTH(Tabela1[[#This Row],[data]])</f>
        <v>2</v>
      </c>
      <c r="I10065">
        <f>YEAR(Tabela1[[#This Row],[data]])</f>
        <v>2026</v>
      </c>
    </row>
    <row r="10066" spans="1:9" x14ac:dyDescent="0.25">
      <c r="A10066" t="s">
        <v>6</v>
      </c>
      <c r="B10066" s="1">
        <v>46077</v>
      </c>
      <c r="C10066">
        <v>9</v>
      </c>
      <c r="D10066">
        <v>398.58</v>
      </c>
      <c r="E10066">
        <v>8.82</v>
      </c>
      <c r="F10066" t="s">
        <v>7</v>
      </c>
      <c r="G10066" t="s">
        <v>12</v>
      </c>
      <c r="H10066" s="5">
        <f>MONTH(Tabela1[[#This Row],[data]])</f>
        <v>2</v>
      </c>
      <c r="I10066">
        <f>YEAR(Tabela1[[#This Row],[data]])</f>
        <v>2026</v>
      </c>
    </row>
    <row r="10067" spans="1:9" x14ac:dyDescent="0.25">
      <c r="A10067" t="s">
        <v>6</v>
      </c>
      <c r="B10067" s="1">
        <v>46077</v>
      </c>
      <c r="C10067">
        <v>10</v>
      </c>
      <c r="D10067">
        <v>698.88</v>
      </c>
      <c r="E10067">
        <v>145.74</v>
      </c>
      <c r="F10067" t="s">
        <v>7</v>
      </c>
      <c r="G10067" t="s">
        <v>12</v>
      </c>
      <c r="H10067" s="5">
        <f>MONTH(Tabela1[[#This Row],[data]])</f>
        <v>2</v>
      </c>
      <c r="I10067">
        <f>YEAR(Tabela1[[#This Row],[data]])</f>
        <v>2026</v>
      </c>
    </row>
    <row r="10068" spans="1:9" x14ac:dyDescent="0.25">
      <c r="A10068" t="s">
        <v>6</v>
      </c>
      <c r="B10068" s="1">
        <v>46077</v>
      </c>
      <c r="C10068">
        <v>11</v>
      </c>
      <c r="D10068" s="2">
        <v>1002.54</v>
      </c>
      <c r="E10068">
        <v>278.45999999999998</v>
      </c>
      <c r="F10068" t="s">
        <v>7</v>
      </c>
      <c r="G10068" t="s">
        <v>12</v>
      </c>
      <c r="H10068" s="5">
        <f>MONTH(Tabela1[[#This Row],[data]])</f>
        <v>2</v>
      </c>
      <c r="I10068">
        <f>YEAR(Tabela1[[#This Row],[data]])</f>
        <v>2026</v>
      </c>
    </row>
    <row r="10069" spans="1:9" x14ac:dyDescent="0.25">
      <c r="A10069" t="s">
        <v>6</v>
      </c>
      <c r="B10069" s="1">
        <v>46077</v>
      </c>
      <c r="C10069">
        <v>12</v>
      </c>
      <c r="D10069" s="2">
        <v>1010.94</v>
      </c>
      <c r="E10069">
        <v>301.98</v>
      </c>
      <c r="F10069" t="s">
        <v>7</v>
      </c>
      <c r="G10069" t="s">
        <v>12</v>
      </c>
      <c r="H10069" s="5">
        <f>MONTH(Tabela1[[#This Row],[data]])</f>
        <v>2</v>
      </c>
      <c r="I10069">
        <f>YEAR(Tabela1[[#This Row],[data]])</f>
        <v>2026</v>
      </c>
    </row>
    <row r="10070" spans="1:9" x14ac:dyDescent="0.25">
      <c r="A10070" t="s">
        <v>6</v>
      </c>
      <c r="B10070" s="1">
        <v>46077</v>
      </c>
      <c r="C10070">
        <v>13</v>
      </c>
      <c r="D10070" s="2">
        <v>1068.9000000000001</v>
      </c>
      <c r="E10070">
        <v>307.86</v>
      </c>
      <c r="F10070" t="s">
        <v>7</v>
      </c>
      <c r="G10070" t="s">
        <v>12</v>
      </c>
      <c r="H10070" s="5">
        <f>MONTH(Tabela1[[#This Row],[data]])</f>
        <v>2</v>
      </c>
      <c r="I10070">
        <f>YEAR(Tabela1[[#This Row],[data]])</f>
        <v>2026</v>
      </c>
    </row>
    <row r="10071" spans="1:9" x14ac:dyDescent="0.25">
      <c r="A10071" t="s">
        <v>6</v>
      </c>
      <c r="B10071" s="1">
        <v>46077</v>
      </c>
      <c r="C10071">
        <v>14</v>
      </c>
      <c r="D10071" s="2">
        <v>1046.6400000000001</v>
      </c>
      <c r="E10071">
        <v>265.02</v>
      </c>
      <c r="F10071" t="s">
        <v>7</v>
      </c>
      <c r="G10071" t="s">
        <v>12</v>
      </c>
      <c r="H10071" s="5">
        <f>MONTH(Tabela1[[#This Row],[data]])</f>
        <v>2</v>
      </c>
      <c r="I10071">
        <f>YEAR(Tabela1[[#This Row],[data]])</f>
        <v>2026</v>
      </c>
    </row>
    <row r="10072" spans="1:9" x14ac:dyDescent="0.25">
      <c r="A10072" t="s">
        <v>6</v>
      </c>
      <c r="B10072" s="1">
        <v>46077</v>
      </c>
      <c r="C10072">
        <v>15</v>
      </c>
      <c r="D10072" s="2">
        <v>1002.12</v>
      </c>
      <c r="E10072">
        <v>271.74</v>
      </c>
      <c r="F10072" t="s">
        <v>7</v>
      </c>
      <c r="G10072" t="s">
        <v>12</v>
      </c>
      <c r="H10072" s="5">
        <f>MONTH(Tabela1[[#This Row],[data]])</f>
        <v>2</v>
      </c>
      <c r="I10072">
        <f>YEAR(Tabela1[[#This Row],[data]])</f>
        <v>2026</v>
      </c>
    </row>
    <row r="10073" spans="1:9" x14ac:dyDescent="0.25">
      <c r="A10073" t="s">
        <v>6</v>
      </c>
      <c r="B10073" s="1">
        <v>46077</v>
      </c>
      <c r="C10073">
        <v>16</v>
      </c>
      <c r="D10073">
        <v>992.04</v>
      </c>
      <c r="E10073">
        <v>260.39999999999998</v>
      </c>
      <c r="F10073" t="s">
        <v>7</v>
      </c>
      <c r="G10073" t="s">
        <v>12</v>
      </c>
      <c r="H10073" s="5">
        <f>MONTH(Tabela1[[#This Row],[data]])</f>
        <v>2</v>
      </c>
      <c r="I10073">
        <f>YEAR(Tabela1[[#This Row],[data]])</f>
        <v>2026</v>
      </c>
    </row>
    <row r="10074" spans="1:9" x14ac:dyDescent="0.25">
      <c r="A10074" t="s">
        <v>6</v>
      </c>
      <c r="B10074" s="1">
        <v>46077</v>
      </c>
      <c r="C10074">
        <v>17</v>
      </c>
      <c r="D10074" s="2">
        <v>1014.72</v>
      </c>
      <c r="E10074">
        <v>267.54000000000002</v>
      </c>
      <c r="F10074" t="s">
        <v>7</v>
      </c>
      <c r="G10074" t="s">
        <v>12</v>
      </c>
      <c r="H10074" s="5">
        <f>MONTH(Tabela1[[#This Row],[data]])</f>
        <v>2</v>
      </c>
      <c r="I10074">
        <f>YEAR(Tabela1[[#This Row],[data]])</f>
        <v>2026</v>
      </c>
    </row>
    <row r="10075" spans="1:9" x14ac:dyDescent="0.25">
      <c r="A10075" t="s">
        <v>6</v>
      </c>
      <c r="B10075" s="1">
        <v>46077</v>
      </c>
      <c r="C10075">
        <v>18</v>
      </c>
      <c r="D10075" s="2">
        <v>1036.98</v>
      </c>
      <c r="E10075">
        <v>277.2</v>
      </c>
      <c r="F10075" t="s">
        <v>7</v>
      </c>
      <c r="G10075" t="s">
        <v>12</v>
      </c>
      <c r="H10075" s="5">
        <f>MONTH(Tabela1[[#This Row],[data]])</f>
        <v>2</v>
      </c>
      <c r="I10075">
        <f>YEAR(Tabela1[[#This Row],[data]])</f>
        <v>2026</v>
      </c>
    </row>
    <row r="10076" spans="1:9" x14ac:dyDescent="0.25">
      <c r="A10076" t="s">
        <v>6</v>
      </c>
      <c r="B10076" s="1">
        <v>46077</v>
      </c>
      <c r="C10076">
        <v>19</v>
      </c>
      <c r="D10076">
        <v>959.7</v>
      </c>
      <c r="E10076">
        <v>246.54</v>
      </c>
      <c r="F10076" t="s">
        <v>7</v>
      </c>
      <c r="G10076" t="s">
        <v>12</v>
      </c>
      <c r="H10076" s="5">
        <f>MONTH(Tabela1[[#This Row],[data]])</f>
        <v>2</v>
      </c>
      <c r="I10076">
        <f>YEAR(Tabela1[[#This Row],[data]])</f>
        <v>2026</v>
      </c>
    </row>
    <row r="10077" spans="1:9" x14ac:dyDescent="0.25">
      <c r="A10077" t="s">
        <v>6</v>
      </c>
      <c r="B10077" s="1">
        <v>46077</v>
      </c>
      <c r="C10077">
        <v>20</v>
      </c>
      <c r="D10077">
        <v>940.38</v>
      </c>
      <c r="E10077">
        <v>223.02</v>
      </c>
      <c r="F10077" t="s">
        <v>7</v>
      </c>
      <c r="G10077" t="s">
        <v>12</v>
      </c>
      <c r="H10077" s="5">
        <f>MONTH(Tabela1[[#This Row],[data]])</f>
        <v>2</v>
      </c>
      <c r="I10077">
        <f>YEAR(Tabela1[[#This Row],[data]])</f>
        <v>2026</v>
      </c>
    </row>
    <row r="10078" spans="1:9" x14ac:dyDescent="0.25">
      <c r="A10078" t="s">
        <v>6</v>
      </c>
      <c r="B10078" s="1">
        <v>46077</v>
      </c>
      <c r="C10078">
        <v>21</v>
      </c>
      <c r="D10078">
        <v>935.34</v>
      </c>
      <c r="E10078">
        <v>228.06</v>
      </c>
      <c r="F10078" t="s">
        <v>7</v>
      </c>
      <c r="G10078" t="s">
        <v>12</v>
      </c>
      <c r="H10078" s="5">
        <f>MONTH(Tabela1[[#This Row],[data]])</f>
        <v>2</v>
      </c>
      <c r="I10078">
        <f>YEAR(Tabela1[[#This Row],[data]])</f>
        <v>2026</v>
      </c>
    </row>
    <row r="10079" spans="1:9" x14ac:dyDescent="0.25">
      <c r="A10079" t="s">
        <v>6</v>
      </c>
      <c r="B10079" s="1">
        <v>46077</v>
      </c>
      <c r="C10079">
        <v>22</v>
      </c>
      <c r="D10079">
        <v>870.66</v>
      </c>
      <c r="E10079">
        <v>202.02</v>
      </c>
      <c r="F10079" t="s">
        <v>7</v>
      </c>
      <c r="G10079" t="s">
        <v>12</v>
      </c>
      <c r="H10079" s="5">
        <f>MONTH(Tabela1[[#This Row],[data]])</f>
        <v>2</v>
      </c>
      <c r="I10079">
        <f>YEAR(Tabela1[[#This Row],[data]])</f>
        <v>2026</v>
      </c>
    </row>
    <row r="10080" spans="1:9" x14ac:dyDescent="0.25">
      <c r="A10080" t="s">
        <v>6</v>
      </c>
      <c r="B10080" s="1">
        <v>46077</v>
      </c>
      <c r="C10080">
        <v>23</v>
      </c>
      <c r="D10080">
        <v>483.84</v>
      </c>
      <c r="E10080">
        <v>31.08</v>
      </c>
      <c r="F10080" t="s">
        <v>7</v>
      </c>
      <c r="G10080" t="s">
        <v>12</v>
      </c>
      <c r="H10080" s="5">
        <f>MONTH(Tabela1[[#This Row],[data]])</f>
        <v>2</v>
      </c>
      <c r="I10080">
        <f>YEAR(Tabela1[[#This Row],[data]])</f>
        <v>2026</v>
      </c>
    </row>
    <row r="10081" spans="1:9" x14ac:dyDescent="0.25">
      <c r="A10081" t="s">
        <v>6</v>
      </c>
      <c r="B10081" s="1">
        <v>46077</v>
      </c>
      <c r="C10081">
        <v>24</v>
      </c>
      <c r="D10081">
        <v>376.74</v>
      </c>
      <c r="E10081">
        <v>7.98</v>
      </c>
      <c r="F10081" t="s">
        <v>7</v>
      </c>
      <c r="G10081" t="s">
        <v>12</v>
      </c>
      <c r="H10081" s="5">
        <f>MONTH(Tabela1[[#This Row],[data]])</f>
        <v>2</v>
      </c>
      <c r="I10081">
        <f>YEAR(Tabela1[[#This Row],[data]])</f>
        <v>2026</v>
      </c>
    </row>
    <row r="10082" spans="1:9" x14ac:dyDescent="0.25">
      <c r="A10082" t="s">
        <v>6</v>
      </c>
      <c r="B10082" s="1">
        <v>46078</v>
      </c>
      <c r="C10082">
        <v>1</v>
      </c>
      <c r="D10082">
        <v>328.02</v>
      </c>
      <c r="E10082">
        <v>0</v>
      </c>
      <c r="F10082" t="s">
        <v>7</v>
      </c>
      <c r="G10082" t="s">
        <v>12</v>
      </c>
      <c r="H10082" s="5">
        <f>MONTH(Tabela1[[#This Row],[data]])</f>
        <v>2</v>
      </c>
      <c r="I10082">
        <f>YEAR(Tabela1[[#This Row],[data]])</f>
        <v>2026</v>
      </c>
    </row>
    <row r="10083" spans="1:9" x14ac:dyDescent="0.25">
      <c r="A10083" t="s">
        <v>6</v>
      </c>
      <c r="B10083" s="1">
        <v>46078</v>
      </c>
      <c r="C10083">
        <v>2</v>
      </c>
      <c r="D10083">
        <v>325.5</v>
      </c>
      <c r="E10083">
        <v>0.42</v>
      </c>
      <c r="F10083" t="s">
        <v>7</v>
      </c>
      <c r="G10083" t="s">
        <v>12</v>
      </c>
      <c r="H10083" s="5">
        <f>MONTH(Tabela1[[#This Row],[data]])</f>
        <v>2</v>
      </c>
      <c r="I10083">
        <f>YEAR(Tabela1[[#This Row],[data]])</f>
        <v>2026</v>
      </c>
    </row>
    <row r="10084" spans="1:9" x14ac:dyDescent="0.25">
      <c r="A10084" t="s">
        <v>6</v>
      </c>
      <c r="B10084" s="1">
        <v>46078</v>
      </c>
      <c r="C10084">
        <v>3</v>
      </c>
      <c r="D10084">
        <v>252</v>
      </c>
      <c r="E10084">
        <v>0</v>
      </c>
      <c r="F10084" t="s">
        <v>7</v>
      </c>
      <c r="G10084" t="s">
        <v>12</v>
      </c>
      <c r="H10084" s="5">
        <f>MONTH(Tabela1[[#This Row],[data]])</f>
        <v>2</v>
      </c>
      <c r="I10084">
        <f>YEAR(Tabela1[[#This Row],[data]])</f>
        <v>2026</v>
      </c>
    </row>
    <row r="10085" spans="1:9" x14ac:dyDescent="0.25">
      <c r="A10085" t="s">
        <v>6</v>
      </c>
      <c r="B10085" s="1">
        <v>46078</v>
      </c>
      <c r="C10085">
        <v>4</v>
      </c>
      <c r="D10085">
        <v>216.72</v>
      </c>
      <c r="E10085">
        <v>0</v>
      </c>
      <c r="F10085" t="s">
        <v>7</v>
      </c>
      <c r="G10085" t="s">
        <v>12</v>
      </c>
      <c r="H10085" s="5">
        <f>MONTH(Tabela1[[#This Row],[data]])</f>
        <v>2</v>
      </c>
      <c r="I10085">
        <f>YEAR(Tabela1[[#This Row],[data]])</f>
        <v>2026</v>
      </c>
    </row>
    <row r="10086" spans="1:9" x14ac:dyDescent="0.25">
      <c r="A10086" t="s">
        <v>6</v>
      </c>
      <c r="B10086" s="1">
        <v>46078</v>
      </c>
      <c r="C10086">
        <v>5</v>
      </c>
      <c r="D10086">
        <v>220.5</v>
      </c>
      <c r="E10086">
        <v>0</v>
      </c>
      <c r="F10086" t="s">
        <v>7</v>
      </c>
      <c r="G10086" t="s">
        <v>12</v>
      </c>
      <c r="H10086" s="5">
        <f>MONTH(Tabela1[[#This Row],[data]])</f>
        <v>2</v>
      </c>
      <c r="I10086">
        <f>YEAR(Tabela1[[#This Row],[data]])</f>
        <v>2026</v>
      </c>
    </row>
    <row r="10087" spans="1:9" x14ac:dyDescent="0.25">
      <c r="A10087" t="s">
        <v>6</v>
      </c>
      <c r="B10087" s="1">
        <v>46078</v>
      </c>
      <c r="C10087">
        <v>6</v>
      </c>
      <c r="D10087">
        <v>216.72</v>
      </c>
      <c r="E10087">
        <v>0</v>
      </c>
      <c r="F10087" t="s">
        <v>7</v>
      </c>
      <c r="G10087" t="s">
        <v>12</v>
      </c>
      <c r="H10087" s="5">
        <f>MONTH(Tabela1[[#This Row],[data]])</f>
        <v>2</v>
      </c>
      <c r="I10087">
        <f>YEAR(Tabela1[[#This Row],[data]])</f>
        <v>2026</v>
      </c>
    </row>
    <row r="10088" spans="1:9" x14ac:dyDescent="0.25">
      <c r="A10088" t="s">
        <v>6</v>
      </c>
      <c r="B10088" s="1">
        <v>46078</v>
      </c>
      <c r="C10088">
        <v>7</v>
      </c>
      <c r="D10088">
        <v>231.42</v>
      </c>
      <c r="E10088">
        <v>0</v>
      </c>
      <c r="F10088" t="s">
        <v>7</v>
      </c>
      <c r="G10088" t="s">
        <v>12</v>
      </c>
      <c r="H10088" s="5">
        <f>MONTH(Tabela1[[#This Row],[data]])</f>
        <v>2</v>
      </c>
      <c r="I10088">
        <f>YEAR(Tabela1[[#This Row],[data]])</f>
        <v>2026</v>
      </c>
    </row>
    <row r="10089" spans="1:9" x14ac:dyDescent="0.25">
      <c r="A10089" t="s">
        <v>6</v>
      </c>
      <c r="B10089" s="1">
        <v>46078</v>
      </c>
      <c r="C10089">
        <v>8</v>
      </c>
      <c r="D10089">
        <v>243.18</v>
      </c>
      <c r="E10089">
        <v>0</v>
      </c>
      <c r="F10089" t="s">
        <v>7</v>
      </c>
      <c r="G10089" t="s">
        <v>12</v>
      </c>
      <c r="H10089" s="5">
        <f>MONTH(Tabela1[[#This Row],[data]])</f>
        <v>2</v>
      </c>
      <c r="I10089">
        <f>YEAR(Tabela1[[#This Row],[data]])</f>
        <v>2026</v>
      </c>
    </row>
    <row r="10090" spans="1:9" x14ac:dyDescent="0.25">
      <c r="A10090" t="s">
        <v>6</v>
      </c>
      <c r="B10090" s="1">
        <v>46078</v>
      </c>
      <c r="C10090">
        <v>9</v>
      </c>
      <c r="D10090">
        <v>367.08</v>
      </c>
      <c r="E10090">
        <v>4.2</v>
      </c>
      <c r="F10090" t="s">
        <v>7</v>
      </c>
      <c r="G10090" t="s">
        <v>12</v>
      </c>
      <c r="H10090" s="5">
        <f>MONTH(Tabela1[[#This Row],[data]])</f>
        <v>2</v>
      </c>
      <c r="I10090">
        <f>YEAR(Tabela1[[#This Row],[data]])</f>
        <v>2026</v>
      </c>
    </row>
    <row r="10091" spans="1:9" x14ac:dyDescent="0.25">
      <c r="A10091" t="s">
        <v>6</v>
      </c>
      <c r="B10091" s="1">
        <v>46078</v>
      </c>
      <c r="C10091">
        <v>10</v>
      </c>
      <c r="D10091">
        <v>659.4</v>
      </c>
      <c r="E10091">
        <v>108.36</v>
      </c>
      <c r="F10091" t="s">
        <v>7</v>
      </c>
      <c r="G10091" t="s">
        <v>12</v>
      </c>
      <c r="H10091" s="5">
        <f>MONTH(Tabela1[[#This Row],[data]])</f>
        <v>2</v>
      </c>
      <c r="I10091">
        <f>YEAR(Tabela1[[#This Row],[data]])</f>
        <v>2026</v>
      </c>
    </row>
    <row r="10092" spans="1:9" x14ac:dyDescent="0.25">
      <c r="A10092" t="s">
        <v>6</v>
      </c>
      <c r="B10092" s="1">
        <v>46078</v>
      </c>
      <c r="C10092">
        <v>11</v>
      </c>
      <c r="D10092">
        <v>991.2</v>
      </c>
      <c r="E10092">
        <v>282.24</v>
      </c>
      <c r="F10092" t="s">
        <v>7</v>
      </c>
      <c r="G10092" t="s">
        <v>12</v>
      </c>
      <c r="H10092" s="5">
        <f>MONTH(Tabela1[[#This Row],[data]])</f>
        <v>2</v>
      </c>
      <c r="I10092">
        <f>YEAR(Tabela1[[#This Row],[data]])</f>
        <v>2026</v>
      </c>
    </row>
    <row r="10093" spans="1:9" x14ac:dyDescent="0.25">
      <c r="A10093" t="s">
        <v>6</v>
      </c>
      <c r="B10093" s="1">
        <v>46078</v>
      </c>
      <c r="C10093">
        <v>12</v>
      </c>
      <c r="D10093" s="2">
        <v>1027.74</v>
      </c>
      <c r="E10093">
        <v>299.88</v>
      </c>
      <c r="F10093" t="s">
        <v>7</v>
      </c>
      <c r="G10093" t="s">
        <v>12</v>
      </c>
      <c r="H10093" s="5">
        <f>MONTH(Tabela1[[#This Row],[data]])</f>
        <v>2</v>
      </c>
      <c r="I10093">
        <f>YEAR(Tabela1[[#This Row],[data]])</f>
        <v>2026</v>
      </c>
    </row>
    <row r="10094" spans="1:9" x14ac:dyDescent="0.25">
      <c r="A10094" t="s">
        <v>6</v>
      </c>
      <c r="B10094" s="1">
        <v>46078</v>
      </c>
      <c r="C10094">
        <v>13</v>
      </c>
      <c r="D10094" s="2">
        <v>1042.8599999999999</v>
      </c>
      <c r="E10094">
        <v>299.88</v>
      </c>
      <c r="F10094" t="s">
        <v>7</v>
      </c>
      <c r="G10094" t="s">
        <v>12</v>
      </c>
      <c r="H10094" s="5">
        <f>MONTH(Tabela1[[#This Row],[data]])</f>
        <v>2</v>
      </c>
      <c r="I10094">
        <f>YEAR(Tabela1[[#This Row],[data]])</f>
        <v>2026</v>
      </c>
    </row>
    <row r="10095" spans="1:9" x14ac:dyDescent="0.25">
      <c r="A10095" t="s">
        <v>6</v>
      </c>
      <c r="B10095" s="1">
        <v>46078</v>
      </c>
      <c r="C10095">
        <v>14</v>
      </c>
      <c r="D10095" s="2">
        <v>1064.28</v>
      </c>
      <c r="E10095">
        <v>282.66000000000003</v>
      </c>
      <c r="F10095" t="s">
        <v>7</v>
      </c>
      <c r="G10095" t="s">
        <v>12</v>
      </c>
      <c r="H10095" s="5">
        <f>MONTH(Tabela1[[#This Row],[data]])</f>
        <v>2</v>
      </c>
      <c r="I10095">
        <f>YEAR(Tabela1[[#This Row],[data]])</f>
        <v>2026</v>
      </c>
    </row>
    <row r="10096" spans="1:9" x14ac:dyDescent="0.25">
      <c r="A10096" t="s">
        <v>6</v>
      </c>
      <c r="B10096" s="1">
        <v>46078</v>
      </c>
      <c r="C10096">
        <v>15</v>
      </c>
      <c r="D10096" s="2">
        <v>1048.32</v>
      </c>
      <c r="E10096">
        <v>273.83999999999997</v>
      </c>
      <c r="F10096" t="s">
        <v>7</v>
      </c>
      <c r="G10096" t="s">
        <v>12</v>
      </c>
      <c r="H10096" s="5">
        <f>MONTH(Tabela1[[#This Row],[data]])</f>
        <v>2</v>
      </c>
      <c r="I10096">
        <f>YEAR(Tabela1[[#This Row],[data]])</f>
        <v>2026</v>
      </c>
    </row>
    <row r="10097" spans="1:9" x14ac:dyDescent="0.25">
      <c r="A10097" t="s">
        <v>6</v>
      </c>
      <c r="B10097" s="1">
        <v>46078</v>
      </c>
      <c r="C10097">
        <v>16</v>
      </c>
      <c r="D10097" s="2">
        <v>1044.96</v>
      </c>
      <c r="E10097">
        <v>269.64</v>
      </c>
      <c r="F10097" t="s">
        <v>7</v>
      </c>
      <c r="G10097" t="s">
        <v>12</v>
      </c>
      <c r="H10097" s="5">
        <f>MONTH(Tabela1[[#This Row],[data]])</f>
        <v>2</v>
      </c>
      <c r="I10097">
        <f>YEAR(Tabela1[[#This Row],[data]])</f>
        <v>2026</v>
      </c>
    </row>
    <row r="10098" spans="1:9" x14ac:dyDescent="0.25">
      <c r="A10098" t="s">
        <v>6</v>
      </c>
      <c r="B10098" s="1">
        <v>46078</v>
      </c>
      <c r="C10098">
        <v>17</v>
      </c>
      <c r="D10098" s="2">
        <v>1053.3599999999999</v>
      </c>
      <c r="E10098">
        <v>291.06</v>
      </c>
      <c r="F10098" t="s">
        <v>7</v>
      </c>
      <c r="G10098" t="s">
        <v>12</v>
      </c>
      <c r="H10098" s="5">
        <f>MONTH(Tabela1[[#This Row],[data]])</f>
        <v>2</v>
      </c>
      <c r="I10098">
        <f>YEAR(Tabela1[[#This Row],[data]])</f>
        <v>2026</v>
      </c>
    </row>
    <row r="10099" spans="1:9" x14ac:dyDescent="0.25">
      <c r="A10099" t="s">
        <v>6</v>
      </c>
      <c r="B10099" s="1">
        <v>46078</v>
      </c>
      <c r="C10099">
        <v>18</v>
      </c>
      <c r="D10099" s="2">
        <v>1039.92</v>
      </c>
      <c r="E10099">
        <v>284.33999999999997</v>
      </c>
      <c r="F10099" t="s">
        <v>7</v>
      </c>
      <c r="G10099" t="s">
        <v>12</v>
      </c>
      <c r="H10099" s="5">
        <f>MONTH(Tabela1[[#This Row],[data]])</f>
        <v>2</v>
      </c>
      <c r="I10099">
        <f>YEAR(Tabela1[[#This Row],[data]])</f>
        <v>2026</v>
      </c>
    </row>
    <row r="10100" spans="1:9" x14ac:dyDescent="0.25">
      <c r="A10100" t="s">
        <v>6</v>
      </c>
      <c r="B10100" s="1">
        <v>46078</v>
      </c>
      <c r="C10100">
        <v>19</v>
      </c>
      <c r="D10100">
        <v>967.68</v>
      </c>
      <c r="E10100">
        <v>243.6</v>
      </c>
      <c r="F10100" t="s">
        <v>7</v>
      </c>
      <c r="G10100" t="s">
        <v>12</v>
      </c>
      <c r="H10100" s="5">
        <f>MONTH(Tabela1[[#This Row],[data]])</f>
        <v>2</v>
      </c>
      <c r="I10100">
        <f>YEAR(Tabela1[[#This Row],[data]])</f>
        <v>2026</v>
      </c>
    </row>
    <row r="10101" spans="1:9" x14ac:dyDescent="0.25">
      <c r="A10101" t="s">
        <v>6</v>
      </c>
      <c r="B10101" s="1">
        <v>46078</v>
      </c>
      <c r="C10101">
        <v>20</v>
      </c>
      <c r="D10101">
        <v>947.1</v>
      </c>
      <c r="E10101">
        <v>239.4</v>
      </c>
      <c r="F10101" t="s">
        <v>7</v>
      </c>
      <c r="G10101" t="s">
        <v>12</v>
      </c>
      <c r="H10101" s="5">
        <f>MONTH(Tabela1[[#This Row],[data]])</f>
        <v>2</v>
      </c>
      <c r="I10101">
        <f>YEAR(Tabela1[[#This Row],[data]])</f>
        <v>2026</v>
      </c>
    </row>
    <row r="10102" spans="1:9" x14ac:dyDescent="0.25">
      <c r="A10102" t="s">
        <v>6</v>
      </c>
      <c r="B10102" s="1">
        <v>46078</v>
      </c>
      <c r="C10102">
        <v>21</v>
      </c>
      <c r="D10102">
        <v>935.76</v>
      </c>
      <c r="E10102">
        <v>238.56</v>
      </c>
      <c r="F10102" t="s">
        <v>7</v>
      </c>
      <c r="G10102" t="s">
        <v>12</v>
      </c>
      <c r="H10102" s="5">
        <f>MONTH(Tabela1[[#This Row],[data]])</f>
        <v>2</v>
      </c>
      <c r="I10102">
        <f>YEAR(Tabela1[[#This Row],[data]])</f>
        <v>2026</v>
      </c>
    </row>
    <row r="10103" spans="1:9" x14ac:dyDescent="0.25">
      <c r="A10103" t="s">
        <v>6</v>
      </c>
      <c r="B10103" s="1">
        <v>46078</v>
      </c>
      <c r="C10103">
        <v>22</v>
      </c>
      <c r="D10103">
        <v>766.92</v>
      </c>
      <c r="E10103">
        <v>159.6</v>
      </c>
      <c r="F10103" t="s">
        <v>7</v>
      </c>
      <c r="G10103" t="s">
        <v>12</v>
      </c>
      <c r="H10103" s="5">
        <f>MONTH(Tabela1[[#This Row],[data]])</f>
        <v>2</v>
      </c>
      <c r="I10103">
        <f>YEAR(Tabela1[[#This Row],[data]])</f>
        <v>2026</v>
      </c>
    </row>
    <row r="10104" spans="1:9" x14ac:dyDescent="0.25">
      <c r="A10104" t="s">
        <v>6</v>
      </c>
      <c r="B10104" s="1">
        <v>46078</v>
      </c>
      <c r="C10104">
        <v>23</v>
      </c>
      <c r="D10104">
        <v>357.42</v>
      </c>
      <c r="E10104">
        <v>1.68</v>
      </c>
      <c r="F10104" t="s">
        <v>7</v>
      </c>
      <c r="G10104" t="s">
        <v>12</v>
      </c>
      <c r="H10104" s="5">
        <f>MONTH(Tabela1[[#This Row],[data]])</f>
        <v>2</v>
      </c>
      <c r="I10104">
        <f>YEAR(Tabela1[[#This Row],[data]])</f>
        <v>2026</v>
      </c>
    </row>
    <row r="10105" spans="1:9" x14ac:dyDescent="0.25">
      <c r="A10105" t="s">
        <v>6</v>
      </c>
      <c r="B10105" s="1">
        <v>46078</v>
      </c>
      <c r="C10105">
        <v>24</v>
      </c>
      <c r="D10105">
        <v>265.86</v>
      </c>
      <c r="E10105">
        <v>0</v>
      </c>
      <c r="F10105" t="s">
        <v>7</v>
      </c>
      <c r="G10105" t="s">
        <v>12</v>
      </c>
      <c r="H10105" s="5">
        <f>MONTH(Tabela1[[#This Row],[data]])</f>
        <v>2</v>
      </c>
      <c r="I10105">
        <f>YEAR(Tabela1[[#This Row],[data]])</f>
        <v>2026</v>
      </c>
    </row>
    <row r="10106" spans="1:9" x14ac:dyDescent="0.25">
      <c r="A10106" t="s">
        <v>6</v>
      </c>
      <c r="B10106" s="1">
        <v>46079</v>
      </c>
      <c r="C10106">
        <v>1</v>
      </c>
      <c r="D10106">
        <v>225.54</v>
      </c>
      <c r="E10106">
        <v>0</v>
      </c>
      <c r="F10106" t="s">
        <v>7</v>
      </c>
      <c r="G10106" t="s">
        <v>12</v>
      </c>
      <c r="H10106" s="5">
        <f>MONTH(Tabela1[[#This Row],[data]])</f>
        <v>2</v>
      </c>
      <c r="I10106">
        <f>YEAR(Tabela1[[#This Row],[data]])</f>
        <v>2026</v>
      </c>
    </row>
    <row r="10107" spans="1:9" x14ac:dyDescent="0.25">
      <c r="A10107" t="s">
        <v>6</v>
      </c>
      <c r="B10107" s="1">
        <v>46079</v>
      </c>
      <c r="C10107">
        <v>2</v>
      </c>
      <c r="D10107">
        <v>223.86</v>
      </c>
      <c r="E10107">
        <v>0</v>
      </c>
      <c r="F10107" t="s">
        <v>7</v>
      </c>
      <c r="G10107" t="s">
        <v>12</v>
      </c>
      <c r="H10107" s="5">
        <f>MONTH(Tabela1[[#This Row],[data]])</f>
        <v>2</v>
      </c>
      <c r="I10107">
        <f>YEAR(Tabela1[[#This Row],[data]])</f>
        <v>2026</v>
      </c>
    </row>
    <row r="10108" spans="1:9" x14ac:dyDescent="0.25">
      <c r="A10108" t="s">
        <v>6</v>
      </c>
      <c r="B10108" s="1">
        <v>46079</v>
      </c>
      <c r="C10108">
        <v>3</v>
      </c>
      <c r="D10108">
        <v>217.14</v>
      </c>
      <c r="E10108">
        <v>0</v>
      </c>
      <c r="F10108" t="s">
        <v>7</v>
      </c>
      <c r="G10108" t="s">
        <v>12</v>
      </c>
      <c r="H10108" s="5">
        <f>MONTH(Tabela1[[#This Row],[data]])</f>
        <v>2</v>
      </c>
      <c r="I10108">
        <f>YEAR(Tabela1[[#This Row],[data]])</f>
        <v>2026</v>
      </c>
    </row>
    <row r="10109" spans="1:9" x14ac:dyDescent="0.25">
      <c r="A10109" t="s">
        <v>6</v>
      </c>
      <c r="B10109" s="1">
        <v>46079</v>
      </c>
      <c r="C10109">
        <v>4</v>
      </c>
      <c r="D10109">
        <v>217.56</v>
      </c>
      <c r="E10109">
        <v>0</v>
      </c>
      <c r="F10109" t="s">
        <v>7</v>
      </c>
      <c r="G10109" t="s">
        <v>12</v>
      </c>
      <c r="H10109" s="5">
        <f>MONTH(Tabela1[[#This Row],[data]])</f>
        <v>2</v>
      </c>
      <c r="I10109">
        <f>YEAR(Tabela1[[#This Row],[data]])</f>
        <v>2026</v>
      </c>
    </row>
    <row r="10110" spans="1:9" x14ac:dyDescent="0.25">
      <c r="A10110" t="s">
        <v>6</v>
      </c>
      <c r="B10110" s="1">
        <v>46079</v>
      </c>
      <c r="C10110">
        <v>5</v>
      </c>
      <c r="D10110">
        <v>217.14</v>
      </c>
      <c r="E10110">
        <v>0</v>
      </c>
      <c r="F10110" t="s">
        <v>7</v>
      </c>
      <c r="G10110" t="s">
        <v>12</v>
      </c>
      <c r="H10110" s="5">
        <f>MONTH(Tabela1[[#This Row],[data]])</f>
        <v>2</v>
      </c>
      <c r="I10110">
        <f>YEAR(Tabela1[[#This Row],[data]])</f>
        <v>2026</v>
      </c>
    </row>
    <row r="10111" spans="1:9" x14ac:dyDescent="0.25">
      <c r="A10111" t="s">
        <v>6</v>
      </c>
      <c r="B10111" s="1">
        <v>46079</v>
      </c>
      <c r="C10111">
        <v>6</v>
      </c>
      <c r="D10111">
        <v>214.2</v>
      </c>
      <c r="E10111">
        <v>0</v>
      </c>
      <c r="F10111" t="s">
        <v>7</v>
      </c>
      <c r="G10111" t="s">
        <v>12</v>
      </c>
      <c r="H10111" s="5">
        <f>MONTH(Tabela1[[#This Row],[data]])</f>
        <v>2</v>
      </c>
      <c r="I10111">
        <f>YEAR(Tabela1[[#This Row],[data]])</f>
        <v>2026</v>
      </c>
    </row>
    <row r="10112" spans="1:9" x14ac:dyDescent="0.25">
      <c r="A10112" t="s">
        <v>6</v>
      </c>
      <c r="B10112" s="1">
        <v>46079</v>
      </c>
      <c r="C10112">
        <v>7</v>
      </c>
      <c r="D10112">
        <v>232.68</v>
      </c>
      <c r="E10112">
        <v>0</v>
      </c>
      <c r="F10112" t="s">
        <v>7</v>
      </c>
      <c r="G10112" t="s">
        <v>12</v>
      </c>
      <c r="H10112" s="5">
        <f>MONTH(Tabela1[[#This Row],[data]])</f>
        <v>2</v>
      </c>
      <c r="I10112">
        <f>YEAR(Tabela1[[#This Row],[data]])</f>
        <v>2026</v>
      </c>
    </row>
    <row r="10113" spans="1:9" x14ac:dyDescent="0.25">
      <c r="A10113" t="s">
        <v>6</v>
      </c>
      <c r="B10113" s="1">
        <v>46079</v>
      </c>
      <c r="C10113">
        <v>8</v>
      </c>
      <c r="D10113">
        <v>294.83999999999997</v>
      </c>
      <c r="E10113">
        <v>0</v>
      </c>
      <c r="F10113" t="s">
        <v>7</v>
      </c>
      <c r="G10113" t="s">
        <v>12</v>
      </c>
      <c r="H10113" s="5">
        <f>MONTH(Tabela1[[#This Row],[data]])</f>
        <v>2</v>
      </c>
      <c r="I10113">
        <f>YEAR(Tabela1[[#This Row],[data]])</f>
        <v>2026</v>
      </c>
    </row>
    <row r="10114" spans="1:9" x14ac:dyDescent="0.25">
      <c r="A10114" t="s">
        <v>6</v>
      </c>
      <c r="B10114" s="1">
        <v>46079</v>
      </c>
      <c r="C10114">
        <v>9</v>
      </c>
      <c r="D10114">
        <v>368.76</v>
      </c>
      <c r="E10114">
        <v>0</v>
      </c>
      <c r="F10114" t="s">
        <v>7</v>
      </c>
      <c r="G10114" t="s">
        <v>12</v>
      </c>
      <c r="H10114" s="5">
        <f>MONTH(Tabela1[[#This Row],[data]])</f>
        <v>2</v>
      </c>
      <c r="I10114">
        <f>YEAR(Tabela1[[#This Row],[data]])</f>
        <v>2026</v>
      </c>
    </row>
    <row r="10115" spans="1:9" x14ac:dyDescent="0.25">
      <c r="A10115" t="s">
        <v>6</v>
      </c>
      <c r="B10115" s="1">
        <v>46079</v>
      </c>
      <c r="C10115">
        <v>10</v>
      </c>
      <c r="D10115">
        <v>559.86</v>
      </c>
      <c r="E10115">
        <v>76.02</v>
      </c>
      <c r="F10115" t="s">
        <v>7</v>
      </c>
      <c r="G10115" t="s">
        <v>12</v>
      </c>
      <c r="H10115" s="5">
        <f>MONTH(Tabela1[[#This Row],[data]])</f>
        <v>2</v>
      </c>
      <c r="I10115">
        <f>YEAR(Tabela1[[#This Row],[data]])</f>
        <v>2026</v>
      </c>
    </row>
    <row r="10116" spans="1:9" x14ac:dyDescent="0.25">
      <c r="A10116" t="s">
        <v>6</v>
      </c>
      <c r="B10116" s="1">
        <v>46079</v>
      </c>
      <c r="C10116">
        <v>11</v>
      </c>
      <c r="D10116" s="2">
        <v>1032.78</v>
      </c>
      <c r="E10116">
        <v>292.74</v>
      </c>
      <c r="F10116" t="s">
        <v>7</v>
      </c>
      <c r="G10116" t="s">
        <v>12</v>
      </c>
      <c r="H10116" s="5">
        <f>MONTH(Tabela1[[#This Row],[data]])</f>
        <v>2</v>
      </c>
      <c r="I10116">
        <f>YEAR(Tabela1[[#This Row],[data]])</f>
        <v>2026</v>
      </c>
    </row>
    <row r="10117" spans="1:9" x14ac:dyDescent="0.25">
      <c r="A10117" t="s">
        <v>6</v>
      </c>
      <c r="B10117" s="1">
        <v>46079</v>
      </c>
      <c r="C10117">
        <v>12</v>
      </c>
      <c r="D10117">
        <v>979.44</v>
      </c>
      <c r="E10117">
        <v>278.88</v>
      </c>
      <c r="F10117" t="s">
        <v>7</v>
      </c>
      <c r="G10117" t="s">
        <v>12</v>
      </c>
      <c r="H10117" s="5">
        <f>MONTH(Tabela1[[#This Row],[data]])</f>
        <v>2</v>
      </c>
      <c r="I10117">
        <f>YEAR(Tabela1[[#This Row],[data]])</f>
        <v>2026</v>
      </c>
    </row>
    <row r="10118" spans="1:9" x14ac:dyDescent="0.25">
      <c r="A10118" t="s">
        <v>6</v>
      </c>
      <c r="B10118" s="1">
        <v>46079</v>
      </c>
      <c r="C10118">
        <v>13</v>
      </c>
      <c r="D10118">
        <v>965.16</v>
      </c>
      <c r="E10118">
        <v>256.62</v>
      </c>
      <c r="F10118" t="s">
        <v>7</v>
      </c>
      <c r="G10118" t="s">
        <v>12</v>
      </c>
      <c r="H10118" s="5">
        <f>MONTH(Tabela1[[#This Row],[data]])</f>
        <v>2</v>
      </c>
      <c r="I10118">
        <f>YEAR(Tabela1[[#This Row],[data]])</f>
        <v>2026</v>
      </c>
    </row>
    <row r="10119" spans="1:9" x14ac:dyDescent="0.25">
      <c r="A10119" t="s">
        <v>6</v>
      </c>
      <c r="B10119" s="1">
        <v>46079</v>
      </c>
      <c r="C10119">
        <v>14</v>
      </c>
      <c r="D10119">
        <v>990.36</v>
      </c>
      <c r="E10119">
        <v>260.82</v>
      </c>
      <c r="F10119" t="s">
        <v>7</v>
      </c>
      <c r="G10119" t="s">
        <v>12</v>
      </c>
      <c r="H10119" s="5">
        <f>MONTH(Tabela1[[#This Row],[data]])</f>
        <v>2</v>
      </c>
      <c r="I10119">
        <f>YEAR(Tabela1[[#This Row],[data]])</f>
        <v>2026</v>
      </c>
    </row>
    <row r="10120" spans="1:9" x14ac:dyDescent="0.25">
      <c r="A10120" t="s">
        <v>6</v>
      </c>
      <c r="B10120" s="1">
        <v>46079</v>
      </c>
      <c r="C10120">
        <v>15</v>
      </c>
      <c r="D10120">
        <v>977.34</v>
      </c>
      <c r="E10120">
        <v>269.22000000000003</v>
      </c>
      <c r="F10120" t="s">
        <v>7</v>
      </c>
      <c r="G10120" t="s">
        <v>12</v>
      </c>
      <c r="H10120" s="5">
        <f>MONTH(Tabela1[[#This Row],[data]])</f>
        <v>2</v>
      </c>
      <c r="I10120">
        <f>YEAR(Tabela1[[#This Row],[data]])</f>
        <v>2026</v>
      </c>
    </row>
    <row r="10121" spans="1:9" x14ac:dyDescent="0.25">
      <c r="A10121" t="s">
        <v>6</v>
      </c>
      <c r="B10121" s="1">
        <v>46079</v>
      </c>
      <c r="C10121">
        <v>16</v>
      </c>
      <c r="D10121">
        <v>981.54</v>
      </c>
      <c r="E10121">
        <v>262.08</v>
      </c>
      <c r="F10121" t="s">
        <v>7</v>
      </c>
      <c r="G10121" t="s">
        <v>12</v>
      </c>
      <c r="H10121" s="5">
        <f>MONTH(Tabela1[[#This Row],[data]])</f>
        <v>2</v>
      </c>
      <c r="I10121">
        <f>YEAR(Tabela1[[#This Row],[data]])</f>
        <v>2026</v>
      </c>
    </row>
    <row r="10122" spans="1:9" x14ac:dyDescent="0.25">
      <c r="A10122" t="s">
        <v>6</v>
      </c>
      <c r="B10122" s="1">
        <v>46079</v>
      </c>
      <c r="C10122">
        <v>17</v>
      </c>
      <c r="D10122">
        <v>972.72</v>
      </c>
      <c r="E10122">
        <v>251.58</v>
      </c>
      <c r="F10122" t="s">
        <v>7</v>
      </c>
      <c r="G10122" t="s">
        <v>12</v>
      </c>
      <c r="H10122" s="5">
        <f>MONTH(Tabela1[[#This Row],[data]])</f>
        <v>2</v>
      </c>
      <c r="I10122">
        <f>YEAR(Tabela1[[#This Row],[data]])</f>
        <v>2026</v>
      </c>
    </row>
    <row r="10123" spans="1:9" x14ac:dyDescent="0.25">
      <c r="A10123" t="s">
        <v>6</v>
      </c>
      <c r="B10123" s="1">
        <v>46079</v>
      </c>
      <c r="C10123">
        <v>18</v>
      </c>
      <c r="D10123">
        <v>943.32</v>
      </c>
      <c r="E10123">
        <v>238.56</v>
      </c>
      <c r="F10123" t="s">
        <v>7</v>
      </c>
      <c r="G10123" t="s">
        <v>12</v>
      </c>
      <c r="H10123" s="5">
        <f>MONTH(Tabela1[[#This Row],[data]])</f>
        <v>2</v>
      </c>
      <c r="I10123">
        <f>YEAR(Tabela1[[#This Row],[data]])</f>
        <v>2026</v>
      </c>
    </row>
    <row r="10124" spans="1:9" x14ac:dyDescent="0.25">
      <c r="A10124" t="s">
        <v>6</v>
      </c>
      <c r="B10124" s="1">
        <v>46079</v>
      </c>
      <c r="C10124">
        <v>19</v>
      </c>
      <c r="D10124">
        <v>908.04</v>
      </c>
      <c r="E10124">
        <v>222.18</v>
      </c>
      <c r="F10124" t="s">
        <v>7</v>
      </c>
      <c r="G10124" t="s">
        <v>12</v>
      </c>
      <c r="H10124" s="5">
        <f>MONTH(Tabela1[[#This Row],[data]])</f>
        <v>2</v>
      </c>
      <c r="I10124">
        <f>YEAR(Tabela1[[#This Row],[data]])</f>
        <v>2026</v>
      </c>
    </row>
    <row r="10125" spans="1:9" x14ac:dyDescent="0.25">
      <c r="A10125" t="s">
        <v>6</v>
      </c>
      <c r="B10125" s="1">
        <v>46079</v>
      </c>
      <c r="C10125">
        <v>20</v>
      </c>
      <c r="D10125">
        <v>884.1</v>
      </c>
      <c r="E10125">
        <v>193.2</v>
      </c>
      <c r="F10125" t="s">
        <v>7</v>
      </c>
      <c r="G10125" t="s">
        <v>12</v>
      </c>
      <c r="H10125" s="5">
        <f>MONTH(Tabela1[[#This Row],[data]])</f>
        <v>2</v>
      </c>
      <c r="I10125">
        <f>YEAR(Tabela1[[#This Row],[data]])</f>
        <v>2026</v>
      </c>
    </row>
    <row r="10126" spans="1:9" x14ac:dyDescent="0.25">
      <c r="A10126" t="s">
        <v>6</v>
      </c>
      <c r="B10126" s="1">
        <v>46079</v>
      </c>
      <c r="C10126">
        <v>21</v>
      </c>
      <c r="D10126">
        <v>839.58</v>
      </c>
      <c r="E10126">
        <v>183.12</v>
      </c>
      <c r="F10126" t="s">
        <v>7</v>
      </c>
      <c r="G10126" t="s">
        <v>12</v>
      </c>
      <c r="H10126" s="5">
        <f>MONTH(Tabela1[[#This Row],[data]])</f>
        <v>2</v>
      </c>
      <c r="I10126">
        <f>YEAR(Tabela1[[#This Row],[data]])</f>
        <v>2026</v>
      </c>
    </row>
    <row r="10127" spans="1:9" x14ac:dyDescent="0.25">
      <c r="A10127" t="s">
        <v>6</v>
      </c>
      <c r="B10127" s="1">
        <v>46079</v>
      </c>
      <c r="C10127">
        <v>22</v>
      </c>
      <c r="D10127">
        <v>698.88</v>
      </c>
      <c r="E10127">
        <v>117.6</v>
      </c>
      <c r="F10127" t="s">
        <v>7</v>
      </c>
      <c r="G10127" t="s">
        <v>12</v>
      </c>
      <c r="H10127" s="5">
        <f>MONTH(Tabela1[[#This Row],[data]])</f>
        <v>2</v>
      </c>
      <c r="I10127">
        <f>YEAR(Tabela1[[#This Row],[data]])</f>
        <v>2026</v>
      </c>
    </row>
    <row r="10128" spans="1:9" x14ac:dyDescent="0.25">
      <c r="A10128" t="s">
        <v>6</v>
      </c>
      <c r="B10128" s="1">
        <v>46079</v>
      </c>
      <c r="C10128">
        <v>23</v>
      </c>
      <c r="D10128">
        <v>340.2</v>
      </c>
      <c r="E10128">
        <v>0</v>
      </c>
      <c r="F10128" t="s">
        <v>7</v>
      </c>
      <c r="G10128" t="s">
        <v>12</v>
      </c>
      <c r="H10128" s="5">
        <f>MONTH(Tabela1[[#This Row],[data]])</f>
        <v>2</v>
      </c>
      <c r="I10128">
        <f>YEAR(Tabela1[[#This Row],[data]])</f>
        <v>2026</v>
      </c>
    </row>
    <row r="10129" spans="1:9" x14ac:dyDescent="0.25">
      <c r="A10129" t="s">
        <v>6</v>
      </c>
      <c r="B10129" s="1">
        <v>46079</v>
      </c>
      <c r="C10129">
        <v>24</v>
      </c>
      <c r="D10129">
        <v>261.66000000000003</v>
      </c>
      <c r="E10129">
        <v>0</v>
      </c>
      <c r="F10129" t="s">
        <v>7</v>
      </c>
      <c r="G10129" t="s">
        <v>12</v>
      </c>
      <c r="H10129" s="5">
        <f>MONTH(Tabela1[[#This Row],[data]])</f>
        <v>2</v>
      </c>
      <c r="I10129">
        <f>YEAR(Tabela1[[#This Row],[data]])</f>
        <v>2026</v>
      </c>
    </row>
    <row r="10130" spans="1:9" x14ac:dyDescent="0.25">
      <c r="A10130" t="s">
        <v>6</v>
      </c>
      <c r="B10130" s="1">
        <v>46080</v>
      </c>
      <c r="C10130">
        <v>1</v>
      </c>
      <c r="D10130">
        <v>233.52</v>
      </c>
      <c r="E10130">
        <v>0</v>
      </c>
      <c r="F10130" t="s">
        <v>7</v>
      </c>
      <c r="G10130" t="s">
        <v>11</v>
      </c>
      <c r="H10130" s="5">
        <f>MONTH(Tabela1[[#This Row],[data]])</f>
        <v>2</v>
      </c>
      <c r="I10130">
        <f>YEAR(Tabela1[[#This Row],[data]])</f>
        <v>2026</v>
      </c>
    </row>
    <row r="10131" spans="1:9" x14ac:dyDescent="0.25">
      <c r="A10131" t="s">
        <v>6</v>
      </c>
      <c r="B10131" s="1">
        <v>46080</v>
      </c>
      <c r="C10131">
        <v>2</v>
      </c>
      <c r="D10131">
        <v>223.02</v>
      </c>
      <c r="E10131">
        <v>0</v>
      </c>
      <c r="F10131" t="s">
        <v>7</v>
      </c>
      <c r="G10131" t="s">
        <v>11</v>
      </c>
      <c r="H10131" s="5">
        <f>MONTH(Tabela1[[#This Row],[data]])</f>
        <v>2</v>
      </c>
      <c r="I10131">
        <f>YEAR(Tabela1[[#This Row],[data]])</f>
        <v>2026</v>
      </c>
    </row>
    <row r="10132" spans="1:9" x14ac:dyDescent="0.25">
      <c r="A10132" t="s">
        <v>6</v>
      </c>
      <c r="B10132" s="1">
        <v>46080</v>
      </c>
      <c r="C10132">
        <v>3</v>
      </c>
      <c r="D10132">
        <v>221.34</v>
      </c>
      <c r="E10132">
        <v>0</v>
      </c>
      <c r="F10132" t="s">
        <v>7</v>
      </c>
      <c r="G10132" t="s">
        <v>11</v>
      </c>
      <c r="H10132" s="5">
        <f>MONTH(Tabela1[[#This Row],[data]])</f>
        <v>2</v>
      </c>
      <c r="I10132">
        <f>YEAR(Tabela1[[#This Row],[data]])</f>
        <v>2026</v>
      </c>
    </row>
    <row r="10133" spans="1:9" x14ac:dyDescent="0.25">
      <c r="A10133" t="s">
        <v>6</v>
      </c>
      <c r="B10133" s="1">
        <v>46080</v>
      </c>
      <c r="C10133">
        <v>4</v>
      </c>
      <c r="D10133">
        <v>217.14</v>
      </c>
      <c r="E10133">
        <v>0</v>
      </c>
      <c r="F10133" t="s">
        <v>7</v>
      </c>
      <c r="G10133" t="s">
        <v>11</v>
      </c>
      <c r="H10133" s="5">
        <f>MONTH(Tabela1[[#This Row],[data]])</f>
        <v>2</v>
      </c>
      <c r="I10133">
        <f>YEAR(Tabela1[[#This Row],[data]])</f>
        <v>2026</v>
      </c>
    </row>
    <row r="10134" spans="1:9" x14ac:dyDescent="0.25">
      <c r="A10134" t="s">
        <v>6</v>
      </c>
      <c r="B10134" s="1">
        <v>46080</v>
      </c>
      <c r="C10134">
        <v>5</v>
      </c>
      <c r="D10134">
        <v>214.62</v>
      </c>
      <c r="E10134">
        <v>0</v>
      </c>
      <c r="F10134" t="s">
        <v>7</v>
      </c>
      <c r="G10134" t="s">
        <v>11</v>
      </c>
      <c r="H10134" s="5">
        <f>MONTH(Tabela1[[#This Row],[data]])</f>
        <v>2</v>
      </c>
      <c r="I10134">
        <f>YEAR(Tabela1[[#This Row],[data]])</f>
        <v>2026</v>
      </c>
    </row>
    <row r="10135" spans="1:9" x14ac:dyDescent="0.25">
      <c r="A10135" t="s">
        <v>6</v>
      </c>
      <c r="B10135" s="1">
        <v>46080</v>
      </c>
      <c r="C10135">
        <v>6</v>
      </c>
      <c r="D10135">
        <v>213.36</v>
      </c>
      <c r="E10135">
        <v>0</v>
      </c>
      <c r="F10135" t="s">
        <v>7</v>
      </c>
      <c r="G10135" t="s">
        <v>11</v>
      </c>
      <c r="H10135" s="5">
        <f>MONTH(Tabela1[[#This Row],[data]])</f>
        <v>2</v>
      </c>
      <c r="I10135">
        <f>YEAR(Tabela1[[#This Row],[data]])</f>
        <v>2026</v>
      </c>
    </row>
    <row r="10136" spans="1:9" x14ac:dyDescent="0.25">
      <c r="A10136" t="s">
        <v>6</v>
      </c>
      <c r="B10136" s="1">
        <v>46080</v>
      </c>
      <c r="C10136">
        <v>7</v>
      </c>
      <c r="D10136">
        <v>202.86</v>
      </c>
      <c r="E10136">
        <v>0</v>
      </c>
      <c r="F10136" t="s">
        <v>7</v>
      </c>
      <c r="G10136" t="s">
        <v>11</v>
      </c>
      <c r="H10136" s="5">
        <f>MONTH(Tabela1[[#This Row],[data]])</f>
        <v>2</v>
      </c>
      <c r="I10136">
        <f>YEAR(Tabela1[[#This Row],[data]])</f>
        <v>2026</v>
      </c>
    </row>
    <row r="10137" spans="1:9" x14ac:dyDescent="0.25">
      <c r="A10137" t="s">
        <v>6</v>
      </c>
      <c r="B10137" s="1">
        <v>46080</v>
      </c>
      <c r="C10137">
        <v>8</v>
      </c>
      <c r="D10137">
        <v>236.46</v>
      </c>
      <c r="E10137">
        <v>0</v>
      </c>
      <c r="F10137" t="s">
        <v>7</v>
      </c>
      <c r="G10137" t="s">
        <v>11</v>
      </c>
      <c r="H10137" s="5">
        <f>MONTH(Tabela1[[#This Row],[data]])</f>
        <v>2</v>
      </c>
      <c r="I10137">
        <f>YEAR(Tabela1[[#This Row],[data]])</f>
        <v>2026</v>
      </c>
    </row>
    <row r="10138" spans="1:9" x14ac:dyDescent="0.25">
      <c r="A10138" t="s">
        <v>6</v>
      </c>
      <c r="B10138" s="1">
        <v>46080</v>
      </c>
      <c r="C10138">
        <v>9</v>
      </c>
      <c r="D10138">
        <v>342.72</v>
      </c>
      <c r="E10138">
        <v>0</v>
      </c>
      <c r="F10138" t="s">
        <v>7</v>
      </c>
      <c r="G10138" t="s">
        <v>11</v>
      </c>
      <c r="H10138" s="5">
        <f>MONTH(Tabela1[[#This Row],[data]])</f>
        <v>2</v>
      </c>
      <c r="I10138">
        <f>YEAR(Tabela1[[#This Row],[data]])</f>
        <v>2026</v>
      </c>
    </row>
    <row r="10139" spans="1:9" x14ac:dyDescent="0.25">
      <c r="A10139" t="s">
        <v>6</v>
      </c>
      <c r="B10139" s="1">
        <v>46080</v>
      </c>
      <c r="C10139">
        <v>10</v>
      </c>
      <c r="D10139">
        <v>511.14</v>
      </c>
      <c r="E10139">
        <v>47.04</v>
      </c>
      <c r="F10139" t="s">
        <v>7</v>
      </c>
      <c r="G10139" t="s">
        <v>11</v>
      </c>
      <c r="H10139" s="5">
        <f>MONTH(Tabela1[[#This Row],[data]])</f>
        <v>2</v>
      </c>
      <c r="I10139">
        <f>YEAR(Tabela1[[#This Row],[data]])</f>
        <v>2026</v>
      </c>
    </row>
    <row r="10140" spans="1:9" x14ac:dyDescent="0.25">
      <c r="A10140" t="s">
        <v>6</v>
      </c>
      <c r="B10140" s="1">
        <v>46080</v>
      </c>
      <c r="C10140">
        <v>11</v>
      </c>
      <c r="D10140">
        <v>847.56</v>
      </c>
      <c r="E10140">
        <v>224.7</v>
      </c>
      <c r="F10140" t="s">
        <v>7</v>
      </c>
      <c r="G10140" t="s">
        <v>11</v>
      </c>
      <c r="H10140" s="5">
        <f>MONTH(Tabela1[[#This Row],[data]])</f>
        <v>2</v>
      </c>
      <c r="I10140">
        <f>YEAR(Tabela1[[#This Row],[data]])</f>
        <v>2026</v>
      </c>
    </row>
    <row r="10141" spans="1:9" x14ac:dyDescent="0.25">
      <c r="A10141" t="s">
        <v>6</v>
      </c>
      <c r="B10141" s="1">
        <v>46080</v>
      </c>
      <c r="C10141">
        <v>12</v>
      </c>
      <c r="D10141">
        <v>809.34</v>
      </c>
      <c r="E10141">
        <v>200.76</v>
      </c>
      <c r="F10141" t="s">
        <v>7</v>
      </c>
      <c r="G10141" t="s">
        <v>11</v>
      </c>
      <c r="H10141" s="5">
        <f>MONTH(Tabela1[[#This Row],[data]])</f>
        <v>2</v>
      </c>
      <c r="I10141">
        <f>YEAR(Tabela1[[#This Row],[data]])</f>
        <v>2026</v>
      </c>
    </row>
    <row r="10142" spans="1:9" x14ac:dyDescent="0.25">
      <c r="A10142" t="s">
        <v>6</v>
      </c>
      <c r="B10142" s="1">
        <v>46080</v>
      </c>
      <c r="C10142">
        <v>13</v>
      </c>
      <c r="D10142">
        <v>816.06</v>
      </c>
      <c r="E10142">
        <v>186.48</v>
      </c>
      <c r="F10142" t="s">
        <v>7</v>
      </c>
      <c r="G10142" t="s">
        <v>11</v>
      </c>
      <c r="H10142" s="5">
        <f>MONTH(Tabela1[[#This Row],[data]])</f>
        <v>2</v>
      </c>
      <c r="I10142">
        <f>YEAR(Tabela1[[#This Row],[data]])</f>
        <v>2026</v>
      </c>
    </row>
    <row r="10143" spans="1:9" x14ac:dyDescent="0.25">
      <c r="A10143" t="s">
        <v>6</v>
      </c>
      <c r="B10143" s="1">
        <v>46080</v>
      </c>
      <c r="C10143">
        <v>14</v>
      </c>
      <c r="D10143">
        <v>817.74</v>
      </c>
      <c r="E10143">
        <v>161.28</v>
      </c>
      <c r="F10143" t="s">
        <v>7</v>
      </c>
      <c r="G10143" t="s">
        <v>11</v>
      </c>
      <c r="H10143" s="5">
        <f>MONTH(Tabela1[[#This Row],[data]])</f>
        <v>2</v>
      </c>
      <c r="I10143">
        <f>YEAR(Tabela1[[#This Row],[data]])</f>
        <v>2026</v>
      </c>
    </row>
    <row r="10144" spans="1:9" x14ac:dyDescent="0.25">
      <c r="A10144" t="s">
        <v>6</v>
      </c>
      <c r="B10144" s="1">
        <v>46080</v>
      </c>
      <c r="C10144">
        <v>15</v>
      </c>
      <c r="D10144">
        <v>832.02</v>
      </c>
      <c r="E10144">
        <v>164.64</v>
      </c>
      <c r="F10144" t="s">
        <v>7</v>
      </c>
      <c r="G10144" t="s">
        <v>11</v>
      </c>
      <c r="H10144" s="5">
        <f>MONTH(Tabela1[[#This Row],[data]])</f>
        <v>2</v>
      </c>
      <c r="I10144">
        <f>YEAR(Tabela1[[#This Row],[data]])</f>
        <v>2026</v>
      </c>
    </row>
    <row r="10145" spans="1:9" x14ac:dyDescent="0.25">
      <c r="A10145" t="s">
        <v>6</v>
      </c>
      <c r="B10145" s="1">
        <v>46080</v>
      </c>
      <c r="C10145">
        <v>16</v>
      </c>
      <c r="D10145">
        <v>823.62</v>
      </c>
      <c r="E10145">
        <v>173.46</v>
      </c>
      <c r="F10145" t="s">
        <v>7</v>
      </c>
      <c r="G10145" t="s">
        <v>11</v>
      </c>
      <c r="H10145" s="5">
        <f>MONTH(Tabela1[[#This Row],[data]])</f>
        <v>2</v>
      </c>
      <c r="I10145">
        <f>YEAR(Tabela1[[#This Row],[data]])</f>
        <v>2026</v>
      </c>
    </row>
    <row r="10146" spans="1:9" x14ac:dyDescent="0.25">
      <c r="A10146" t="s">
        <v>6</v>
      </c>
      <c r="B10146" s="1">
        <v>46080</v>
      </c>
      <c r="C10146">
        <v>17</v>
      </c>
      <c r="D10146">
        <v>807.24</v>
      </c>
      <c r="E10146">
        <v>181.86</v>
      </c>
      <c r="F10146" t="s">
        <v>7</v>
      </c>
      <c r="G10146" t="s">
        <v>11</v>
      </c>
      <c r="H10146" s="5">
        <f>MONTH(Tabela1[[#This Row],[data]])</f>
        <v>2</v>
      </c>
      <c r="I10146">
        <f>YEAR(Tabela1[[#This Row],[data]])</f>
        <v>2026</v>
      </c>
    </row>
    <row r="10147" spans="1:9" x14ac:dyDescent="0.25">
      <c r="A10147" t="s">
        <v>6</v>
      </c>
      <c r="B10147" s="1">
        <v>46080</v>
      </c>
      <c r="C10147">
        <v>18</v>
      </c>
      <c r="D10147">
        <v>832.44</v>
      </c>
      <c r="E10147">
        <v>178.92</v>
      </c>
      <c r="F10147" t="s">
        <v>7</v>
      </c>
      <c r="G10147" t="s">
        <v>11</v>
      </c>
      <c r="H10147" s="5">
        <f>MONTH(Tabela1[[#This Row],[data]])</f>
        <v>2</v>
      </c>
      <c r="I10147">
        <f>YEAR(Tabela1[[#This Row],[data]])</f>
        <v>2026</v>
      </c>
    </row>
    <row r="10148" spans="1:9" x14ac:dyDescent="0.25">
      <c r="A10148" t="s">
        <v>6</v>
      </c>
      <c r="B10148" s="1">
        <v>46080</v>
      </c>
      <c r="C10148">
        <v>19</v>
      </c>
      <c r="D10148">
        <v>788.34</v>
      </c>
      <c r="E10148">
        <v>148.68</v>
      </c>
      <c r="F10148" t="s">
        <v>7</v>
      </c>
      <c r="G10148" t="s">
        <v>11</v>
      </c>
      <c r="H10148" s="5">
        <f>MONTH(Tabela1[[#This Row],[data]])</f>
        <v>2</v>
      </c>
      <c r="I10148">
        <f>YEAR(Tabela1[[#This Row],[data]])</f>
        <v>2026</v>
      </c>
    </row>
    <row r="10149" spans="1:9" x14ac:dyDescent="0.25">
      <c r="A10149" t="s">
        <v>6</v>
      </c>
      <c r="B10149" s="1">
        <v>46080</v>
      </c>
      <c r="C10149">
        <v>20</v>
      </c>
      <c r="D10149">
        <v>773.22</v>
      </c>
      <c r="E10149">
        <v>137.34</v>
      </c>
      <c r="F10149" t="s">
        <v>7</v>
      </c>
      <c r="G10149" t="s">
        <v>11</v>
      </c>
      <c r="H10149" s="5">
        <f>MONTH(Tabela1[[#This Row],[data]])</f>
        <v>2</v>
      </c>
      <c r="I10149">
        <f>YEAR(Tabela1[[#This Row],[data]])</f>
        <v>2026</v>
      </c>
    </row>
    <row r="10150" spans="1:9" x14ac:dyDescent="0.25">
      <c r="A10150" t="s">
        <v>6</v>
      </c>
      <c r="B10150" s="1">
        <v>46080</v>
      </c>
      <c r="C10150">
        <v>21</v>
      </c>
      <c r="D10150">
        <v>781.2</v>
      </c>
      <c r="E10150">
        <v>144.47999999999999</v>
      </c>
      <c r="F10150" t="s">
        <v>7</v>
      </c>
      <c r="G10150" t="s">
        <v>11</v>
      </c>
      <c r="H10150" s="5">
        <f>MONTH(Tabela1[[#This Row],[data]])</f>
        <v>2</v>
      </c>
      <c r="I10150">
        <f>YEAR(Tabela1[[#This Row],[data]])</f>
        <v>2026</v>
      </c>
    </row>
    <row r="10151" spans="1:9" x14ac:dyDescent="0.25">
      <c r="A10151" t="s">
        <v>6</v>
      </c>
      <c r="B10151" s="1">
        <v>46080</v>
      </c>
      <c r="C10151">
        <v>22</v>
      </c>
      <c r="D10151">
        <v>753.06</v>
      </c>
      <c r="E10151">
        <v>134.4</v>
      </c>
      <c r="F10151" t="s">
        <v>7</v>
      </c>
      <c r="G10151" t="s">
        <v>11</v>
      </c>
      <c r="H10151" s="5">
        <f>MONTH(Tabela1[[#This Row],[data]])</f>
        <v>2</v>
      </c>
      <c r="I10151">
        <f>YEAR(Tabela1[[#This Row],[data]])</f>
        <v>2026</v>
      </c>
    </row>
    <row r="10152" spans="1:9" x14ac:dyDescent="0.25">
      <c r="A10152" t="s">
        <v>6</v>
      </c>
      <c r="B10152" s="1">
        <v>46080</v>
      </c>
      <c r="C10152">
        <v>23</v>
      </c>
      <c r="D10152">
        <v>420.84</v>
      </c>
      <c r="E10152">
        <v>21</v>
      </c>
      <c r="F10152" t="s">
        <v>7</v>
      </c>
      <c r="G10152" t="s">
        <v>11</v>
      </c>
      <c r="H10152" s="5">
        <f>MONTH(Tabela1[[#This Row],[data]])</f>
        <v>2</v>
      </c>
      <c r="I10152">
        <f>YEAR(Tabela1[[#This Row],[data]])</f>
        <v>2026</v>
      </c>
    </row>
    <row r="10153" spans="1:9" x14ac:dyDescent="0.25">
      <c r="A10153" t="s">
        <v>6</v>
      </c>
      <c r="B10153" s="1">
        <v>46080</v>
      </c>
      <c r="C10153">
        <v>24</v>
      </c>
      <c r="D10153">
        <v>267.12</v>
      </c>
      <c r="E10153">
        <v>0</v>
      </c>
      <c r="F10153" t="s">
        <v>7</v>
      </c>
      <c r="G10153" t="s">
        <v>11</v>
      </c>
      <c r="H10153" s="5">
        <f>MONTH(Tabela1[[#This Row],[data]])</f>
        <v>2</v>
      </c>
      <c r="I10153">
        <f>YEAR(Tabela1[[#This Row],[data]])</f>
        <v>2026</v>
      </c>
    </row>
    <row r="10154" spans="1:9" x14ac:dyDescent="0.25">
      <c r="A10154" t="s">
        <v>6</v>
      </c>
      <c r="B10154" s="1">
        <v>46081</v>
      </c>
      <c r="C10154">
        <v>1</v>
      </c>
      <c r="D10154">
        <v>223.86</v>
      </c>
      <c r="E10154">
        <v>0</v>
      </c>
      <c r="F10154" t="s">
        <v>7</v>
      </c>
      <c r="G10154" t="s">
        <v>11</v>
      </c>
      <c r="H10154" s="5">
        <f>MONTH(Tabela1[[#This Row],[data]])</f>
        <v>2</v>
      </c>
      <c r="I10154">
        <f>YEAR(Tabela1[[#This Row],[data]])</f>
        <v>2026</v>
      </c>
    </row>
    <row r="10155" spans="1:9" x14ac:dyDescent="0.25">
      <c r="A10155" t="s">
        <v>6</v>
      </c>
      <c r="B10155" s="1">
        <v>46081</v>
      </c>
      <c r="C10155">
        <v>2</v>
      </c>
      <c r="D10155">
        <v>217.56</v>
      </c>
      <c r="E10155">
        <v>0</v>
      </c>
      <c r="F10155" t="s">
        <v>7</v>
      </c>
      <c r="G10155" t="s">
        <v>11</v>
      </c>
      <c r="H10155" s="5">
        <f>MONTH(Tabela1[[#This Row],[data]])</f>
        <v>2</v>
      </c>
      <c r="I10155">
        <f>YEAR(Tabela1[[#This Row],[data]])</f>
        <v>2026</v>
      </c>
    </row>
    <row r="10156" spans="1:9" x14ac:dyDescent="0.25">
      <c r="A10156" t="s">
        <v>6</v>
      </c>
      <c r="B10156" s="1">
        <v>46081</v>
      </c>
      <c r="C10156">
        <v>3</v>
      </c>
      <c r="D10156">
        <v>214.62</v>
      </c>
      <c r="E10156">
        <v>0</v>
      </c>
      <c r="F10156" t="s">
        <v>7</v>
      </c>
      <c r="G10156" t="s">
        <v>11</v>
      </c>
      <c r="H10156" s="5">
        <f>MONTH(Tabela1[[#This Row],[data]])</f>
        <v>2</v>
      </c>
      <c r="I10156">
        <f>YEAR(Tabela1[[#This Row],[data]])</f>
        <v>2026</v>
      </c>
    </row>
    <row r="10157" spans="1:9" x14ac:dyDescent="0.25">
      <c r="A10157" t="s">
        <v>6</v>
      </c>
      <c r="B10157" s="1">
        <v>46081</v>
      </c>
      <c r="C10157">
        <v>4</v>
      </c>
      <c r="D10157">
        <v>212.1</v>
      </c>
      <c r="E10157">
        <v>0</v>
      </c>
      <c r="F10157" t="s">
        <v>7</v>
      </c>
      <c r="G10157" t="s">
        <v>11</v>
      </c>
      <c r="H10157" s="5">
        <f>MONTH(Tabela1[[#This Row],[data]])</f>
        <v>2</v>
      </c>
      <c r="I10157">
        <f>YEAR(Tabela1[[#This Row],[data]])</f>
        <v>2026</v>
      </c>
    </row>
    <row r="10158" spans="1:9" x14ac:dyDescent="0.25">
      <c r="A10158" t="s">
        <v>6</v>
      </c>
      <c r="B10158" s="1">
        <v>46081</v>
      </c>
      <c r="C10158">
        <v>5</v>
      </c>
      <c r="D10158">
        <v>217.56</v>
      </c>
      <c r="E10158">
        <v>0</v>
      </c>
      <c r="F10158" t="s">
        <v>7</v>
      </c>
      <c r="G10158" t="s">
        <v>11</v>
      </c>
      <c r="H10158" s="5">
        <f>MONTH(Tabela1[[#This Row],[data]])</f>
        <v>2</v>
      </c>
      <c r="I10158">
        <f>YEAR(Tabela1[[#This Row],[data]])</f>
        <v>2026</v>
      </c>
    </row>
    <row r="10159" spans="1:9" x14ac:dyDescent="0.25">
      <c r="A10159" t="s">
        <v>6</v>
      </c>
      <c r="B10159" s="1">
        <v>46081</v>
      </c>
      <c r="C10159">
        <v>6</v>
      </c>
      <c r="D10159">
        <v>212.52</v>
      </c>
      <c r="E10159">
        <v>0</v>
      </c>
      <c r="F10159" t="s">
        <v>7</v>
      </c>
      <c r="G10159" t="s">
        <v>11</v>
      </c>
      <c r="H10159" s="5">
        <f>MONTH(Tabela1[[#This Row],[data]])</f>
        <v>2</v>
      </c>
      <c r="I10159">
        <f>YEAR(Tabela1[[#This Row],[data]])</f>
        <v>2026</v>
      </c>
    </row>
    <row r="10160" spans="1:9" x14ac:dyDescent="0.25">
      <c r="A10160" t="s">
        <v>6</v>
      </c>
      <c r="B10160" s="1">
        <v>46081</v>
      </c>
      <c r="C10160">
        <v>7</v>
      </c>
      <c r="D10160">
        <v>219.66</v>
      </c>
      <c r="E10160">
        <v>0</v>
      </c>
      <c r="F10160" t="s">
        <v>7</v>
      </c>
      <c r="G10160" t="s">
        <v>11</v>
      </c>
      <c r="H10160" s="5">
        <f>MONTH(Tabela1[[#This Row],[data]])</f>
        <v>2</v>
      </c>
      <c r="I10160">
        <f>YEAR(Tabela1[[#This Row],[data]])</f>
        <v>2026</v>
      </c>
    </row>
    <row r="10161" spans="1:9" x14ac:dyDescent="0.25">
      <c r="A10161" t="s">
        <v>6</v>
      </c>
      <c r="B10161" s="1">
        <v>46081</v>
      </c>
      <c r="C10161">
        <v>8</v>
      </c>
      <c r="D10161">
        <v>243.18</v>
      </c>
      <c r="E10161">
        <v>0</v>
      </c>
      <c r="F10161" t="s">
        <v>7</v>
      </c>
      <c r="G10161" t="s">
        <v>11</v>
      </c>
      <c r="H10161" s="5">
        <f>MONTH(Tabela1[[#This Row],[data]])</f>
        <v>2</v>
      </c>
      <c r="I10161">
        <f>YEAR(Tabela1[[#This Row],[data]])</f>
        <v>2026</v>
      </c>
    </row>
    <row r="10162" spans="1:9" x14ac:dyDescent="0.25">
      <c r="A10162" t="s">
        <v>6</v>
      </c>
      <c r="B10162" s="1">
        <v>46081</v>
      </c>
      <c r="C10162">
        <v>9</v>
      </c>
      <c r="D10162">
        <v>359.52</v>
      </c>
      <c r="E10162">
        <v>0</v>
      </c>
      <c r="F10162" t="s">
        <v>7</v>
      </c>
      <c r="G10162" t="s">
        <v>11</v>
      </c>
      <c r="H10162" s="5">
        <f>MONTH(Tabela1[[#This Row],[data]])</f>
        <v>2</v>
      </c>
      <c r="I10162">
        <f>YEAR(Tabela1[[#This Row],[data]])</f>
        <v>2026</v>
      </c>
    </row>
    <row r="10163" spans="1:9" x14ac:dyDescent="0.25">
      <c r="A10163" t="s">
        <v>6</v>
      </c>
      <c r="B10163" s="1">
        <v>46081</v>
      </c>
      <c r="C10163">
        <v>10</v>
      </c>
      <c r="D10163">
        <v>461.58</v>
      </c>
      <c r="E10163">
        <v>23.94</v>
      </c>
      <c r="F10163" t="s">
        <v>7</v>
      </c>
      <c r="G10163" t="s">
        <v>11</v>
      </c>
      <c r="H10163" s="5">
        <f>MONTH(Tabela1[[#This Row],[data]])</f>
        <v>2</v>
      </c>
      <c r="I10163">
        <f>YEAR(Tabela1[[#This Row],[data]])</f>
        <v>2026</v>
      </c>
    </row>
    <row r="10164" spans="1:9" x14ac:dyDescent="0.25">
      <c r="A10164" t="s">
        <v>6</v>
      </c>
      <c r="B10164" s="1">
        <v>46081</v>
      </c>
      <c r="C10164">
        <v>11</v>
      </c>
      <c r="D10164">
        <v>955.92</v>
      </c>
      <c r="E10164">
        <v>224.7</v>
      </c>
      <c r="F10164" t="s">
        <v>7</v>
      </c>
      <c r="G10164" t="s">
        <v>11</v>
      </c>
      <c r="H10164" s="5">
        <f>MONTH(Tabela1[[#This Row],[data]])</f>
        <v>2</v>
      </c>
      <c r="I10164">
        <f>YEAR(Tabela1[[#This Row],[data]])</f>
        <v>2026</v>
      </c>
    </row>
    <row r="10165" spans="1:9" x14ac:dyDescent="0.25">
      <c r="A10165" t="s">
        <v>6</v>
      </c>
      <c r="B10165" s="1">
        <v>46081</v>
      </c>
      <c r="C10165">
        <v>12</v>
      </c>
      <c r="D10165">
        <v>881.16</v>
      </c>
      <c r="E10165">
        <v>186.48</v>
      </c>
      <c r="F10165" t="s">
        <v>7</v>
      </c>
      <c r="G10165" t="s">
        <v>11</v>
      </c>
      <c r="H10165" s="5">
        <f>MONTH(Tabela1[[#This Row],[data]])</f>
        <v>2</v>
      </c>
      <c r="I10165">
        <f>YEAR(Tabela1[[#This Row],[data]])</f>
        <v>2026</v>
      </c>
    </row>
    <row r="10166" spans="1:9" x14ac:dyDescent="0.25">
      <c r="A10166" t="s">
        <v>6</v>
      </c>
      <c r="B10166" s="1">
        <v>46081</v>
      </c>
      <c r="C10166">
        <v>13</v>
      </c>
      <c r="D10166">
        <v>870.24</v>
      </c>
      <c r="E10166">
        <v>183.12</v>
      </c>
      <c r="F10166" t="s">
        <v>7</v>
      </c>
      <c r="G10166" t="s">
        <v>11</v>
      </c>
      <c r="H10166" s="5">
        <f>MONTH(Tabela1[[#This Row],[data]])</f>
        <v>2</v>
      </c>
      <c r="I10166">
        <f>YEAR(Tabela1[[#This Row],[data]])</f>
        <v>2026</v>
      </c>
    </row>
    <row r="10167" spans="1:9" x14ac:dyDescent="0.25">
      <c r="A10167" t="s">
        <v>6</v>
      </c>
      <c r="B10167" s="1">
        <v>46081</v>
      </c>
      <c r="C10167">
        <v>14</v>
      </c>
      <c r="D10167">
        <v>864.36</v>
      </c>
      <c r="E10167">
        <v>178.08</v>
      </c>
      <c r="F10167" t="s">
        <v>7</v>
      </c>
      <c r="G10167" t="s">
        <v>11</v>
      </c>
      <c r="H10167" s="5">
        <f>MONTH(Tabela1[[#This Row],[data]])</f>
        <v>2</v>
      </c>
      <c r="I10167">
        <f>YEAR(Tabela1[[#This Row],[data]])</f>
        <v>2026</v>
      </c>
    </row>
    <row r="10168" spans="1:9" x14ac:dyDescent="0.25">
      <c r="A10168" t="s">
        <v>6</v>
      </c>
      <c r="B10168" s="1">
        <v>46081</v>
      </c>
      <c r="C10168">
        <v>15</v>
      </c>
      <c r="D10168">
        <v>884.1</v>
      </c>
      <c r="E10168">
        <v>183.54</v>
      </c>
      <c r="F10168" t="s">
        <v>7</v>
      </c>
      <c r="G10168" t="s">
        <v>11</v>
      </c>
      <c r="H10168" s="5">
        <f>MONTH(Tabela1[[#This Row],[data]])</f>
        <v>2</v>
      </c>
      <c r="I10168">
        <f>YEAR(Tabela1[[#This Row],[data]])</f>
        <v>2026</v>
      </c>
    </row>
    <row r="10169" spans="1:9" x14ac:dyDescent="0.25">
      <c r="A10169" t="s">
        <v>6</v>
      </c>
      <c r="B10169" s="1">
        <v>46081</v>
      </c>
      <c r="C10169">
        <v>16</v>
      </c>
      <c r="D10169">
        <v>906.78</v>
      </c>
      <c r="E10169">
        <v>207.06</v>
      </c>
      <c r="F10169" t="s">
        <v>7</v>
      </c>
      <c r="G10169" t="s">
        <v>11</v>
      </c>
      <c r="H10169" s="5">
        <f>MONTH(Tabela1[[#This Row],[data]])</f>
        <v>2</v>
      </c>
      <c r="I10169">
        <f>YEAR(Tabela1[[#This Row],[data]])</f>
        <v>2026</v>
      </c>
    </row>
    <row r="10170" spans="1:9" x14ac:dyDescent="0.25">
      <c r="A10170" t="s">
        <v>6</v>
      </c>
      <c r="B10170" s="1">
        <v>46081</v>
      </c>
      <c r="C10170">
        <v>17</v>
      </c>
      <c r="D10170">
        <v>904.68</v>
      </c>
      <c r="E10170">
        <v>235.62</v>
      </c>
      <c r="F10170" t="s">
        <v>7</v>
      </c>
      <c r="G10170" t="s">
        <v>11</v>
      </c>
      <c r="H10170" s="5">
        <f>MONTH(Tabela1[[#This Row],[data]])</f>
        <v>2</v>
      </c>
      <c r="I10170">
        <f>YEAR(Tabela1[[#This Row],[data]])</f>
        <v>2026</v>
      </c>
    </row>
    <row r="10171" spans="1:9" x14ac:dyDescent="0.25">
      <c r="A10171" t="s">
        <v>6</v>
      </c>
      <c r="B10171" s="1">
        <v>46081</v>
      </c>
      <c r="C10171">
        <v>18</v>
      </c>
      <c r="D10171">
        <v>883.68</v>
      </c>
      <c r="E10171">
        <v>192.36</v>
      </c>
      <c r="F10171" t="s">
        <v>7</v>
      </c>
      <c r="G10171" t="s">
        <v>11</v>
      </c>
      <c r="H10171" s="5">
        <f>MONTH(Tabela1[[#This Row],[data]])</f>
        <v>2</v>
      </c>
      <c r="I10171">
        <f>YEAR(Tabela1[[#This Row],[data]])</f>
        <v>2026</v>
      </c>
    </row>
    <row r="10172" spans="1:9" x14ac:dyDescent="0.25">
      <c r="A10172" t="s">
        <v>6</v>
      </c>
      <c r="B10172" s="1">
        <v>46081</v>
      </c>
      <c r="C10172">
        <v>19</v>
      </c>
      <c r="D10172">
        <v>859.32</v>
      </c>
      <c r="E10172">
        <v>169.26</v>
      </c>
      <c r="F10172" t="s">
        <v>7</v>
      </c>
      <c r="G10172" t="s">
        <v>11</v>
      </c>
      <c r="H10172" s="5">
        <f>MONTH(Tabela1[[#This Row],[data]])</f>
        <v>2</v>
      </c>
      <c r="I10172">
        <f>YEAR(Tabela1[[#This Row],[data]])</f>
        <v>2026</v>
      </c>
    </row>
    <row r="10173" spans="1:9" x14ac:dyDescent="0.25">
      <c r="A10173" t="s">
        <v>6</v>
      </c>
      <c r="B10173" s="1">
        <v>46081</v>
      </c>
      <c r="C10173">
        <v>20</v>
      </c>
      <c r="D10173">
        <v>848.82</v>
      </c>
      <c r="E10173">
        <v>175.98</v>
      </c>
      <c r="F10173" t="s">
        <v>7</v>
      </c>
      <c r="G10173" t="s">
        <v>11</v>
      </c>
      <c r="H10173" s="5">
        <f>MONTH(Tabela1[[#This Row],[data]])</f>
        <v>2</v>
      </c>
      <c r="I10173">
        <f>YEAR(Tabela1[[#This Row],[data]])</f>
        <v>2026</v>
      </c>
    </row>
    <row r="10174" spans="1:9" x14ac:dyDescent="0.25">
      <c r="A10174" t="s">
        <v>6</v>
      </c>
      <c r="B10174" s="1">
        <v>46081</v>
      </c>
      <c r="C10174">
        <v>21</v>
      </c>
      <c r="D10174">
        <v>859.74</v>
      </c>
      <c r="E10174">
        <v>192.36</v>
      </c>
      <c r="F10174" t="s">
        <v>7</v>
      </c>
      <c r="G10174" t="s">
        <v>11</v>
      </c>
      <c r="H10174" s="5">
        <f>MONTH(Tabela1[[#This Row],[data]])</f>
        <v>2</v>
      </c>
      <c r="I10174">
        <f>YEAR(Tabela1[[#This Row],[data]])</f>
        <v>2026</v>
      </c>
    </row>
    <row r="10175" spans="1:9" x14ac:dyDescent="0.25">
      <c r="A10175" t="s">
        <v>6</v>
      </c>
      <c r="B10175" s="1">
        <v>46081</v>
      </c>
      <c r="C10175">
        <v>22</v>
      </c>
      <c r="D10175">
        <v>774.06</v>
      </c>
      <c r="E10175">
        <v>144.06</v>
      </c>
      <c r="F10175" t="s">
        <v>7</v>
      </c>
      <c r="G10175" t="s">
        <v>11</v>
      </c>
      <c r="H10175" s="5">
        <f>MONTH(Tabela1[[#This Row],[data]])</f>
        <v>2</v>
      </c>
      <c r="I10175">
        <f>YEAR(Tabela1[[#This Row],[data]])</f>
        <v>2026</v>
      </c>
    </row>
    <row r="10176" spans="1:9" x14ac:dyDescent="0.25">
      <c r="A10176" t="s">
        <v>6</v>
      </c>
      <c r="B10176" s="1">
        <v>46081</v>
      </c>
      <c r="C10176">
        <v>23</v>
      </c>
      <c r="D10176">
        <v>423.78</v>
      </c>
      <c r="E10176">
        <v>2.1</v>
      </c>
      <c r="F10176" t="s">
        <v>7</v>
      </c>
      <c r="G10176" t="s">
        <v>11</v>
      </c>
      <c r="H10176" s="5">
        <f>MONTH(Tabela1[[#This Row],[data]])</f>
        <v>2</v>
      </c>
      <c r="I10176">
        <f>YEAR(Tabela1[[#This Row],[data]])</f>
        <v>2026</v>
      </c>
    </row>
    <row r="10177" spans="1:9" x14ac:dyDescent="0.25">
      <c r="A10177" t="s">
        <v>6</v>
      </c>
      <c r="B10177" s="1">
        <v>46081</v>
      </c>
      <c r="C10177">
        <v>24</v>
      </c>
      <c r="D10177">
        <v>286.02</v>
      </c>
      <c r="E10177">
        <v>0</v>
      </c>
      <c r="F10177" t="s">
        <v>7</v>
      </c>
      <c r="G10177" t="s">
        <v>11</v>
      </c>
      <c r="H10177" s="5">
        <f>MONTH(Tabela1[[#This Row],[data]])</f>
        <v>2</v>
      </c>
      <c r="I10177">
        <f>YEAR(Tabela1[[#This Row],[data]])</f>
        <v>2026</v>
      </c>
    </row>
    <row r="10178" spans="1:9" x14ac:dyDescent="0.25">
      <c r="A10178" t="s">
        <v>6</v>
      </c>
      <c r="B10178" s="1">
        <v>46082</v>
      </c>
      <c r="C10178">
        <v>1</v>
      </c>
      <c r="D10178">
        <v>241.5</v>
      </c>
      <c r="E10178">
        <v>0</v>
      </c>
      <c r="F10178" t="s">
        <v>7</v>
      </c>
      <c r="G10178" t="s">
        <v>11</v>
      </c>
      <c r="H10178" s="5">
        <f>MONTH(Tabela1[[#This Row],[data]])</f>
        <v>3</v>
      </c>
      <c r="I10178">
        <f>YEAR(Tabela1[[#This Row],[data]])</f>
        <v>2026</v>
      </c>
    </row>
    <row r="10179" spans="1:9" x14ac:dyDescent="0.25">
      <c r="A10179" t="s">
        <v>6</v>
      </c>
      <c r="B10179" s="1">
        <v>46082</v>
      </c>
      <c r="C10179">
        <v>2</v>
      </c>
      <c r="D10179">
        <v>221.34</v>
      </c>
      <c r="E10179">
        <v>0</v>
      </c>
      <c r="F10179" t="s">
        <v>7</v>
      </c>
      <c r="G10179" t="s">
        <v>11</v>
      </c>
      <c r="H10179" s="5">
        <f>MONTH(Tabela1[[#This Row],[data]])</f>
        <v>3</v>
      </c>
      <c r="I10179">
        <f>YEAR(Tabela1[[#This Row],[data]])</f>
        <v>2026</v>
      </c>
    </row>
    <row r="10180" spans="1:9" x14ac:dyDescent="0.25">
      <c r="A10180" t="s">
        <v>6</v>
      </c>
      <c r="B10180" s="1">
        <v>46082</v>
      </c>
      <c r="C10180">
        <v>3</v>
      </c>
      <c r="D10180">
        <v>221.76</v>
      </c>
      <c r="E10180">
        <v>0</v>
      </c>
      <c r="F10180" t="s">
        <v>7</v>
      </c>
      <c r="G10180" t="s">
        <v>11</v>
      </c>
      <c r="H10180" s="5">
        <f>MONTH(Tabela1[[#This Row],[data]])</f>
        <v>3</v>
      </c>
      <c r="I10180">
        <f>YEAR(Tabela1[[#This Row],[data]])</f>
        <v>2026</v>
      </c>
    </row>
    <row r="10181" spans="1:9" x14ac:dyDescent="0.25">
      <c r="A10181" t="s">
        <v>6</v>
      </c>
      <c r="B10181" s="1">
        <v>46082</v>
      </c>
      <c r="C10181">
        <v>4</v>
      </c>
      <c r="D10181">
        <v>214.2</v>
      </c>
      <c r="E10181">
        <v>0</v>
      </c>
      <c r="F10181" t="s">
        <v>7</v>
      </c>
      <c r="G10181" t="s">
        <v>11</v>
      </c>
      <c r="H10181" s="5">
        <f>MONTH(Tabela1[[#This Row],[data]])</f>
        <v>3</v>
      </c>
      <c r="I10181">
        <f>YEAR(Tabela1[[#This Row],[data]])</f>
        <v>2026</v>
      </c>
    </row>
    <row r="10182" spans="1:9" x14ac:dyDescent="0.25">
      <c r="A10182" t="s">
        <v>6</v>
      </c>
      <c r="B10182" s="1">
        <v>46082</v>
      </c>
      <c r="C10182">
        <v>5</v>
      </c>
      <c r="D10182">
        <v>217.14</v>
      </c>
      <c r="E10182">
        <v>0</v>
      </c>
      <c r="F10182" t="s">
        <v>7</v>
      </c>
      <c r="G10182" t="s">
        <v>11</v>
      </c>
      <c r="H10182" s="5">
        <f>MONTH(Tabela1[[#This Row],[data]])</f>
        <v>3</v>
      </c>
      <c r="I10182">
        <f>YEAR(Tabela1[[#This Row],[data]])</f>
        <v>2026</v>
      </c>
    </row>
    <row r="10183" spans="1:9" x14ac:dyDescent="0.25">
      <c r="A10183" t="s">
        <v>6</v>
      </c>
      <c r="B10183" s="1">
        <v>46082</v>
      </c>
      <c r="C10183">
        <v>6</v>
      </c>
      <c r="D10183">
        <v>215.04</v>
      </c>
      <c r="E10183">
        <v>0</v>
      </c>
      <c r="F10183" t="s">
        <v>7</v>
      </c>
      <c r="G10183" t="s">
        <v>11</v>
      </c>
      <c r="H10183" s="5">
        <f>MONTH(Tabela1[[#This Row],[data]])</f>
        <v>3</v>
      </c>
      <c r="I10183">
        <f>YEAR(Tabela1[[#This Row],[data]])</f>
        <v>2026</v>
      </c>
    </row>
    <row r="10184" spans="1:9" x14ac:dyDescent="0.25">
      <c r="A10184" t="s">
        <v>6</v>
      </c>
      <c r="B10184" s="1">
        <v>46082</v>
      </c>
      <c r="C10184">
        <v>7</v>
      </c>
      <c r="D10184">
        <v>192.78</v>
      </c>
      <c r="E10184">
        <v>0</v>
      </c>
      <c r="F10184" t="s">
        <v>7</v>
      </c>
      <c r="G10184" t="s">
        <v>11</v>
      </c>
      <c r="H10184" s="5">
        <f>MONTH(Tabela1[[#This Row],[data]])</f>
        <v>3</v>
      </c>
      <c r="I10184">
        <f>YEAR(Tabela1[[#This Row],[data]])</f>
        <v>2026</v>
      </c>
    </row>
    <row r="10185" spans="1:9" x14ac:dyDescent="0.25">
      <c r="A10185" t="s">
        <v>6</v>
      </c>
      <c r="B10185" s="1">
        <v>46082</v>
      </c>
      <c r="C10185">
        <v>8</v>
      </c>
      <c r="D10185">
        <v>215.46</v>
      </c>
      <c r="E10185">
        <v>0</v>
      </c>
      <c r="F10185" t="s">
        <v>7</v>
      </c>
      <c r="G10185" t="s">
        <v>11</v>
      </c>
      <c r="H10185" s="5">
        <f>MONTH(Tabela1[[#This Row],[data]])</f>
        <v>3</v>
      </c>
      <c r="I10185">
        <f>YEAR(Tabela1[[#This Row],[data]])</f>
        <v>2026</v>
      </c>
    </row>
    <row r="10186" spans="1:9" x14ac:dyDescent="0.25">
      <c r="A10186" t="s">
        <v>6</v>
      </c>
      <c r="B10186" s="1">
        <v>46082</v>
      </c>
      <c r="C10186">
        <v>9</v>
      </c>
      <c r="D10186">
        <v>268.8</v>
      </c>
      <c r="E10186">
        <v>0</v>
      </c>
      <c r="F10186" t="s">
        <v>7</v>
      </c>
      <c r="G10186" t="s">
        <v>11</v>
      </c>
      <c r="H10186" s="5">
        <f>MONTH(Tabela1[[#This Row],[data]])</f>
        <v>3</v>
      </c>
      <c r="I10186">
        <f>YEAR(Tabela1[[#This Row],[data]])</f>
        <v>2026</v>
      </c>
    </row>
    <row r="10187" spans="1:9" x14ac:dyDescent="0.25">
      <c r="A10187" t="s">
        <v>6</v>
      </c>
      <c r="B10187" s="1">
        <v>46082</v>
      </c>
      <c r="C10187">
        <v>10</v>
      </c>
      <c r="D10187">
        <v>312.06</v>
      </c>
      <c r="E10187">
        <v>0</v>
      </c>
      <c r="F10187" t="s">
        <v>7</v>
      </c>
      <c r="G10187" t="s">
        <v>11</v>
      </c>
      <c r="H10187" s="5">
        <f>MONTH(Tabela1[[#This Row],[data]])</f>
        <v>3</v>
      </c>
      <c r="I10187">
        <f>YEAR(Tabela1[[#This Row],[data]])</f>
        <v>2026</v>
      </c>
    </row>
    <row r="10188" spans="1:9" x14ac:dyDescent="0.25">
      <c r="A10188" t="s">
        <v>6</v>
      </c>
      <c r="B10188" s="1">
        <v>46082</v>
      </c>
      <c r="C10188">
        <v>11</v>
      </c>
      <c r="D10188">
        <v>389.34</v>
      </c>
      <c r="E10188">
        <v>5.04</v>
      </c>
      <c r="F10188" t="s">
        <v>7</v>
      </c>
      <c r="G10188" t="s">
        <v>11</v>
      </c>
      <c r="H10188" s="5">
        <f>MONTH(Tabela1[[#This Row],[data]])</f>
        <v>3</v>
      </c>
      <c r="I10188">
        <f>YEAR(Tabela1[[#This Row],[data]])</f>
        <v>2026</v>
      </c>
    </row>
    <row r="10189" spans="1:9" x14ac:dyDescent="0.25">
      <c r="A10189" t="s">
        <v>6</v>
      </c>
      <c r="B10189" s="1">
        <v>46082</v>
      </c>
      <c r="C10189">
        <v>12</v>
      </c>
      <c r="D10189">
        <v>459.9</v>
      </c>
      <c r="E10189">
        <v>14.28</v>
      </c>
      <c r="F10189" t="s">
        <v>7</v>
      </c>
      <c r="G10189" t="s">
        <v>11</v>
      </c>
      <c r="H10189" s="5">
        <f>MONTH(Tabela1[[#This Row],[data]])</f>
        <v>3</v>
      </c>
      <c r="I10189">
        <f>YEAR(Tabela1[[#This Row],[data]])</f>
        <v>2026</v>
      </c>
    </row>
    <row r="10190" spans="1:9" x14ac:dyDescent="0.25">
      <c r="A10190" t="s">
        <v>6</v>
      </c>
      <c r="B10190" s="1">
        <v>46082</v>
      </c>
      <c r="C10190">
        <v>13</v>
      </c>
      <c r="D10190">
        <v>539.28</v>
      </c>
      <c r="E10190">
        <v>34.020000000000003</v>
      </c>
      <c r="F10190" t="s">
        <v>7</v>
      </c>
      <c r="G10190" t="s">
        <v>11</v>
      </c>
      <c r="H10190" s="5">
        <f>MONTH(Tabela1[[#This Row],[data]])</f>
        <v>3</v>
      </c>
      <c r="I10190">
        <f>YEAR(Tabela1[[#This Row],[data]])</f>
        <v>2026</v>
      </c>
    </row>
    <row r="10191" spans="1:9" x14ac:dyDescent="0.25">
      <c r="A10191" t="s">
        <v>6</v>
      </c>
      <c r="B10191" s="1">
        <v>46082</v>
      </c>
      <c r="C10191">
        <v>14</v>
      </c>
      <c r="D10191">
        <v>588.84</v>
      </c>
      <c r="E10191">
        <v>54.18</v>
      </c>
      <c r="F10191" t="s">
        <v>7</v>
      </c>
      <c r="G10191" t="s">
        <v>11</v>
      </c>
      <c r="H10191" s="5">
        <f>MONTH(Tabela1[[#This Row],[data]])</f>
        <v>3</v>
      </c>
      <c r="I10191">
        <f>YEAR(Tabela1[[#This Row],[data]])</f>
        <v>2026</v>
      </c>
    </row>
    <row r="10192" spans="1:9" x14ac:dyDescent="0.25">
      <c r="A10192" t="s">
        <v>6</v>
      </c>
      <c r="B10192" s="1">
        <v>46082</v>
      </c>
      <c r="C10192">
        <v>15</v>
      </c>
      <c r="D10192">
        <v>615.72</v>
      </c>
      <c r="E10192">
        <v>67.2</v>
      </c>
      <c r="F10192" t="s">
        <v>7</v>
      </c>
      <c r="G10192" t="s">
        <v>11</v>
      </c>
      <c r="H10192" s="5">
        <f>MONTH(Tabela1[[#This Row],[data]])</f>
        <v>3</v>
      </c>
      <c r="I10192">
        <f>YEAR(Tabela1[[#This Row],[data]])</f>
        <v>2026</v>
      </c>
    </row>
    <row r="10193" spans="1:9" x14ac:dyDescent="0.25">
      <c r="A10193" t="s">
        <v>6</v>
      </c>
      <c r="B10193" s="1">
        <v>46082</v>
      </c>
      <c r="C10193">
        <v>16</v>
      </c>
      <c r="D10193">
        <v>624.54</v>
      </c>
      <c r="E10193">
        <v>75.180000000000007</v>
      </c>
      <c r="F10193" t="s">
        <v>7</v>
      </c>
      <c r="G10193" t="s">
        <v>11</v>
      </c>
      <c r="H10193" s="5">
        <f>MONTH(Tabela1[[#This Row],[data]])</f>
        <v>3</v>
      </c>
      <c r="I10193">
        <f>YEAR(Tabela1[[#This Row],[data]])</f>
        <v>2026</v>
      </c>
    </row>
    <row r="10194" spans="1:9" x14ac:dyDescent="0.25">
      <c r="A10194" t="s">
        <v>6</v>
      </c>
      <c r="B10194" s="1">
        <v>46082</v>
      </c>
      <c r="C10194">
        <v>17</v>
      </c>
      <c r="D10194">
        <v>606.05999999999995</v>
      </c>
      <c r="E10194">
        <v>76.44</v>
      </c>
      <c r="F10194" t="s">
        <v>7</v>
      </c>
      <c r="G10194" t="s">
        <v>11</v>
      </c>
      <c r="H10194" s="5">
        <f>MONTH(Tabela1[[#This Row],[data]])</f>
        <v>3</v>
      </c>
      <c r="I10194">
        <f>YEAR(Tabela1[[#This Row],[data]])</f>
        <v>2026</v>
      </c>
    </row>
    <row r="10195" spans="1:9" x14ac:dyDescent="0.25">
      <c r="A10195" t="s">
        <v>6</v>
      </c>
      <c r="B10195" s="1">
        <v>46082</v>
      </c>
      <c r="C10195">
        <v>18</v>
      </c>
      <c r="D10195">
        <v>639.24</v>
      </c>
      <c r="E10195">
        <v>76.44</v>
      </c>
      <c r="F10195" t="s">
        <v>7</v>
      </c>
      <c r="G10195" t="s">
        <v>11</v>
      </c>
      <c r="H10195" s="5">
        <f>MONTH(Tabela1[[#This Row],[data]])</f>
        <v>3</v>
      </c>
      <c r="I10195">
        <f>YEAR(Tabela1[[#This Row],[data]])</f>
        <v>2026</v>
      </c>
    </row>
    <row r="10196" spans="1:9" x14ac:dyDescent="0.25">
      <c r="A10196" t="s">
        <v>6</v>
      </c>
      <c r="B10196" s="1">
        <v>46082</v>
      </c>
      <c r="C10196">
        <v>19</v>
      </c>
      <c r="D10196">
        <v>904.26</v>
      </c>
      <c r="E10196">
        <v>178.08</v>
      </c>
      <c r="F10196" t="s">
        <v>7</v>
      </c>
      <c r="G10196" t="s">
        <v>11</v>
      </c>
      <c r="H10196" s="5">
        <f>MONTH(Tabela1[[#This Row],[data]])</f>
        <v>3</v>
      </c>
      <c r="I10196">
        <f>YEAR(Tabela1[[#This Row],[data]])</f>
        <v>2026</v>
      </c>
    </row>
    <row r="10197" spans="1:9" x14ac:dyDescent="0.25">
      <c r="A10197" t="s">
        <v>6</v>
      </c>
      <c r="B10197" s="1">
        <v>46082</v>
      </c>
      <c r="C10197">
        <v>20</v>
      </c>
      <c r="D10197">
        <v>813.12</v>
      </c>
      <c r="E10197">
        <v>160.02000000000001</v>
      </c>
      <c r="F10197" t="s">
        <v>7</v>
      </c>
      <c r="G10197" t="s">
        <v>11</v>
      </c>
      <c r="H10197" s="5">
        <f>MONTH(Tabela1[[#This Row],[data]])</f>
        <v>3</v>
      </c>
      <c r="I10197">
        <f>YEAR(Tabela1[[#This Row],[data]])</f>
        <v>2026</v>
      </c>
    </row>
    <row r="10198" spans="1:9" x14ac:dyDescent="0.25">
      <c r="A10198" t="s">
        <v>6</v>
      </c>
      <c r="B10198" s="1">
        <v>46082</v>
      </c>
      <c r="C10198">
        <v>21</v>
      </c>
      <c r="D10198">
        <v>728.7</v>
      </c>
      <c r="E10198">
        <v>150.78</v>
      </c>
      <c r="F10198" t="s">
        <v>7</v>
      </c>
      <c r="G10198" t="s">
        <v>11</v>
      </c>
      <c r="H10198" s="5">
        <f>MONTH(Tabela1[[#This Row],[data]])</f>
        <v>3</v>
      </c>
      <c r="I10198">
        <f>YEAR(Tabela1[[#This Row],[data]])</f>
        <v>2026</v>
      </c>
    </row>
    <row r="10199" spans="1:9" x14ac:dyDescent="0.25">
      <c r="A10199" t="s">
        <v>6</v>
      </c>
      <c r="B10199" s="1">
        <v>46082</v>
      </c>
      <c r="C10199">
        <v>22</v>
      </c>
      <c r="D10199">
        <v>592.62</v>
      </c>
      <c r="E10199">
        <v>96.6</v>
      </c>
      <c r="F10199" t="s">
        <v>7</v>
      </c>
      <c r="G10199" t="s">
        <v>11</v>
      </c>
      <c r="H10199" s="5">
        <f>MONTH(Tabela1[[#This Row],[data]])</f>
        <v>3</v>
      </c>
      <c r="I10199">
        <f>YEAR(Tabela1[[#This Row],[data]])</f>
        <v>2026</v>
      </c>
    </row>
    <row r="10200" spans="1:9" x14ac:dyDescent="0.25">
      <c r="A10200" t="s">
        <v>6</v>
      </c>
      <c r="B10200" s="1">
        <v>46082</v>
      </c>
      <c r="C10200">
        <v>23</v>
      </c>
      <c r="D10200">
        <v>343.56</v>
      </c>
      <c r="E10200">
        <v>8.4</v>
      </c>
      <c r="F10200" t="s">
        <v>7</v>
      </c>
      <c r="G10200" t="s">
        <v>11</v>
      </c>
      <c r="H10200" s="5">
        <f>MONTH(Tabela1[[#This Row],[data]])</f>
        <v>3</v>
      </c>
      <c r="I10200">
        <f>YEAR(Tabela1[[#This Row],[data]])</f>
        <v>2026</v>
      </c>
    </row>
    <row r="10201" spans="1:9" x14ac:dyDescent="0.25">
      <c r="A10201" t="s">
        <v>6</v>
      </c>
      <c r="B10201" s="1">
        <v>46082</v>
      </c>
      <c r="C10201">
        <v>24</v>
      </c>
      <c r="D10201">
        <v>260.39999999999998</v>
      </c>
      <c r="E10201">
        <v>0</v>
      </c>
      <c r="F10201" t="s">
        <v>7</v>
      </c>
      <c r="G10201" t="s">
        <v>11</v>
      </c>
      <c r="H10201" s="5">
        <f>MONTH(Tabela1[[#This Row],[data]])</f>
        <v>3</v>
      </c>
      <c r="I10201">
        <f>YEAR(Tabela1[[#This Row],[data]])</f>
        <v>2026</v>
      </c>
    </row>
    <row r="10202" spans="1:9" x14ac:dyDescent="0.25">
      <c r="A10202" t="s">
        <v>6</v>
      </c>
      <c r="B10202" s="1">
        <v>46083</v>
      </c>
      <c r="C10202">
        <v>1</v>
      </c>
      <c r="D10202">
        <v>229.74</v>
      </c>
      <c r="E10202">
        <v>0</v>
      </c>
      <c r="F10202" t="s">
        <v>7</v>
      </c>
      <c r="G10202" t="s">
        <v>11</v>
      </c>
      <c r="H10202" s="5">
        <f>MONTH(Tabela1[[#This Row],[data]])</f>
        <v>3</v>
      </c>
      <c r="I10202">
        <f>YEAR(Tabela1[[#This Row],[data]])</f>
        <v>2026</v>
      </c>
    </row>
    <row r="10203" spans="1:9" x14ac:dyDescent="0.25">
      <c r="A10203" t="s">
        <v>6</v>
      </c>
      <c r="B10203" s="1">
        <v>46083</v>
      </c>
      <c r="C10203">
        <v>2</v>
      </c>
      <c r="D10203">
        <v>218.4</v>
      </c>
      <c r="E10203">
        <v>0</v>
      </c>
      <c r="F10203" t="s">
        <v>7</v>
      </c>
      <c r="G10203" t="s">
        <v>11</v>
      </c>
      <c r="H10203" s="5">
        <f>MONTH(Tabela1[[#This Row],[data]])</f>
        <v>3</v>
      </c>
      <c r="I10203">
        <f>YEAR(Tabela1[[#This Row],[data]])</f>
        <v>2026</v>
      </c>
    </row>
    <row r="10204" spans="1:9" x14ac:dyDescent="0.25">
      <c r="A10204" t="s">
        <v>6</v>
      </c>
      <c r="B10204" s="1">
        <v>46083</v>
      </c>
      <c r="C10204">
        <v>3</v>
      </c>
      <c r="D10204">
        <v>215.88</v>
      </c>
      <c r="E10204">
        <v>0</v>
      </c>
      <c r="F10204" t="s">
        <v>7</v>
      </c>
      <c r="G10204" t="s">
        <v>11</v>
      </c>
      <c r="H10204" s="5">
        <f>MONTH(Tabela1[[#This Row],[data]])</f>
        <v>3</v>
      </c>
      <c r="I10204">
        <f>YEAR(Tabela1[[#This Row],[data]])</f>
        <v>2026</v>
      </c>
    </row>
    <row r="10205" spans="1:9" x14ac:dyDescent="0.25">
      <c r="A10205" t="s">
        <v>6</v>
      </c>
      <c r="B10205" s="1">
        <v>46083</v>
      </c>
      <c r="C10205">
        <v>4</v>
      </c>
      <c r="D10205">
        <v>209.58</v>
      </c>
      <c r="E10205">
        <v>0</v>
      </c>
      <c r="F10205" t="s">
        <v>7</v>
      </c>
      <c r="G10205" t="s">
        <v>11</v>
      </c>
      <c r="H10205" s="5">
        <f>MONTH(Tabela1[[#This Row],[data]])</f>
        <v>3</v>
      </c>
      <c r="I10205">
        <f>YEAR(Tabela1[[#This Row],[data]])</f>
        <v>2026</v>
      </c>
    </row>
    <row r="10206" spans="1:9" x14ac:dyDescent="0.25">
      <c r="A10206" t="s">
        <v>6</v>
      </c>
      <c r="B10206" s="1">
        <v>46083</v>
      </c>
      <c r="C10206">
        <v>5</v>
      </c>
      <c r="D10206">
        <v>214.2</v>
      </c>
      <c r="E10206">
        <v>0</v>
      </c>
      <c r="F10206" t="s">
        <v>7</v>
      </c>
      <c r="G10206" t="s">
        <v>11</v>
      </c>
      <c r="H10206" s="5">
        <f>MONTH(Tabela1[[#This Row],[data]])</f>
        <v>3</v>
      </c>
      <c r="I10206">
        <f>YEAR(Tabela1[[#This Row],[data]])</f>
        <v>2026</v>
      </c>
    </row>
    <row r="10207" spans="1:9" x14ac:dyDescent="0.25">
      <c r="A10207" t="s">
        <v>6</v>
      </c>
      <c r="B10207" s="1">
        <v>46083</v>
      </c>
      <c r="C10207">
        <v>6</v>
      </c>
      <c r="D10207">
        <v>211.26</v>
      </c>
      <c r="E10207">
        <v>0</v>
      </c>
      <c r="F10207" t="s">
        <v>7</v>
      </c>
      <c r="G10207" t="s">
        <v>11</v>
      </c>
      <c r="H10207" s="5">
        <f>MONTH(Tabela1[[#This Row],[data]])</f>
        <v>3</v>
      </c>
      <c r="I10207">
        <f>YEAR(Tabela1[[#This Row],[data]])</f>
        <v>2026</v>
      </c>
    </row>
    <row r="10208" spans="1:9" x14ac:dyDescent="0.25">
      <c r="A10208" t="s">
        <v>6</v>
      </c>
      <c r="B10208" s="1">
        <v>46083</v>
      </c>
      <c r="C10208">
        <v>7</v>
      </c>
      <c r="D10208">
        <v>225.96</v>
      </c>
      <c r="E10208">
        <v>0</v>
      </c>
      <c r="F10208" t="s">
        <v>7</v>
      </c>
      <c r="G10208" t="s">
        <v>11</v>
      </c>
      <c r="H10208" s="5">
        <f>MONTH(Tabela1[[#This Row],[data]])</f>
        <v>3</v>
      </c>
      <c r="I10208">
        <f>YEAR(Tabela1[[#This Row],[data]])</f>
        <v>2026</v>
      </c>
    </row>
    <row r="10209" spans="1:9" x14ac:dyDescent="0.25">
      <c r="A10209" t="s">
        <v>6</v>
      </c>
      <c r="B10209" s="1">
        <v>46083</v>
      </c>
      <c r="C10209">
        <v>8</v>
      </c>
      <c r="D10209">
        <v>266.27999999999997</v>
      </c>
      <c r="E10209">
        <v>0</v>
      </c>
      <c r="F10209" t="s">
        <v>7</v>
      </c>
      <c r="G10209" t="s">
        <v>11</v>
      </c>
      <c r="H10209" s="5">
        <f>MONTH(Tabela1[[#This Row],[data]])</f>
        <v>3</v>
      </c>
      <c r="I10209">
        <f>YEAR(Tabela1[[#This Row],[data]])</f>
        <v>2026</v>
      </c>
    </row>
    <row r="10210" spans="1:9" x14ac:dyDescent="0.25">
      <c r="A10210" t="s">
        <v>6</v>
      </c>
      <c r="B10210" s="1">
        <v>46083</v>
      </c>
      <c r="C10210">
        <v>9</v>
      </c>
      <c r="D10210">
        <v>341.04</v>
      </c>
      <c r="E10210">
        <v>0</v>
      </c>
      <c r="F10210" t="s">
        <v>7</v>
      </c>
      <c r="G10210" t="s">
        <v>11</v>
      </c>
      <c r="H10210" s="5">
        <f>MONTH(Tabela1[[#This Row],[data]])</f>
        <v>3</v>
      </c>
      <c r="I10210">
        <f>YEAR(Tabela1[[#This Row],[data]])</f>
        <v>2026</v>
      </c>
    </row>
    <row r="10211" spans="1:9" x14ac:dyDescent="0.25">
      <c r="A10211" t="s">
        <v>6</v>
      </c>
      <c r="B10211" s="1">
        <v>46083</v>
      </c>
      <c r="C10211">
        <v>10</v>
      </c>
      <c r="D10211">
        <v>439.74</v>
      </c>
      <c r="E10211">
        <v>30.66</v>
      </c>
      <c r="F10211" t="s">
        <v>7</v>
      </c>
      <c r="G10211" t="s">
        <v>11</v>
      </c>
      <c r="H10211" s="5">
        <f>MONTH(Tabela1[[#This Row],[data]])</f>
        <v>3</v>
      </c>
      <c r="I10211">
        <f>YEAR(Tabela1[[#This Row],[data]])</f>
        <v>2026</v>
      </c>
    </row>
    <row r="10212" spans="1:9" x14ac:dyDescent="0.25">
      <c r="A10212" t="s">
        <v>6</v>
      </c>
      <c r="B10212" s="1">
        <v>46083</v>
      </c>
      <c r="C10212">
        <v>11</v>
      </c>
      <c r="D10212">
        <v>821.52</v>
      </c>
      <c r="E10212">
        <v>203.7</v>
      </c>
      <c r="F10212" t="s">
        <v>7</v>
      </c>
      <c r="G10212" t="s">
        <v>11</v>
      </c>
      <c r="H10212" s="5">
        <f>MONTH(Tabela1[[#This Row],[data]])</f>
        <v>3</v>
      </c>
      <c r="I10212">
        <f>YEAR(Tabela1[[#This Row],[data]])</f>
        <v>2026</v>
      </c>
    </row>
    <row r="10213" spans="1:9" x14ac:dyDescent="0.25">
      <c r="A10213" t="s">
        <v>6</v>
      </c>
      <c r="B10213" s="1">
        <v>46083</v>
      </c>
      <c r="C10213">
        <v>12</v>
      </c>
      <c r="D10213">
        <v>825.3</v>
      </c>
      <c r="E10213">
        <v>203.28</v>
      </c>
      <c r="F10213" t="s">
        <v>7</v>
      </c>
      <c r="G10213" t="s">
        <v>11</v>
      </c>
      <c r="H10213" s="5">
        <f>MONTH(Tabela1[[#This Row],[data]])</f>
        <v>3</v>
      </c>
      <c r="I10213">
        <f>YEAR(Tabela1[[#This Row],[data]])</f>
        <v>2026</v>
      </c>
    </row>
    <row r="10214" spans="1:9" x14ac:dyDescent="0.25">
      <c r="A10214" t="s">
        <v>6</v>
      </c>
      <c r="B10214" s="1">
        <v>46083</v>
      </c>
      <c r="C10214">
        <v>13</v>
      </c>
      <c r="D10214">
        <v>854.7</v>
      </c>
      <c r="E10214">
        <v>219.24</v>
      </c>
      <c r="F10214" t="s">
        <v>7</v>
      </c>
      <c r="G10214" t="s">
        <v>11</v>
      </c>
      <c r="H10214" s="5">
        <f>MONTH(Tabela1[[#This Row],[data]])</f>
        <v>3</v>
      </c>
      <c r="I10214">
        <f>YEAR(Tabela1[[#This Row],[data]])</f>
        <v>2026</v>
      </c>
    </row>
    <row r="10215" spans="1:9" x14ac:dyDescent="0.25">
      <c r="A10215" t="s">
        <v>6</v>
      </c>
      <c r="B10215" s="1">
        <v>46083</v>
      </c>
      <c r="C10215">
        <v>14</v>
      </c>
      <c r="D10215">
        <v>848.4</v>
      </c>
      <c r="E10215">
        <v>192.78</v>
      </c>
      <c r="F10215" t="s">
        <v>7</v>
      </c>
      <c r="G10215" t="s">
        <v>11</v>
      </c>
      <c r="H10215" s="5">
        <f>MONTH(Tabela1[[#This Row],[data]])</f>
        <v>3</v>
      </c>
      <c r="I10215">
        <f>YEAR(Tabela1[[#This Row],[data]])</f>
        <v>2026</v>
      </c>
    </row>
    <row r="10216" spans="1:9" x14ac:dyDescent="0.25">
      <c r="A10216" t="s">
        <v>6</v>
      </c>
      <c r="B10216" s="1">
        <v>46083</v>
      </c>
      <c r="C10216">
        <v>15</v>
      </c>
      <c r="D10216">
        <v>840.42</v>
      </c>
      <c r="E10216">
        <v>181.44</v>
      </c>
      <c r="F10216" t="s">
        <v>7</v>
      </c>
      <c r="G10216" t="s">
        <v>11</v>
      </c>
      <c r="H10216" s="5">
        <f>MONTH(Tabela1[[#This Row],[data]])</f>
        <v>3</v>
      </c>
      <c r="I10216">
        <f>YEAR(Tabela1[[#This Row],[data]])</f>
        <v>2026</v>
      </c>
    </row>
    <row r="10217" spans="1:9" x14ac:dyDescent="0.25">
      <c r="A10217" t="s">
        <v>6</v>
      </c>
      <c r="B10217" s="1">
        <v>46083</v>
      </c>
      <c r="C10217">
        <v>16</v>
      </c>
      <c r="D10217">
        <v>863.1</v>
      </c>
      <c r="E10217">
        <v>206.22</v>
      </c>
      <c r="F10217" t="s">
        <v>7</v>
      </c>
      <c r="G10217" t="s">
        <v>11</v>
      </c>
      <c r="H10217" s="5">
        <f>MONTH(Tabela1[[#This Row],[data]])</f>
        <v>3</v>
      </c>
      <c r="I10217">
        <f>YEAR(Tabela1[[#This Row],[data]])</f>
        <v>2026</v>
      </c>
    </row>
    <row r="10218" spans="1:9" x14ac:dyDescent="0.25">
      <c r="A10218" t="s">
        <v>6</v>
      </c>
      <c r="B10218" s="1">
        <v>46083</v>
      </c>
      <c r="C10218">
        <v>17</v>
      </c>
      <c r="D10218">
        <v>857.64</v>
      </c>
      <c r="E10218">
        <v>211.68</v>
      </c>
      <c r="F10218" t="s">
        <v>7</v>
      </c>
      <c r="G10218" t="s">
        <v>11</v>
      </c>
      <c r="H10218" s="5">
        <f>MONTH(Tabela1[[#This Row],[data]])</f>
        <v>3</v>
      </c>
      <c r="I10218">
        <f>YEAR(Tabela1[[#This Row],[data]])</f>
        <v>2026</v>
      </c>
    </row>
    <row r="10219" spans="1:9" x14ac:dyDescent="0.25">
      <c r="A10219" t="s">
        <v>6</v>
      </c>
      <c r="B10219" s="1">
        <v>46083</v>
      </c>
      <c r="C10219">
        <v>18</v>
      </c>
      <c r="D10219">
        <v>827.4</v>
      </c>
      <c r="E10219">
        <v>215.46</v>
      </c>
      <c r="F10219" t="s">
        <v>7</v>
      </c>
      <c r="G10219" t="s">
        <v>11</v>
      </c>
      <c r="H10219" s="5">
        <f>MONTH(Tabela1[[#This Row],[data]])</f>
        <v>3</v>
      </c>
      <c r="I10219">
        <f>YEAR(Tabela1[[#This Row],[data]])</f>
        <v>2026</v>
      </c>
    </row>
    <row r="10220" spans="1:9" x14ac:dyDescent="0.25">
      <c r="A10220" t="s">
        <v>6</v>
      </c>
      <c r="B10220" s="1">
        <v>46083</v>
      </c>
      <c r="C10220">
        <v>19</v>
      </c>
      <c r="D10220">
        <v>781.2</v>
      </c>
      <c r="E10220">
        <v>184.38</v>
      </c>
      <c r="F10220" t="s">
        <v>7</v>
      </c>
      <c r="G10220" t="s">
        <v>11</v>
      </c>
      <c r="H10220" s="5">
        <f>MONTH(Tabela1[[#This Row],[data]])</f>
        <v>3</v>
      </c>
      <c r="I10220">
        <f>YEAR(Tabela1[[#This Row],[data]])</f>
        <v>2026</v>
      </c>
    </row>
    <row r="10221" spans="1:9" x14ac:dyDescent="0.25">
      <c r="A10221" t="s">
        <v>6</v>
      </c>
      <c r="B10221" s="1">
        <v>46083</v>
      </c>
      <c r="C10221">
        <v>20</v>
      </c>
      <c r="D10221">
        <v>760.62</v>
      </c>
      <c r="E10221">
        <v>172.2</v>
      </c>
      <c r="F10221" t="s">
        <v>7</v>
      </c>
      <c r="G10221" t="s">
        <v>11</v>
      </c>
      <c r="H10221" s="5">
        <f>MONTH(Tabela1[[#This Row],[data]])</f>
        <v>3</v>
      </c>
      <c r="I10221">
        <f>YEAR(Tabela1[[#This Row],[data]])</f>
        <v>2026</v>
      </c>
    </row>
    <row r="10222" spans="1:9" x14ac:dyDescent="0.25">
      <c r="A10222" t="s">
        <v>6</v>
      </c>
      <c r="B10222" s="1">
        <v>46083</v>
      </c>
      <c r="C10222">
        <v>21</v>
      </c>
      <c r="D10222">
        <v>775.32</v>
      </c>
      <c r="E10222">
        <v>186.9</v>
      </c>
      <c r="F10222" t="s">
        <v>7</v>
      </c>
      <c r="G10222" t="s">
        <v>11</v>
      </c>
      <c r="H10222" s="5">
        <f>MONTH(Tabela1[[#This Row],[data]])</f>
        <v>3</v>
      </c>
      <c r="I10222">
        <f>YEAR(Tabela1[[#This Row],[data]])</f>
        <v>2026</v>
      </c>
    </row>
    <row r="10223" spans="1:9" x14ac:dyDescent="0.25">
      <c r="A10223" t="s">
        <v>6</v>
      </c>
      <c r="B10223" s="1">
        <v>46083</v>
      </c>
      <c r="C10223">
        <v>22</v>
      </c>
      <c r="D10223">
        <v>742.98</v>
      </c>
      <c r="E10223">
        <v>166.74</v>
      </c>
      <c r="F10223" t="s">
        <v>7</v>
      </c>
      <c r="G10223" t="s">
        <v>11</v>
      </c>
      <c r="H10223" s="5">
        <f>MONTH(Tabela1[[#This Row],[data]])</f>
        <v>3</v>
      </c>
      <c r="I10223">
        <f>YEAR(Tabela1[[#This Row],[data]])</f>
        <v>2026</v>
      </c>
    </row>
    <row r="10224" spans="1:9" x14ac:dyDescent="0.25">
      <c r="A10224" t="s">
        <v>6</v>
      </c>
      <c r="B10224" s="1">
        <v>46083</v>
      </c>
      <c r="C10224">
        <v>23</v>
      </c>
      <c r="D10224">
        <v>378</v>
      </c>
      <c r="E10224">
        <v>10.92</v>
      </c>
      <c r="F10224" t="s">
        <v>7</v>
      </c>
      <c r="G10224" t="s">
        <v>11</v>
      </c>
      <c r="H10224" s="5">
        <f>MONTH(Tabela1[[#This Row],[data]])</f>
        <v>3</v>
      </c>
      <c r="I10224">
        <f>YEAR(Tabela1[[#This Row],[data]])</f>
        <v>2026</v>
      </c>
    </row>
    <row r="10225" spans="1:9" x14ac:dyDescent="0.25">
      <c r="A10225" t="s">
        <v>6</v>
      </c>
      <c r="B10225" s="1">
        <v>46083</v>
      </c>
      <c r="C10225">
        <v>24</v>
      </c>
      <c r="D10225">
        <v>290.64</v>
      </c>
      <c r="E10225">
        <v>0</v>
      </c>
      <c r="F10225" t="s">
        <v>7</v>
      </c>
      <c r="G10225" t="s">
        <v>11</v>
      </c>
      <c r="H10225" s="5">
        <f>MONTH(Tabela1[[#This Row],[data]])</f>
        <v>3</v>
      </c>
      <c r="I10225">
        <f>YEAR(Tabela1[[#This Row],[data]])</f>
        <v>2026</v>
      </c>
    </row>
    <row r="10226" spans="1:9" x14ac:dyDescent="0.25">
      <c r="A10226" t="s">
        <v>6</v>
      </c>
      <c r="B10226" s="1">
        <v>46084</v>
      </c>
      <c r="C10226">
        <v>1</v>
      </c>
      <c r="D10226">
        <v>270.06</v>
      </c>
      <c r="E10226">
        <v>0</v>
      </c>
      <c r="F10226" t="s">
        <v>7</v>
      </c>
      <c r="G10226" t="s">
        <v>11</v>
      </c>
      <c r="H10226" s="5">
        <f>MONTH(Tabela1[[#This Row],[data]])</f>
        <v>3</v>
      </c>
      <c r="I10226">
        <f>YEAR(Tabela1[[#This Row],[data]])</f>
        <v>2026</v>
      </c>
    </row>
    <row r="10227" spans="1:9" x14ac:dyDescent="0.25">
      <c r="A10227" t="s">
        <v>6</v>
      </c>
      <c r="B10227" s="1">
        <v>46084</v>
      </c>
      <c r="C10227">
        <v>2</v>
      </c>
      <c r="D10227">
        <v>244.86</v>
      </c>
      <c r="E10227">
        <v>0</v>
      </c>
      <c r="F10227" t="s">
        <v>7</v>
      </c>
      <c r="G10227" t="s">
        <v>11</v>
      </c>
      <c r="H10227" s="5">
        <f>MONTH(Tabela1[[#This Row],[data]])</f>
        <v>3</v>
      </c>
      <c r="I10227">
        <f>YEAR(Tabela1[[#This Row],[data]])</f>
        <v>2026</v>
      </c>
    </row>
    <row r="10228" spans="1:9" x14ac:dyDescent="0.25">
      <c r="A10228" t="s">
        <v>6</v>
      </c>
      <c r="B10228" s="1">
        <v>46084</v>
      </c>
      <c r="C10228">
        <v>3</v>
      </c>
      <c r="D10228">
        <v>238.98</v>
      </c>
      <c r="E10228">
        <v>0</v>
      </c>
      <c r="F10228" t="s">
        <v>7</v>
      </c>
      <c r="G10228" t="s">
        <v>11</v>
      </c>
      <c r="H10228" s="5">
        <f>MONTH(Tabela1[[#This Row],[data]])</f>
        <v>3</v>
      </c>
      <c r="I10228">
        <f>YEAR(Tabela1[[#This Row],[data]])</f>
        <v>2026</v>
      </c>
    </row>
    <row r="10229" spans="1:9" x14ac:dyDescent="0.25">
      <c r="A10229" t="s">
        <v>6</v>
      </c>
      <c r="B10229" s="1">
        <v>46084</v>
      </c>
      <c r="C10229">
        <v>4</v>
      </c>
      <c r="D10229">
        <v>236.46</v>
      </c>
      <c r="E10229">
        <v>0</v>
      </c>
      <c r="F10229" t="s">
        <v>7</v>
      </c>
      <c r="G10229" t="s">
        <v>11</v>
      </c>
      <c r="H10229" s="5">
        <f>MONTH(Tabela1[[#This Row],[data]])</f>
        <v>3</v>
      </c>
      <c r="I10229">
        <f>YEAR(Tabela1[[#This Row],[data]])</f>
        <v>2026</v>
      </c>
    </row>
    <row r="10230" spans="1:9" x14ac:dyDescent="0.25">
      <c r="A10230" t="s">
        <v>6</v>
      </c>
      <c r="B10230" s="1">
        <v>46084</v>
      </c>
      <c r="C10230">
        <v>5</v>
      </c>
      <c r="D10230">
        <v>242.34</v>
      </c>
      <c r="E10230">
        <v>0</v>
      </c>
      <c r="F10230" t="s">
        <v>7</v>
      </c>
      <c r="G10230" t="s">
        <v>11</v>
      </c>
      <c r="H10230" s="5">
        <f>MONTH(Tabela1[[#This Row],[data]])</f>
        <v>3</v>
      </c>
      <c r="I10230">
        <f>YEAR(Tabela1[[#This Row],[data]])</f>
        <v>2026</v>
      </c>
    </row>
    <row r="10231" spans="1:9" x14ac:dyDescent="0.25">
      <c r="A10231" t="s">
        <v>6</v>
      </c>
      <c r="B10231" s="1">
        <v>46084</v>
      </c>
      <c r="C10231">
        <v>6</v>
      </c>
      <c r="D10231">
        <v>231</v>
      </c>
      <c r="E10231">
        <v>0</v>
      </c>
      <c r="F10231" t="s">
        <v>7</v>
      </c>
      <c r="G10231" t="s">
        <v>11</v>
      </c>
      <c r="H10231" s="5">
        <f>MONTH(Tabela1[[#This Row],[data]])</f>
        <v>3</v>
      </c>
      <c r="I10231">
        <f>YEAR(Tabela1[[#This Row],[data]])</f>
        <v>2026</v>
      </c>
    </row>
    <row r="10232" spans="1:9" x14ac:dyDescent="0.25">
      <c r="A10232" t="s">
        <v>6</v>
      </c>
      <c r="B10232" s="1">
        <v>46084</v>
      </c>
      <c r="C10232">
        <v>7</v>
      </c>
      <c r="D10232">
        <v>225.96</v>
      </c>
      <c r="E10232">
        <v>0</v>
      </c>
      <c r="F10232" t="s">
        <v>7</v>
      </c>
      <c r="G10232" t="s">
        <v>11</v>
      </c>
      <c r="H10232" s="5">
        <f>MONTH(Tabela1[[#This Row],[data]])</f>
        <v>3</v>
      </c>
      <c r="I10232">
        <f>YEAR(Tabela1[[#This Row],[data]])</f>
        <v>2026</v>
      </c>
    </row>
    <row r="10233" spans="1:9" x14ac:dyDescent="0.25">
      <c r="A10233" t="s">
        <v>6</v>
      </c>
      <c r="B10233" s="1">
        <v>46084</v>
      </c>
      <c r="C10233">
        <v>8</v>
      </c>
      <c r="D10233">
        <v>250.74</v>
      </c>
      <c r="E10233">
        <v>0</v>
      </c>
      <c r="F10233" t="s">
        <v>7</v>
      </c>
      <c r="G10233" t="s">
        <v>11</v>
      </c>
      <c r="H10233" s="5">
        <f>MONTH(Tabela1[[#This Row],[data]])</f>
        <v>3</v>
      </c>
      <c r="I10233">
        <f>YEAR(Tabela1[[#This Row],[data]])</f>
        <v>2026</v>
      </c>
    </row>
    <row r="10234" spans="1:9" x14ac:dyDescent="0.25">
      <c r="A10234" t="s">
        <v>6</v>
      </c>
      <c r="B10234" s="1">
        <v>46084</v>
      </c>
      <c r="C10234">
        <v>9</v>
      </c>
      <c r="D10234">
        <v>353.64</v>
      </c>
      <c r="E10234">
        <v>0.84</v>
      </c>
      <c r="F10234" t="s">
        <v>7</v>
      </c>
      <c r="G10234" t="s">
        <v>11</v>
      </c>
      <c r="H10234" s="5">
        <f>MONTH(Tabela1[[#This Row],[data]])</f>
        <v>3</v>
      </c>
      <c r="I10234">
        <f>YEAR(Tabela1[[#This Row],[data]])</f>
        <v>2026</v>
      </c>
    </row>
    <row r="10235" spans="1:9" x14ac:dyDescent="0.25">
      <c r="A10235" t="s">
        <v>6</v>
      </c>
      <c r="B10235" s="1">
        <v>46084</v>
      </c>
      <c r="C10235">
        <v>10</v>
      </c>
      <c r="D10235">
        <v>477.96</v>
      </c>
      <c r="E10235">
        <v>40.32</v>
      </c>
      <c r="F10235" t="s">
        <v>7</v>
      </c>
      <c r="G10235" t="s">
        <v>11</v>
      </c>
      <c r="H10235" s="5">
        <f>MONTH(Tabela1[[#This Row],[data]])</f>
        <v>3</v>
      </c>
      <c r="I10235">
        <f>YEAR(Tabela1[[#This Row],[data]])</f>
        <v>2026</v>
      </c>
    </row>
    <row r="10236" spans="1:9" x14ac:dyDescent="0.25">
      <c r="A10236" t="s">
        <v>6</v>
      </c>
      <c r="B10236" s="1">
        <v>46084</v>
      </c>
      <c r="C10236">
        <v>11</v>
      </c>
      <c r="D10236">
        <v>816.06</v>
      </c>
      <c r="E10236">
        <v>181.02</v>
      </c>
      <c r="F10236" t="s">
        <v>7</v>
      </c>
      <c r="G10236" t="s">
        <v>11</v>
      </c>
      <c r="H10236" s="5">
        <f>MONTH(Tabela1[[#This Row],[data]])</f>
        <v>3</v>
      </c>
      <c r="I10236">
        <f>YEAR(Tabela1[[#This Row],[data]])</f>
        <v>2026</v>
      </c>
    </row>
    <row r="10237" spans="1:9" x14ac:dyDescent="0.25">
      <c r="A10237" t="s">
        <v>6</v>
      </c>
      <c r="B10237" s="1">
        <v>46084</v>
      </c>
      <c r="C10237">
        <v>12</v>
      </c>
      <c r="D10237">
        <v>862.26</v>
      </c>
      <c r="E10237">
        <v>217.98</v>
      </c>
      <c r="F10237" t="s">
        <v>7</v>
      </c>
      <c r="G10237" t="s">
        <v>11</v>
      </c>
      <c r="H10237" s="5">
        <f>MONTH(Tabela1[[#This Row],[data]])</f>
        <v>3</v>
      </c>
      <c r="I10237">
        <f>YEAR(Tabela1[[#This Row],[data]])</f>
        <v>2026</v>
      </c>
    </row>
    <row r="10238" spans="1:9" x14ac:dyDescent="0.25">
      <c r="A10238" t="s">
        <v>6</v>
      </c>
      <c r="B10238" s="1">
        <v>46084</v>
      </c>
      <c r="C10238">
        <v>13</v>
      </c>
      <c r="D10238">
        <v>867.3</v>
      </c>
      <c r="E10238">
        <v>214.2</v>
      </c>
      <c r="F10238" t="s">
        <v>7</v>
      </c>
      <c r="G10238" t="s">
        <v>11</v>
      </c>
      <c r="H10238" s="5">
        <f>MONTH(Tabela1[[#This Row],[data]])</f>
        <v>3</v>
      </c>
      <c r="I10238">
        <f>YEAR(Tabela1[[#This Row],[data]])</f>
        <v>2026</v>
      </c>
    </row>
    <row r="10239" spans="1:9" x14ac:dyDescent="0.25">
      <c r="A10239" t="s">
        <v>6</v>
      </c>
      <c r="B10239" s="1">
        <v>46084</v>
      </c>
      <c r="C10239">
        <v>14</v>
      </c>
      <c r="D10239">
        <v>864.36</v>
      </c>
      <c r="E10239">
        <v>189.84</v>
      </c>
      <c r="F10239" t="s">
        <v>7</v>
      </c>
      <c r="G10239" t="s">
        <v>11</v>
      </c>
      <c r="H10239" s="5">
        <f>MONTH(Tabela1[[#This Row],[data]])</f>
        <v>3</v>
      </c>
      <c r="I10239">
        <f>YEAR(Tabela1[[#This Row],[data]])</f>
        <v>2026</v>
      </c>
    </row>
    <row r="10240" spans="1:9" x14ac:dyDescent="0.25">
      <c r="A10240" t="s">
        <v>6</v>
      </c>
      <c r="B10240" s="1">
        <v>46084</v>
      </c>
      <c r="C10240">
        <v>15</v>
      </c>
      <c r="D10240">
        <v>873.6</v>
      </c>
      <c r="E10240">
        <v>191.1</v>
      </c>
      <c r="F10240" t="s">
        <v>7</v>
      </c>
      <c r="G10240" t="s">
        <v>11</v>
      </c>
      <c r="H10240" s="5">
        <f>MONTH(Tabela1[[#This Row],[data]])</f>
        <v>3</v>
      </c>
      <c r="I10240">
        <f>YEAR(Tabela1[[#This Row],[data]])</f>
        <v>2026</v>
      </c>
    </row>
    <row r="10241" spans="1:9" x14ac:dyDescent="0.25">
      <c r="A10241" t="s">
        <v>6</v>
      </c>
      <c r="B10241" s="1">
        <v>46084</v>
      </c>
      <c r="C10241">
        <v>16</v>
      </c>
      <c r="D10241">
        <v>884.52</v>
      </c>
      <c r="E10241">
        <v>203.28</v>
      </c>
      <c r="F10241" t="s">
        <v>7</v>
      </c>
      <c r="G10241" t="s">
        <v>11</v>
      </c>
      <c r="H10241" s="5">
        <f>MONTH(Tabela1[[#This Row],[data]])</f>
        <v>3</v>
      </c>
      <c r="I10241">
        <f>YEAR(Tabela1[[#This Row],[data]])</f>
        <v>2026</v>
      </c>
    </row>
    <row r="10242" spans="1:9" x14ac:dyDescent="0.25">
      <c r="A10242" t="s">
        <v>6</v>
      </c>
      <c r="B10242" s="1">
        <v>46084</v>
      </c>
      <c r="C10242">
        <v>17</v>
      </c>
      <c r="D10242">
        <v>900.06</v>
      </c>
      <c r="E10242">
        <v>232.26</v>
      </c>
      <c r="F10242" t="s">
        <v>7</v>
      </c>
      <c r="G10242" t="s">
        <v>11</v>
      </c>
      <c r="H10242" s="5">
        <f>MONTH(Tabela1[[#This Row],[data]])</f>
        <v>3</v>
      </c>
      <c r="I10242">
        <f>YEAR(Tabela1[[#This Row],[data]])</f>
        <v>2026</v>
      </c>
    </row>
    <row r="10243" spans="1:9" x14ac:dyDescent="0.25">
      <c r="A10243" t="s">
        <v>6</v>
      </c>
      <c r="B10243" s="1">
        <v>46084</v>
      </c>
      <c r="C10243">
        <v>18</v>
      </c>
      <c r="D10243">
        <v>861.42</v>
      </c>
      <c r="E10243">
        <v>204.12</v>
      </c>
      <c r="F10243" t="s">
        <v>7</v>
      </c>
      <c r="G10243" t="s">
        <v>11</v>
      </c>
      <c r="H10243" s="5">
        <f>MONTH(Tabela1[[#This Row],[data]])</f>
        <v>3</v>
      </c>
      <c r="I10243">
        <f>YEAR(Tabela1[[#This Row],[data]])</f>
        <v>2026</v>
      </c>
    </row>
    <row r="10244" spans="1:9" x14ac:dyDescent="0.25">
      <c r="A10244" t="s">
        <v>6</v>
      </c>
      <c r="B10244" s="1">
        <v>46084</v>
      </c>
      <c r="C10244">
        <v>19</v>
      </c>
      <c r="D10244">
        <v>837.48</v>
      </c>
      <c r="E10244">
        <v>168</v>
      </c>
      <c r="F10244" t="s">
        <v>7</v>
      </c>
      <c r="G10244" t="s">
        <v>11</v>
      </c>
      <c r="H10244" s="5">
        <f>MONTH(Tabela1[[#This Row],[data]])</f>
        <v>3</v>
      </c>
      <c r="I10244">
        <f>YEAR(Tabela1[[#This Row],[data]])</f>
        <v>2026</v>
      </c>
    </row>
    <row r="10245" spans="1:9" x14ac:dyDescent="0.25">
      <c r="A10245" t="s">
        <v>6</v>
      </c>
      <c r="B10245" s="1">
        <v>46084</v>
      </c>
      <c r="C10245">
        <v>20</v>
      </c>
      <c r="D10245">
        <v>805.56</v>
      </c>
      <c r="E10245">
        <v>179.34</v>
      </c>
      <c r="F10245" t="s">
        <v>7</v>
      </c>
      <c r="G10245" t="s">
        <v>11</v>
      </c>
      <c r="H10245" s="5">
        <f>MONTH(Tabela1[[#This Row],[data]])</f>
        <v>3</v>
      </c>
      <c r="I10245">
        <f>YEAR(Tabela1[[#This Row],[data]])</f>
        <v>2026</v>
      </c>
    </row>
    <row r="10246" spans="1:9" x14ac:dyDescent="0.25">
      <c r="A10246" t="s">
        <v>6</v>
      </c>
      <c r="B10246" s="1">
        <v>46084</v>
      </c>
      <c r="C10246">
        <v>21</v>
      </c>
      <c r="D10246">
        <v>784.14</v>
      </c>
      <c r="E10246">
        <v>188.16</v>
      </c>
      <c r="F10246" t="s">
        <v>7</v>
      </c>
      <c r="G10246" t="s">
        <v>11</v>
      </c>
      <c r="H10246" s="5">
        <f>MONTH(Tabela1[[#This Row],[data]])</f>
        <v>3</v>
      </c>
      <c r="I10246">
        <f>YEAR(Tabela1[[#This Row],[data]])</f>
        <v>2026</v>
      </c>
    </row>
    <row r="10247" spans="1:9" x14ac:dyDescent="0.25">
      <c r="A10247" t="s">
        <v>6</v>
      </c>
      <c r="B10247" s="1">
        <v>46084</v>
      </c>
      <c r="C10247">
        <v>22</v>
      </c>
      <c r="D10247">
        <v>578.34</v>
      </c>
      <c r="E10247">
        <v>66.36</v>
      </c>
      <c r="F10247" t="s">
        <v>7</v>
      </c>
      <c r="G10247" t="s">
        <v>11</v>
      </c>
      <c r="H10247" s="5">
        <f>MONTH(Tabela1[[#This Row],[data]])</f>
        <v>3</v>
      </c>
      <c r="I10247">
        <f>YEAR(Tabela1[[#This Row],[data]])</f>
        <v>2026</v>
      </c>
    </row>
    <row r="10248" spans="1:9" x14ac:dyDescent="0.25">
      <c r="A10248" t="s">
        <v>6</v>
      </c>
      <c r="B10248" s="1">
        <v>46084</v>
      </c>
      <c r="C10248">
        <v>23</v>
      </c>
      <c r="D10248">
        <v>349.44</v>
      </c>
      <c r="E10248">
        <v>2.52</v>
      </c>
      <c r="F10248" t="s">
        <v>7</v>
      </c>
      <c r="G10248" t="s">
        <v>11</v>
      </c>
      <c r="H10248" s="5">
        <f>MONTH(Tabela1[[#This Row],[data]])</f>
        <v>3</v>
      </c>
      <c r="I10248">
        <f>YEAR(Tabela1[[#This Row],[data]])</f>
        <v>2026</v>
      </c>
    </row>
    <row r="10249" spans="1:9" x14ac:dyDescent="0.25">
      <c r="A10249" t="s">
        <v>6</v>
      </c>
      <c r="B10249" s="1">
        <v>46084</v>
      </c>
      <c r="C10249">
        <v>24</v>
      </c>
      <c r="D10249">
        <v>268.38</v>
      </c>
      <c r="E10249">
        <v>0</v>
      </c>
      <c r="F10249" t="s">
        <v>7</v>
      </c>
      <c r="G10249" t="s">
        <v>11</v>
      </c>
      <c r="H10249" s="5">
        <f>MONTH(Tabela1[[#This Row],[data]])</f>
        <v>3</v>
      </c>
      <c r="I10249">
        <f>YEAR(Tabela1[[#This Row],[data]])</f>
        <v>2026</v>
      </c>
    </row>
    <row r="10250" spans="1:9" x14ac:dyDescent="0.25">
      <c r="A10250" t="s">
        <v>6</v>
      </c>
      <c r="B10250" s="1">
        <v>46085</v>
      </c>
      <c r="C10250">
        <v>1</v>
      </c>
      <c r="D10250">
        <v>229.74</v>
      </c>
      <c r="E10250">
        <v>0</v>
      </c>
      <c r="F10250" t="s">
        <v>7</v>
      </c>
      <c r="G10250" t="s">
        <v>11</v>
      </c>
      <c r="H10250" s="5">
        <f>MONTH(Tabela1[[#This Row],[data]])</f>
        <v>3</v>
      </c>
      <c r="I10250">
        <f>YEAR(Tabela1[[#This Row],[data]])</f>
        <v>2026</v>
      </c>
    </row>
    <row r="10251" spans="1:9" x14ac:dyDescent="0.25">
      <c r="A10251" t="s">
        <v>6</v>
      </c>
      <c r="B10251" s="1">
        <v>46085</v>
      </c>
      <c r="C10251">
        <v>2</v>
      </c>
      <c r="D10251">
        <v>226.38</v>
      </c>
      <c r="E10251">
        <v>0</v>
      </c>
      <c r="F10251" t="s">
        <v>7</v>
      </c>
      <c r="G10251" t="s">
        <v>11</v>
      </c>
      <c r="H10251" s="5">
        <f>MONTH(Tabela1[[#This Row],[data]])</f>
        <v>3</v>
      </c>
      <c r="I10251">
        <f>YEAR(Tabela1[[#This Row],[data]])</f>
        <v>2026</v>
      </c>
    </row>
    <row r="10252" spans="1:9" x14ac:dyDescent="0.25">
      <c r="A10252" t="s">
        <v>6</v>
      </c>
      <c r="B10252" s="1">
        <v>46085</v>
      </c>
      <c r="C10252">
        <v>3</v>
      </c>
      <c r="D10252">
        <v>220.5</v>
      </c>
      <c r="E10252">
        <v>0</v>
      </c>
      <c r="F10252" t="s">
        <v>7</v>
      </c>
      <c r="G10252" t="s">
        <v>11</v>
      </c>
      <c r="H10252" s="5">
        <f>MONTH(Tabela1[[#This Row],[data]])</f>
        <v>3</v>
      </c>
      <c r="I10252">
        <f>YEAR(Tabela1[[#This Row],[data]])</f>
        <v>2026</v>
      </c>
    </row>
    <row r="10253" spans="1:9" x14ac:dyDescent="0.25">
      <c r="A10253" t="s">
        <v>6</v>
      </c>
      <c r="B10253" s="1">
        <v>46085</v>
      </c>
      <c r="C10253">
        <v>4</v>
      </c>
      <c r="D10253">
        <v>209.58</v>
      </c>
      <c r="E10253">
        <v>0</v>
      </c>
      <c r="F10253" t="s">
        <v>7</v>
      </c>
      <c r="G10253" t="s">
        <v>11</v>
      </c>
      <c r="H10253" s="5">
        <f>MONTH(Tabela1[[#This Row],[data]])</f>
        <v>3</v>
      </c>
      <c r="I10253">
        <f>YEAR(Tabela1[[#This Row],[data]])</f>
        <v>2026</v>
      </c>
    </row>
    <row r="10254" spans="1:9" x14ac:dyDescent="0.25">
      <c r="A10254" t="s">
        <v>6</v>
      </c>
      <c r="B10254" s="1">
        <v>46085</v>
      </c>
      <c r="C10254">
        <v>5</v>
      </c>
      <c r="D10254">
        <v>214.2</v>
      </c>
      <c r="E10254">
        <v>0</v>
      </c>
      <c r="F10254" t="s">
        <v>7</v>
      </c>
      <c r="G10254" t="s">
        <v>11</v>
      </c>
      <c r="H10254" s="5">
        <f>MONTH(Tabela1[[#This Row],[data]])</f>
        <v>3</v>
      </c>
      <c r="I10254">
        <f>YEAR(Tabela1[[#This Row],[data]])</f>
        <v>2026</v>
      </c>
    </row>
    <row r="10255" spans="1:9" x14ac:dyDescent="0.25">
      <c r="A10255" t="s">
        <v>6</v>
      </c>
      <c r="B10255" s="1">
        <v>46085</v>
      </c>
      <c r="C10255">
        <v>6</v>
      </c>
      <c r="D10255">
        <v>212.1</v>
      </c>
      <c r="E10255">
        <v>0</v>
      </c>
      <c r="F10255" t="s">
        <v>7</v>
      </c>
      <c r="G10255" t="s">
        <v>11</v>
      </c>
      <c r="H10255" s="5">
        <f>MONTH(Tabela1[[#This Row],[data]])</f>
        <v>3</v>
      </c>
      <c r="I10255">
        <f>YEAR(Tabela1[[#This Row],[data]])</f>
        <v>2026</v>
      </c>
    </row>
    <row r="10256" spans="1:9" x14ac:dyDescent="0.25">
      <c r="A10256" t="s">
        <v>6</v>
      </c>
      <c r="B10256" s="1">
        <v>46085</v>
      </c>
      <c r="C10256">
        <v>7</v>
      </c>
      <c r="D10256">
        <v>201.18</v>
      </c>
      <c r="E10256">
        <v>0</v>
      </c>
      <c r="F10256" t="s">
        <v>7</v>
      </c>
      <c r="G10256" t="s">
        <v>11</v>
      </c>
      <c r="H10256" s="5">
        <f>MONTH(Tabela1[[#This Row],[data]])</f>
        <v>3</v>
      </c>
      <c r="I10256">
        <f>YEAR(Tabela1[[#This Row],[data]])</f>
        <v>2026</v>
      </c>
    </row>
    <row r="10257" spans="1:9" x14ac:dyDescent="0.25">
      <c r="A10257" t="s">
        <v>6</v>
      </c>
      <c r="B10257" s="1">
        <v>46085</v>
      </c>
      <c r="C10257">
        <v>8</v>
      </c>
      <c r="D10257">
        <v>226.38</v>
      </c>
      <c r="E10257">
        <v>0</v>
      </c>
      <c r="F10257" t="s">
        <v>7</v>
      </c>
      <c r="G10257" t="s">
        <v>11</v>
      </c>
      <c r="H10257" s="5">
        <f>MONTH(Tabela1[[#This Row],[data]])</f>
        <v>3</v>
      </c>
      <c r="I10257">
        <f>YEAR(Tabela1[[#This Row],[data]])</f>
        <v>2026</v>
      </c>
    </row>
    <row r="10258" spans="1:9" x14ac:dyDescent="0.25">
      <c r="A10258" t="s">
        <v>6</v>
      </c>
      <c r="B10258" s="1">
        <v>46085</v>
      </c>
      <c r="C10258">
        <v>9</v>
      </c>
      <c r="D10258">
        <v>330.96</v>
      </c>
      <c r="E10258">
        <v>0</v>
      </c>
      <c r="F10258" t="s">
        <v>7</v>
      </c>
      <c r="G10258" t="s">
        <v>11</v>
      </c>
      <c r="H10258" s="5">
        <f>MONTH(Tabela1[[#This Row],[data]])</f>
        <v>3</v>
      </c>
      <c r="I10258">
        <f>YEAR(Tabela1[[#This Row],[data]])</f>
        <v>2026</v>
      </c>
    </row>
    <row r="10259" spans="1:9" x14ac:dyDescent="0.25">
      <c r="A10259" t="s">
        <v>6</v>
      </c>
      <c r="B10259" s="1">
        <v>46085</v>
      </c>
      <c r="C10259">
        <v>10</v>
      </c>
      <c r="D10259">
        <v>406.98</v>
      </c>
      <c r="E10259">
        <v>9.24</v>
      </c>
      <c r="F10259" t="s">
        <v>7</v>
      </c>
      <c r="G10259" t="s">
        <v>11</v>
      </c>
      <c r="H10259" s="5">
        <f>MONTH(Tabela1[[#This Row],[data]])</f>
        <v>3</v>
      </c>
      <c r="I10259">
        <f>YEAR(Tabela1[[#This Row],[data]])</f>
        <v>2026</v>
      </c>
    </row>
    <row r="10260" spans="1:9" x14ac:dyDescent="0.25">
      <c r="A10260" t="s">
        <v>6</v>
      </c>
      <c r="B10260" s="1">
        <v>46085</v>
      </c>
      <c r="C10260">
        <v>11</v>
      </c>
      <c r="D10260">
        <v>845.46</v>
      </c>
      <c r="E10260">
        <v>172.2</v>
      </c>
      <c r="F10260" t="s">
        <v>7</v>
      </c>
      <c r="G10260" t="s">
        <v>11</v>
      </c>
      <c r="H10260" s="5">
        <f>MONTH(Tabela1[[#This Row],[data]])</f>
        <v>3</v>
      </c>
      <c r="I10260">
        <f>YEAR(Tabela1[[#This Row],[data]])</f>
        <v>2026</v>
      </c>
    </row>
    <row r="10261" spans="1:9" x14ac:dyDescent="0.25">
      <c r="A10261" t="s">
        <v>6</v>
      </c>
      <c r="B10261" s="1">
        <v>46085</v>
      </c>
      <c r="C10261">
        <v>12</v>
      </c>
      <c r="D10261">
        <v>830.34</v>
      </c>
      <c r="E10261">
        <v>166.74</v>
      </c>
      <c r="F10261" t="s">
        <v>7</v>
      </c>
      <c r="G10261" t="s">
        <v>11</v>
      </c>
      <c r="H10261" s="5">
        <f>MONTH(Tabela1[[#This Row],[data]])</f>
        <v>3</v>
      </c>
      <c r="I10261">
        <f>YEAR(Tabela1[[#This Row],[data]])</f>
        <v>2026</v>
      </c>
    </row>
    <row r="10262" spans="1:9" x14ac:dyDescent="0.25">
      <c r="A10262" t="s">
        <v>6</v>
      </c>
      <c r="B10262" s="1">
        <v>46085</v>
      </c>
      <c r="C10262">
        <v>13</v>
      </c>
      <c r="D10262">
        <v>845.04</v>
      </c>
      <c r="E10262">
        <v>189.42</v>
      </c>
      <c r="F10262" t="s">
        <v>7</v>
      </c>
      <c r="G10262" t="s">
        <v>11</v>
      </c>
      <c r="H10262" s="5">
        <f>MONTH(Tabela1[[#This Row],[data]])</f>
        <v>3</v>
      </c>
      <c r="I10262">
        <f>YEAR(Tabela1[[#This Row],[data]])</f>
        <v>2026</v>
      </c>
    </row>
    <row r="10263" spans="1:9" x14ac:dyDescent="0.25">
      <c r="A10263" t="s">
        <v>6</v>
      </c>
      <c r="B10263" s="1">
        <v>46085</v>
      </c>
      <c r="C10263">
        <v>14</v>
      </c>
      <c r="D10263">
        <v>837.48</v>
      </c>
      <c r="E10263">
        <v>177.24</v>
      </c>
      <c r="F10263" t="s">
        <v>7</v>
      </c>
      <c r="G10263" t="s">
        <v>11</v>
      </c>
      <c r="H10263" s="5">
        <f>MONTH(Tabela1[[#This Row],[data]])</f>
        <v>3</v>
      </c>
      <c r="I10263">
        <f>YEAR(Tabela1[[#This Row],[data]])</f>
        <v>2026</v>
      </c>
    </row>
    <row r="10264" spans="1:9" x14ac:dyDescent="0.25">
      <c r="A10264" t="s">
        <v>6</v>
      </c>
      <c r="B10264" s="1">
        <v>46085</v>
      </c>
      <c r="C10264">
        <v>15</v>
      </c>
      <c r="D10264">
        <v>844.2</v>
      </c>
      <c r="E10264">
        <v>180.18</v>
      </c>
      <c r="F10264" t="s">
        <v>7</v>
      </c>
      <c r="G10264" t="s">
        <v>11</v>
      </c>
      <c r="H10264" s="5">
        <f>MONTH(Tabela1[[#This Row],[data]])</f>
        <v>3</v>
      </c>
      <c r="I10264">
        <f>YEAR(Tabela1[[#This Row],[data]])</f>
        <v>2026</v>
      </c>
    </row>
    <row r="10265" spans="1:9" x14ac:dyDescent="0.25">
      <c r="A10265" t="s">
        <v>6</v>
      </c>
      <c r="B10265" s="1">
        <v>46085</v>
      </c>
      <c r="C10265">
        <v>16</v>
      </c>
      <c r="D10265">
        <v>882</v>
      </c>
      <c r="E10265">
        <v>202.44</v>
      </c>
      <c r="F10265" t="s">
        <v>7</v>
      </c>
      <c r="G10265" t="s">
        <v>11</v>
      </c>
      <c r="H10265" s="5">
        <f>MONTH(Tabela1[[#This Row],[data]])</f>
        <v>3</v>
      </c>
      <c r="I10265">
        <f>YEAR(Tabela1[[#This Row],[data]])</f>
        <v>2026</v>
      </c>
    </row>
    <row r="10266" spans="1:9" x14ac:dyDescent="0.25">
      <c r="A10266" t="s">
        <v>6</v>
      </c>
      <c r="B10266" s="1">
        <v>46085</v>
      </c>
      <c r="C10266">
        <v>17</v>
      </c>
      <c r="D10266">
        <v>883.26</v>
      </c>
      <c r="E10266">
        <v>225.12</v>
      </c>
      <c r="F10266" t="s">
        <v>7</v>
      </c>
      <c r="G10266" t="s">
        <v>11</v>
      </c>
      <c r="H10266" s="5">
        <f>MONTH(Tabela1[[#This Row],[data]])</f>
        <v>3</v>
      </c>
      <c r="I10266">
        <f>YEAR(Tabela1[[#This Row],[data]])</f>
        <v>2026</v>
      </c>
    </row>
    <row r="10267" spans="1:9" x14ac:dyDescent="0.25">
      <c r="A10267" t="s">
        <v>6</v>
      </c>
      <c r="B10267" s="1">
        <v>46085</v>
      </c>
      <c r="C10267">
        <v>18</v>
      </c>
      <c r="D10267">
        <v>853.44</v>
      </c>
      <c r="E10267">
        <v>202.02</v>
      </c>
      <c r="F10267" t="s">
        <v>7</v>
      </c>
      <c r="G10267" t="s">
        <v>11</v>
      </c>
      <c r="H10267" s="5">
        <f>MONTH(Tabela1[[#This Row],[data]])</f>
        <v>3</v>
      </c>
      <c r="I10267">
        <f>YEAR(Tabela1[[#This Row],[data]])</f>
        <v>2026</v>
      </c>
    </row>
    <row r="10268" spans="1:9" x14ac:dyDescent="0.25">
      <c r="A10268" t="s">
        <v>6</v>
      </c>
      <c r="B10268" s="1">
        <v>46085</v>
      </c>
      <c r="C10268">
        <v>19</v>
      </c>
      <c r="D10268">
        <v>807.66</v>
      </c>
      <c r="E10268">
        <v>181.02</v>
      </c>
      <c r="F10268" t="s">
        <v>7</v>
      </c>
      <c r="G10268" t="s">
        <v>11</v>
      </c>
      <c r="H10268" s="5">
        <f>MONTH(Tabela1[[#This Row],[data]])</f>
        <v>3</v>
      </c>
      <c r="I10268">
        <f>YEAR(Tabela1[[#This Row],[data]])</f>
        <v>2026</v>
      </c>
    </row>
    <row r="10269" spans="1:9" x14ac:dyDescent="0.25">
      <c r="A10269" t="s">
        <v>6</v>
      </c>
      <c r="B10269" s="1">
        <v>46085</v>
      </c>
      <c r="C10269">
        <v>20</v>
      </c>
      <c r="D10269">
        <v>780.36</v>
      </c>
      <c r="E10269">
        <v>160.02000000000001</v>
      </c>
      <c r="F10269" t="s">
        <v>7</v>
      </c>
      <c r="G10269" t="s">
        <v>11</v>
      </c>
      <c r="H10269" s="5">
        <f>MONTH(Tabela1[[#This Row],[data]])</f>
        <v>3</v>
      </c>
      <c r="I10269">
        <f>YEAR(Tabela1[[#This Row],[data]])</f>
        <v>2026</v>
      </c>
    </row>
    <row r="10270" spans="1:9" x14ac:dyDescent="0.25">
      <c r="A10270" t="s">
        <v>6</v>
      </c>
      <c r="B10270" s="1">
        <v>46085</v>
      </c>
      <c r="C10270">
        <v>21</v>
      </c>
      <c r="D10270">
        <v>631.26</v>
      </c>
      <c r="E10270">
        <v>88.2</v>
      </c>
      <c r="F10270" t="s">
        <v>7</v>
      </c>
      <c r="G10270" t="s">
        <v>11</v>
      </c>
      <c r="H10270" s="5">
        <f>MONTH(Tabela1[[#This Row],[data]])</f>
        <v>3</v>
      </c>
      <c r="I10270">
        <f>YEAR(Tabela1[[#This Row],[data]])</f>
        <v>2026</v>
      </c>
    </row>
    <row r="10271" spans="1:9" x14ac:dyDescent="0.25">
      <c r="A10271" t="s">
        <v>6</v>
      </c>
      <c r="B10271" s="1">
        <v>46085</v>
      </c>
      <c r="C10271">
        <v>22</v>
      </c>
      <c r="D10271">
        <v>553.98</v>
      </c>
      <c r="E10271">
        <v>39.06</v>
      </c>
      <c r="F10271" t="s">
        <v>7</v>
      </c>
      <c r="G10271" t="s">
        <v>11</v>
      </c>
      <c r="H10271" s="5">
        <f>MONTH(Tabela1[[#This Row],[data]])</f>
        <v>3</v>
      </c>
      <c r="I10271">
        <f>YEAR(Tabela1[[#This Row],[data]])</f>
        <v>2026</v>
      </c>
    </row>
    <row r="10272" spans="1:9" x14ac:dyDescent="0.25">
      <c r="A10272" t="s">
        <v>6</v>
      </c>
      <c r="B10272" s="1">
        <v>46085</v>
      </c>
      <c r="C10272">
        <v>23</v>
      </c>
      <c r="D10272">
        <v>334.74</v>
      </c>
      <c r="E10272">
        <v>0</v>
      </c>
      <c r="F10272" t="s">
        <v>7</v>
      </c>
      <c r="G10272" t="s">
        <v>11</v>
      </c>
      <c r="H10272" s="5">
        <f>MONTH(Tabela1[[#This Row],[data]])</f>
        <v>3</v>
      </c>
      <c r="I10272">
        <f>YEAR(Tabela1[[#This Row],[data]])</f>
        <v>2026</v>
      </c>
    </row>
    <row r="10273" spans="1:9" x14ac:dyDescent="0.25">
      <c r="A10273" t="s">
        <v>6</v>
      </c>
      <c r="B10273" s="1">
        <v>46085</v>
      </c>
      <c r="C10273">
        <v>24</v>
      </c>
      <c r="D10273">
        <v>250.32</v>
      </c>
      <c r="E10273">
        <v>0</v>
      </c>
      <c r="F10273" t="s">
        <v>7</v>
      </c>
      <c r="G10273" t="s">
        <v>11</v>
      </c>
      <c r="H10273" s="5">
        <f>MONTH(Tabela1[[#This Row],[data]])</f>
        <v>3</v>
      </c>
      <c r="I10273">
        <f>YEAR(Tabela1[[#This Row],[data]])</f>
        <v>2026</v>
      </c>
    </row>
    <row r="10274" spans="1:9" x14ac:dyDescent="0.25">
      <c r="A10274" t="s">
        <v>6</v>
      </c>
      <c r="B10274" s="1">
        <v>46086</v>
      </c>
      <c r="C10274">
        <v>1</v>
      </c>
      <c r="D10274">
        <v>224.7</v>
      </c>
      <c r="E10274">
        <v>0</v>
      </c>
      <c r="F10274" t="s">
        <v>7</v>
      </c>
      <c r="G10274" t="s">
        <v>12</v>
      </c>
      <c r="H10274" s="5">
        <f>MONTH(Tabela1[[#This Row],[data]])</f>
        <v>3</v>
      </c>
      <c r="I10274">
        <f>YEAR(Tabela1[[#This Row],[data]])</f>
        <v>2026</v>
      </c>
    </row>
    <row r="10275" spans="1:9" x14ac:dyDescent="0.25">
      <c r="A10275" t="s">
        <v>6</v>
      </c>
      <c r="B10275" s="1">
        <v>46086</v>
      </c>
      <c r="C10275">
        <v>2</v>
      </c>
      <c r="D10275">
        <v>220.5</v>
      </c>
      <c r="E10275">
        <v>0</v>
      </c>
      <c r="F10275" t="s">
        <v>7</v>
      </c>
      <c r="G10275" t="s">
        <v>12</v>
      </c>
      <c r="H10275" s="5">
        <f>MONTH(Tabela1[[#This Row],[data]])</f>
        <v>3</v>
      </c>
      <c r="I10275">
        <f>YEAR(Tabela1[[#This Row],[data]])</f>
        <v>2026</v>
      </c>
    </row>
    <row r="10276" spans="1:9" x14ac:dyDescent="0.25">
      <c r="A10276" t="s">
        <v>6</v>
      </c>
      <c r="B10276" s="1">
        <v>46086</v>
      </c>
      <c r="C10276">
        <v>3</v>
      </c>
      <c r="D10276">
        <v>220.5</v>
      </c>
      <c r="E10276">
        <v>0</v>
      </c>
      <c r="F10276" t="s">
        <v>7</v>
      </c>
      <c r="G10276" t="s">
        <v>11</v>
      </c>
      <c r="H10276" s="5">
        <f>MONTH(Tabela1[[#This Row],[data]])</f>
        <v>3</v>
      </c>
      <c r="I10276">
        <f>YEAR(Tabela1[[#This Row],[data]])</f>
        <v>2026</v>
      </c>
    </row>
    <row r="10277" spans="1:9" x14ac:dyDescent="0.25">
      <c r="A10277" t="s">
        <v>6</v>
      </c>
      <c r="B10277" s="1">
        <v>46086</v>
      </c>
      <c r="C10277">
        <v>4</v>
      </c>
      <c r="D10277">
        <v>220.5</v>
      </c>
      <c r="E10277">
        <v>0</v>
      </c>
      <c r="F10277" t="s">
        <v>7</v>
      </c>
      <c r="G10277" t="s">
        <v>11</v>
      </c>
      <c r="H10277" s="5">
        <f>MONTH(Tabela1[[#This Row],[data]])</f>
        <v>3</v>
      </c>
      <c r="I10277">
        <f>YEAR(Tabela1[[#This Row],[data]])</f>
        <v>2026</v>
      </c>
    </row>
    <row r="10278" spans="1:9" x14ac:dyDescent="0.25">
      <c r="A10278" t="s">
        <v>6</v>
      </c>
      <c r="B10278" s="1">
        <v>46086</v>
      </c>
      <c r="C10278">
        <v>5</v>
      </c>
      <c r="D10278">
        <v>226.8</v>
      </c>
      <c r="E10278">
        <v>0</v>
      </c>
      <c r="F10278" t="s">
        <v>7</v>
      </c>
      <c r="G10278" t="s">
        <v>12</v>
      </c>
      <c r="H10278" s="5">
        <f>MONTH(Tabela1[[#This Row],[data]])</f>
        <v>3</v>
      </c>
      <c r="I10278">
        <f>YEAR(Tabela1[[#This Row],[data]])</f>
        <v>2026</v>
      </c>
    </row>
    <row r="10279" spans="1:9" x14ac:dyDescent="0.25">
      <c r="A10279" t="s">
        <v>6</v>
      </c>
      <c r="B10279" s="1">
        <v>46086</v>
      </c>
      <c r="C10279">
        <v>6</v>
      </c>
      <c r="D10279">
        <v>220.08</v>
      </c>
      <c r="E10279">
        <v>0</v>
      </c>
      <c r="F10279" t="s">
        <v>7</v>
      </c>
      <c r="G10279" t="s">
        <v>11</v>
      </c>
      <c r="H10279" s="5">
        <f>MONTH(Tabela1[[#This Row],[data]])</f>
        <v>3</v>
      </c>
      <c r="I10279">
        <f>YEAR(Tabela1[[#This Row],[data]])</f>
        <v>2026</v>
      </c>
    </row>
    <row r="10280" spans="1:9" x14ac:dyDescent="0.25">
      <c r="A10280" t="s">
        <v>6</v>
      </c>
      <c r="B10280" s="1">
        <v>46086</v>
      </c>
      <c r="C10280">
        <v>7</v>
      </c>
      <c r="D10280">
        <v>217.98</v>
      </c>
      <c r="E10280">
        <v>0</v>
      </c>
      <c r="F10280" t="s">
        <v>7</v>
      </c>
      <c r="G10280" t="s">
        <v>11</v>
      </c>
      <c r="H10280" s="5">
        <f>MONTH(Tabela1[[#This Row],[data]])</f>
        <v>3</v>
      </c>
      <c r="I10280">
        <f>YEAR(Tabela1[[#This Row],[data]])</f>
        <v>2026</v>
      </c>
    </row>
    <row r="10281" spans="1:9" x14ac:dyDescent="0.25">
      <c r="A10281" t="s">
        <v>6</v>
      </c>
      <c r="B10281" s="1">
        <v>46086</v>
      </c>
      <c r="C10281">
        <v>8</v>
      </c>
      <c r="D10281">
        <v>231.42</v>
      </c>
      <c r="E10281">
        <v>0</v>
      </c>
      <c r="F10281" t="s">
        <v>7</v>
      </c>
      <c r="G10281" t="s">
        <v>12</v>
      </c>
      <c r="H10281" s="5">
        <f>MONTH(Tabela1[[#This Row],[data]])</f>
        <v>3</v>
      </c>
      <c r="I10281">
        <f>YEAR(Tabela1[[#This Row],[data]])</f>
        <v>2026</v>
      </c>
    </row>
    <row r="10282" spans="1:9" x14ac:dyDescent="0.25">
      <c r="A10282" t="s">
        <v>6</v>
      </c>
      <c r="B10282" s="1">
        <v>46086</v>
      </c>
      <c r="C10282">
        <v>9</v>
      </c>
      <c r="D10282">
        <v>304.5</v>
      </c>
      <c r="E10282">
        <v>0</v>
      </c>
      <c r="F10282" t="s">
        <v>7</v>
      </c>
      <c r="G10282" t="s">
        <v>12</v>
      </c>
      <c r="H10282" s="5">
        <f>MONTH(Tabela1[[#This Row],[data]])</f>
        <v>3</v>
      </c>
      <c r="I10282">
        <f>YEAR(Tabela1[[#This Row],[data]])</f>
        <v>2026</v>
      </c>
    </row>
    <row r="10283" spans="1:9" x14ac:dyDescent="0.25">
      <c r="A10283" t="s">
        <v>6</v>
      </c>
      <c r="B10283" s="1">
        <v>46086</v>
      </c>
      <c r="C10283">
        <v>10</v>
      </c>
      <c r="D10283">
        <v>400.68</v>
      </c>
      <c r="E10283">
        <v>10.5</v>
      </c>
      <c r="F10283" t="s">
        <v>7</v>
      </c>
      <c r="G10283" t="s">
        <v>12</v>
      </c>
      <c r="H10283" s="5">
        <f>MONTH(Tabela1[[#This Row],[data]])</f>
        <v>3</v>
      </c>
      <c r="I10283">
        <f>YEAR(Tabela1[[#This Row],[data]])</f>
        <v>2026</v>
      </c>
    </row>
    <row r="10284" spans="1:9" x14ac:dyDescent="0.25">
      <c r="A10284" t="s">
        <v>6</v>
      </c>
      <c r="B10284" s="1">
        <v>46086</v>
      </c>
      <c r="C10284">
        <v>11</v>
      </c>
      <c r="D10284">
        <v>823.2</v>
      </c>
      <c r="E10284">
        <v>166.32</v>
      </c>
      <c r="F10284" t="s">
        <v>7</v>
      </c>
      <c r="G10284" t="s">
        <v>11</v>
      </c>
      <c r="H10284" s="5">
        <f>MONTH(Tabela1[[#This Row],[data]])</f>
        <v>3</v>
      </c>
      <c r="I10284">
        <f>YEAR(Tabela1[[#This Row],[data]])</f>
        <v>2026</v>
      </c>
    </row>
    <row r="10285" spans="1:9" x14ac:dyDescent="0.25">
      <c r="A10285" t="s">
        <v>6</v>
      </c>
      <c r="B10285" s="1">
        <v>46086</v>
      </c>
      <c r="C10285">
        <v>12</v>
      </c>
      <c r="D10285">
        <v>839.16</v>
      </c>
      <c r="E10285">
        <v>169.68</v>
      </c>
      <c r="F10285" t="s">
        <v>7</v>
      </c>
      <c r="G10285" t="s">
        <v>12</v>
      </c>
      <c r="H10285" s="5">
        <f>MONTH(Tabela1[[#This Row],[data]])</f>
        <v>3</v>
      </c>
      <c r="I10285">
        <f>YEAR(Tabela1[[#This Row],[data]])</f>
        <v>2026</v>
      </c>
    </row>
    <row r="10286" spans="1:9" x14ac:dyDescent="0.25">
      <c r="A10286" t="s">
        <v>6</v>
      </c>
      <c r="B10286" s="1">
        <v>46086</v>
      </c>
      <c r="C10286">
        <v>13</v>
      </c>
      <c r="D10286">
        <v>844.2</v>
      </c>
      <c r="E10286">
        <v>196.98</v>
      </c>
      <c r="F10286" t="s">
        <v>7</v>
      </c>
      <c r="G10286" t="s">
        <v>11</v>
      </c>
      <c r="H10286" s="5">
        <f>MONTH(Tabela1[[#This Row],[data]])</f>
        <v>3</v>
      </c>
      <c r="I10286">
        <f>YEAR(Tabela1[[#This Row],[data]])</f>
        <v>2026</v>
      </c>
    </row>
    <row r="10287" spans="1:9" x14ac:dyDescent="0.25">
      <c r="A10287" t="s">
        <v>6</v>
      </c>
      <c r="B10287" s="1">
        <v>46086</v>
      </c>
      <c r="C10287">
        <v>14</v>
      </c>
      <c r="D10287">
        <v>920.64</v>
      </c>
      <c r="E10287">
        <v>207.9</v>
      </c>
      <c r="F10287" t="s">
        <v>7</v>
      </c>
      <c r="G10287" t="s">
        <v>12</v>
      </c>
      <c r="H10287" s="5">
        <f>MONTH(Tabela1[[#This Row],[data]])</f>
        <v>3</v>
      </c>
      <c r="I10287">
        <f>YEAR(Tabela1[[#This Row],[data]])</f>
        <v>2026</v>
      </c>
    </row>
    <row r="10288" spans="1:9" x14ac:dyDescent="0.25">
      <c r="A10288" t="s">
        <v>6</v>
      </c>
      <c r="B10288" s="1">
        <v>46086</v>
      </c>
      <c r="C10288">
        <v>15</v>
      </c>
      <c r="D10288">
        <v>937.44</v>
      </c>
      <c r="E10288">
        <v>209.58</v>
      </c>
      <c r="F10288" t="s">
        <v>7</v>
      </c>
      <c r="G10288" t="s">
        <v>12</v>
      </c>
      <c r="H10288" s="5">
        <f>MONTH(Tabela1[[#This Row],[data]])</f>
        <v>3</v>
      </c>
      <c r="I10288">
        <f>YEAR(Tabela1[[#This Row],[data]])</f>
        <v>2026</v>
      </c>
    </row>
    <row r="10289" spans="1:9" x14ac:dyDescent="0.25">
      <c r="A10289" t="s">
        <v>6</v>
      </c>
      <c r="B10289" s="1">
        <v>46086</v>
      </c>
      <c r="C10289">
        <v>16</v>
      </c>
      <c r="D10289">
        <v>959.7</v>
      </c>
      <c r="E10289">
        <v>234.36</v>
      </c>
      <c r="F10289" t="s">
        <v>7</v>
      </c>
      <c r="G10289" t="s">
        <v>12</v>
      </c>
      <c r="H10289" s="5">
        <f>MONTH(Tabela1[[#This Row],[data]])</f>
        <v>3</v>
      </c>
      <c r="I10289">
        <f>YEAR(Tabela1[[#This Row],[data]])</f>
        <v>2026</v>
      </c>
    </row>
    <row r="10290" spans="1:9" x14ac:dyDescent="0.25">
      <c r="A10290" t="s">
        <v>6</v>
      </c>
      <c r="B10290" s="1">
        <v>46086</v>
      </c>
      <c r="C10290">
        <v>17</v>
      </c>
      <c r="D10290">
        <v>935.34</v>
      </c>
      <c r="E10290">
        <v>260.39999999999998</v>
      </c>
      <c r="F10290" t="s">
        <v>7</v>
      </c>
      <c r="G10290" t="s">
        <v>12</v>
      </c>
      <c r="H10290" s="5">
        <f>MONTH(Tabela1[[#This Row],[data]])</f>
        <v>3</v>
      </c>
      <c r="I10290">
        <f>YEAR(Tabela1[[#This Row],[data]])</f>
        <v>2026</v>
      </c>
    </row>
    <row r="10291" spans="1:9" x14ac:dyDescent="0.25">
      <c r="A10291" t="s">
        <v>6</v>
      </c>
      <c r="B10291" s="1">
        <v>46086</v>
      </c>
      <c r="C10291">
        <v>18</v>
      </c>
      <c r="D10291">
        <v>887.88</v>
      </c>
      <c r="E10291">
        <v>212.94</v>
      </c>
      <c r="F10291" t="s">
        <v>7</v>
      </c>
      <c r="G10291" t="s">
        <v>12</v>
      </c>
      <c r="H10291" s="5">
        <f>MONTH(Tabela1[[#This Row],[data]])</f>
        <v>3</v>
      </c>
      <c r="I10291">
        <f>YEAR(Tabela1[[#This Row],[data]])</f>
        <v>2026</v>
      </c>
    </row>
    <row r="10292" spans="1:9" x14ac:dyDescent="0.25">
      <c r="A10292" t="s">
        <v>6</v>
      </c>
      <c r="B10292" s="1">
        <v>46086</v>
      </c>
      <c r="C10292">
        <v>19</v>
      </c>
      <c r="D10292">
        <v>841.68</v>
      </c>
      <c r="E10292">
        <v>170.94</v>
      </c>
      <c r="F10292" t="s">
        <v>7</v>
      </c>
      <c r="G10292" t="s">
        <v>12</v>
      </c>
      <c r="H10292" s="5">
        <f>MONTH(Tabela1[[#This Row],[data]])</f>
        <v>3</v>
      </c>
      <c r="I10292">
        <f>YEAR(Tabela1[[#This Row],[data]])</f>
        <v>2026</v>
      </c>
    </row>
    <row r="10293" spans="1:9" x14ac:dyDescent="0.25">
      <c r="A10293" t="s">
        <v>6</v>
      </c>
      <c r="B10293" s="1">
        <v>46086</v>
      </c>
      <c r="C10293">
        <v>20</v>
      </c>
      <c r="D10293">
        <v>832.86</v>
      </c>
      <c r="E10293">
        <v>172.62</v>
      </c>
      <c r="F10293" t="s">
        <v>7</v>
      </c>
      <c r="G10293" t="s">
        <v>12</v>
      </c>
      <c r="H10293" s="5">
        <f>MONTH(Tabela1[[#This Row],[data]])</f>
        <v>3</v>
      </c>
      <c r="I10293">
        <f>YEAR(Tabela1[[#This Row],[data]])</f>
        <v>2026</v>
      </c>
    </row>
    <row r="10294" spans="1:9" x14ac:dyDescent="0.25">
      <c r="A10294" t="s">
        <v>6</v>
      </c>
      <c r="B10294" s="1">
        <v>46086</v>
      </c>
      <c r="C10294">
        <v>21</v>
      </c>
      <c r="D10294">
        <v>822.78</v>
      </c>
      <c r="E10294">
        <v>175.98</v>
      </c>
      <c r="F10294" t="s">
        <v>7</v>
      </c>
      <c r="G10294" t="s">
        <v>12</v>
      </c>
      <c r="H10294" s="5">
        <f>MONTH(Tabela1[[#This Row],[data]])</f>
        <v>3</v>
      </c>
      <c r="I10294">
        <f>YEAR(Tabela1[[#This Row],[data]])</f>
        <v>2026</v>
      </c>
    </row>
    <row r="10295" spans="1:9" x14ac:dyDescent="0.25">
      <c r="A10295" t="s">
        <v>6</v>
      </c>
      <c r="B10295" s="1">
        <v>46086</v>
      </c>
      <c r="C10295">
        <v>22</v>
      </c>
      <c r="D10295">
        <v>779.1</v>
      </c>
      <c r="E10295">
        <v>166.32</v>
      </c>
      <c r="F10295" t="s">
        <v>7</v>
      </c>
      <c r="G10295" t="s">
        <v>12</v>
      </c>
      <c r="H10295" s="5">
        <f>MONTH(Tabela1[[#This Row],[data]])</f>
        <v>3</v>
      </c>
      <c r="I10295">
        <f>YEAR(Tabela1[[#This Row],[data]])</f>
        <v>2026</v>
      </c>
    </row>
    <row r="10296" spans="1:9" x14ac:dyDescent="0.25">
      <c r="A10296" t="s">
        <v>6</v>
      </c>
      <c r="B10296" s="1">
        <v>46086</v>
      </c>
      <c r="C10296">
        <v>23</v>
      </c>
      <c r="D10296">
        <v>360.78</v>
      </c>
      <c r="E10296">
        <v>2.1</v>
      </c>
      <c r="F10296" t="s">
        <v>7</v>
      </c>
      <c r="G10296" t="s">
        <v>12</v>
      </c>
      <c r="H10296" s="5">
        <f>MONTH(Tabela1[[#This Row],[data]])</f>
        <v>3</v>
      </c>
      <c r="I10296">
        <f>YEAR(Tabela1[[#This Row],[data]])</f>
        <v>2026</v>
      </c>
    </row>
    <row r="10297" spans="1:9" x14ac:dyDescent="0.25">
      <c r="A10297" t="s">
        <v>6</v>
      </c>
      <c r="B10297" s="1">
        <v>46086</v>
      </c>
      <c r="C10297">
        <v>24</v>
      </c>
      <c r="D10297">
        <v>264.18</v>
      </c>
      <c r="E10297">
        <v>0</v>
      </c>
      <c r="F10297" t="s">
        <v>7</v>
      </c>
      <c r="G10297" t="s">
        <v>12</v>
      </c>
      <c r="H10297" s="5">
        <f>MONTH(Tabela1[[#This Row],[data]])</f>
        <v>3</v>
      </c>
      <c r="I10297">
        <f>YEAR(Tabela1[[#This Row],[data]])</f>
        <v>2026</v>
      </c>
    </row>
    <row r="10298" spans="1:9" x14ac:dyDescent="0.25">
      <c r="A10298" t="s">
        <v>6</v>
      </c>
      <c r="B10298" s="1">
        <v>46087</v>
      </c>
      <c r="C10298">
        <v>1</v>
      </c>
      <c r="D10298">
        <v>231</v>
      </c>
      <c r="E10298">
        <v>0</v>
      </c>
      <c r="F10298" t="s">
        <v>7</v>
      </c>
      <c r="G10298" t="s">
        <v>12</v>
      </c>
      <c r="H10298" s="5">
        <f>MONTH(Tabela1[[#This Row],[data]])</f>
        <v>3</v>
      </c>
      <c r="I10298">
        <f>YEAR(Tabela1[[#This Row],[data]])</f>
        <v>2026</v>
      </c>
    </row>
    <row r="10299" spans="1:9" x14ac:dyDescent="0.25">
      <c r="A10299" t="s">
        <v>6</v>
      </c>
      <c r="B10299" s="1">
        <v>46087</v>
      </c>
      <c r="C10299">
        <v>2</v>
      </c>
      <c r="D10299">
        <v>225.12</v>
      </c>
      <c r="E10299">
        <v>0</v>
      </c>
      <c r="F10299" t="s">
        <v>7</v>
      </c>
      <c r="G10299" t="s">
        <v>12</v>
      </c>
      <c r="H10299" s="5">
        <f>MONTH(Tabela1[[#This Row],[data]])</f>
        <v>3</v>
      </c>
      <c r="I10299">
        <f>YEAR(Tabela1[[#This Row],[data]])</f>
        <v>2026</v>
      </c>
    </row>
    <row r="10300" spans="1:9" x14ac:dyDescent="0.25">
      <c r="A10300" t="s">
        <v>6</v>
      </c>
      <c r="B10300" s="1">
        <v>46087</v>
      </c>
      <c r="C10300">
        <v>3</v>
      </c>
      <c r="D10300">
        <v>223.86</v>
      </c>
      <c r="E10300">
        <v>0</v>
      </c>
      <c r="F10300" t="s">
        <v>7</v>
      </c>
      <c r="G10300" t="s">
        <v>12</v>
      </c>
      <c r="H10300" s="5">
        <f>MONTH(Tabela1[[#This Row],[data]])</f>
        <v>3</v>
      </c>
      <c r="I10300">
        <f>YEAR(Tabela1[[#This Row],[data]])</f>
        <v>2026</v>
      </c>
    </row>
    <row r="10301" spans="1:9" x14ac:dyDescent="0.25">
      <c r="A10301" t="s">
        <v>6</v>
      </c>
      <c r="B10301" s="1">
        <v>46087</v>
      </c>
      <c r="C10301">
        <v>4</v>
      </c>
      <c r="D10301">
        <v>223.44</v>
      </c>
      <c r="E10301">
        <v>0</v>
      </c>
      <c r="F10301" t="s">
        <v>7</v>
      </c>
      <c r="G10301" t="s">
        <v>12</v>
      </c>
      <c r="H10301" s="5">
        <f>MONTH(Tabela1[[#This Row],[data]])</f>
        <v>3</v>
      </c>
      <c r="I10301">
        <f>YEAR(Tabela1[[#This Row],[data]])</f>
        <v>2026</v>
      </c>
    </row>
    <row r="10302" spans="1:9" x14ac:dyDescent="0.25">
      <c r="A10302" t="s">
        <v>6</v>
      </c>
      <c r="B10302" s="1">
        <v>46087</v>
      </c>
      <c r="C10302">
        <v>5</v>
      </c>
      <c r="D10302">
        <v>228.48</v>
      </c>
      <c r="E10302">
        <v>0</v>
      </c>
      <c r="F10302" t="s">
        <v>7</v>
      </c>
      <c r="G10302" t="s">
        <v>12</v>
      </c>
      <c r="H10302" s="5">
        <f>MONTH(Tabela1[[#This Row],[data]])</f>
        <v>3</v>
      </c>
      <c r="I10302">
        <f>YEAR(Tabela1[[#This Row],[data]])</f>
        <v>2026</v>
      </c>
    </row>
    <row r="10303" spans="1:9" x14ac:dyDescent="0.25">
      <c r="A10303" t="s">
        <v>6</v>
      </c>
      <c r="B10303" s="1">
        <v>46087</v>
      </c>
      <c r="C10303">
        <v>6</v>
      </c>
      <c r="D10303">
        <v>224.7</v>
      </c>
      <c r="E10303">
        <v>0</v>
      </c>
      <c r="F10303" t="s">
        <v>7</v>
      </c>
      <c r="G10303" t="s">
        <v>12</v>
      </c>
      <c r="H10303" s="5">
        <f>MONTH(Tabela1[[#This Row],[data]])</f>
        <v>3</v>
      </c>
      <c r="I10303">
        <f>YEAR(Tabela1[[#This Row],[data]])</f>
        <v>2026</v>
      </c>
    </row>
    <row r="10304" spans="1:9" x14ac:dyDescent="0.25">
      <c r="A10304" t="s">
        <v>6</v>
      </c>
      <c r="B10304" s="1">
        <v>46087</v>
      </c>
      <c r="C10304">
        <v>7</v>
      </c>
      <c r="D10304">
        <v>218.4</v>
      </c>
      <c r="E10304">
        <v>0</v>
      </c>
      <c r="F10304" t="s">
        <v>7</v>
      </c>
      <c r="G10304" t="s">
        <v>12</v>
      </c>
      <c r="H10304" s="5">
        <f>MONTH(Tabela1[[#This Row],[data]])</f>
        <v>3</v>
      </c>
      <c r="I10304">
        <f>YEAR(Tabela1[[#This Row],[data]])</f>
        <v>2026</v>
      </c>
    </row>
    <row r="10305" spans="1:9" x14ac:dyDescent="0.25">
      <c r="A10305" t="s">
        <v>6</v>
      </c>
      <c r="B10305" s="1">
        <v>46087</v>
      </c>
      <c r="C10305">
        <v>8</v>
      </c>
      <c r="D10305">
        <v>238.98</v>
      </c>
      <c r="E10305">
        <v>0</v>
      </c>
      <c r="F10305" t="s">
        <v>7</v>
      </c>
      <c r="G10305" t="s">
        <v>12</v>
      </c>
      <c r="H10305" s="5">
        <f>MONTH(Tabela1[[#This Row],[data]])</f>
        <v>3</v>
      </c>
      <c r="I10305">
        <f>YEAR(Tabela1[[#This Row],[data]])</f>
        <v>2026</v>
      </c>
    </row>
    <row r="10306" spans="1:9" x14ac:dyDescent="0.25">
      <c r="A10306" t="s">
        <v>6</v>
      </c>
      <c r="B10306" s="1">
        <v>46087</v>
      </c>
      <c r="C10306">
        <v>9</v>
      </c>
      <c r="D10306">
        <v>375.48</v>
      </c>
      <c r="E10306">
        <v>0</v>
      </c>
      <c r="F10306" t="s">
        <v>7</v>
      </c>
      <c r="G10306" t="s">
        <v>12</v>
      </c>
      <c r="H10306" s="5">
        <f>MONTH(Tabela1[[#This Row],[data]])</f>
        <v>3</v>
      </c>
      <c r="I10306">
        <f>YEAR(Tabela1[[#This Row],[data]])</f>
        <v>2026</v>
      </c>
    </row>
    <row r="10307" spans="1:9" x14ac:dyDescent="0.25">
      <c r="A10307" t="s">
        <v>6</v>
      </c>
      <c r="B10307" s="1">
        <v>46087</v>
      </c>
      <c r="C10307">
        <v>10</v>
      </c>
      <c r="D10307">
        <v>457.38</v>
      </c>
      <c r="E10307">
        <v>10.92</v>
      </c>
      <c r="F10307" t="s">
        <v>7</v>
      </c>
      <c r="G10307" t="s">
        <v>11</v>
      </c>
      <c r="H10307" s="5">
        <f>MONTH(Tabela1[[#This Row],[data]])</f>
        <v>3</v>
      </c>
      <c r="I10307">
        <f>YEAR(Tabela1[[#This Row],[data]])</f>
        <v>2026</v>
      </c>
    </row>
    <row r="10308" spans="1:9" x14ac:dyDescent="0.25">
      <c r="A10308" t="s">
        <v>6</v>
      </c>
      <c r="B10308" s="1">
        <v>46087</v>
      </c>
      <c r="C10308">
        <v>11</v>
      </c>
      <c r="D10308">
        <v>711.48</v>
      </c>
      <c r="E10308">
        <v>118.02</v>
      </c>
      <c r="F10308" t="s">
        <v>7</v>
      </c>
      <c r="G10308" t="s">
        <v>12</v>
      </c>
      <c r="H10308" s="5">
        <f>MONTH(Tabela1[[#This Row],[data]])</f>
        <v>3</v>
      </c>
      <c r="I10308">
        <f>YEAR(Tabela1[[#This Row],[data]])</f>
        <v>2026</v>
      </c>
    </row>
    <row r="10309" spans="1:9" x14ac:dyDescent="0.25">
      <c r="A10309" t="s">
        <v>6</v>
      </c>
      <c r="B10309" s="1">
        <v>46087</v>
      </c>
      <c r="C10309">
        <v>12</v>
      </c>
      <c r="D10309" s="2">
        <v>1010.52</v>
      </c>
      <c r="E10309">
        <v>265.86</v>
      </c>
      <c r="F10309" t="s">
        <v>7</v>
      </c>
      <c r="G10309" t="s">
        <v>12</v>
      </c>
      <c r="H10309" s="5">
        <f>MONTH(Tabela1[[#This Row],[data]])</f>
        <v>3</v>
      </c>
      <c r="I10309">
        <f>YEAR(Tabela1[[#This Row],[data]])</f>
        <v>2026</v>
      </c>
    </row>
    <row r="10310" spans="1:9" x14ac:dyDescent="0.25">
      <c r="A10310" t="s">
        <v>6</v>
      </c>
      <c r="B10310" s="1">
        <v>46087</v>
      </c>
      <c r="C10310">
        <v>13</v>
      </c>
      <c r="D10310">
        <v>985.32</v>
      </c>
      <c r="E10310">
        <v>244.02</v>
      </c>
      <c r="F10310" t="s">
        <v>7</v>
      </c>
      <c r="G10310" t="s">
        <v>12</v>
      </c>
      <c r="H10310" s="5">
        <f>MONTH(Tabela1[[#This Row],[data]])</f>
        <v>3</v>
      </c>
      <c r="I10310">
        <f>YEAR(Tabela1[[#This Row],[data]])</f>
        <v>2026</v>
      </c>
    </row>
    <row r="10311" spans="1:9" x14ac:dyDescent="0.25">
      <c r="A10311" t="s">
        <v>6</v>
      </c>
      <c r="B10311" s="1">
        <v>46087</v>
      </c>
      <c r="C10311">
        <v>14</v>
      </c>
      <c r="D10311">
        <v>977.34</v>
      </c>
      <c r="E10311">
        <v>225.12</v>
      </c>
      <c r="F10311" t="s">
        <v>7</v>
      </c>
      <c r="G10311" t="s">
        <v>11</v>
      </c>
      <c r="H10311" s="5">
        <f>MONTH(Tabela1[[#This Row],[data]])</f>
        <v>3</v>
      </c>
      <c r="I10311">
        <f>YEAR(Tabela1[[#This Row],[data]])</f>
        <v>2026</v>
      </c>
    </row>
    <row r="10312" spans="1:9" x14ac:dyDescent="0.25">
      <c r="A10312" t="s">
        <v>6</v>
      </c>
      <c r="B10312" s="1">
        <v>46087</v>
      </c>
      <c r="C10312">
        <v>15</v>
      </c>
      <c r="D10312">
        <v>926.94</v>
      </c>
      <c r="E10312">
        <v>228.48</v>
      </c>
      <c r="F10312" t="s">
        <v>7</v>
      </c>
      <c r="G10312" t="s">
        <v>12</v>
      </c>
      <c r="H10312" s="5">
        <f>MONTH(Tabela1[[#This Row],[data]])</f>
        <v>3</v>
      </c>
      <c r="I10312">
        <f>YEAR(Tabela1[[#This Row],[data]])</f>
        <v>2026</v>
      </c>
    </row>
    <row r="10313" spans="1:9" x14ac:dyDescent="0.25">
      <c r="A10313" t="s">
        <v>6</v>
      </c>
      <c r="B10313" s="1">
        <v>46087</v>
      </c>
      <c r="C10313">
        <v>16</v>
      </c>
      <c r="D10313">
        <v>899.22</v>
      </c>
      <c r="E10313">
        <v>217.98</v>
      </c>
      <c r="F10313" t="s">
        <v>7</v>
      </c>
      <c r="G10313" t="s">
        <v>12</v>
      </c>
      <c r="H10313" s="5">
        <f>MONTH(Tabela1[[#This Row],[data]])</f>
        <v>3</v>
      </c>
      <c r="I10313">
        <f>YEAR(Tabela1[[#This Row],[data]])</f>
        <v>2026</v>
      </c>
    </row>
    <row r="10314" spans="1:9" x14ac:dyDescent="0.25">
      <c r="A10314" t="s">
        <v>6</v>
      </c>
      <c r="B10314" s="1">
        <v>46087</v>
      </c>
      <c r="C10314">
        <v>17</v>
      </c>
      <c r="D10314">
        <v>885.78</v>
      </c>
      <c r="E10314">
        <v>202.02</v>
      </c>
      <c r="F10314" t="s">
        <v>7</v>
      </c>
      <c r="G10314" t="s">
        <v>12</v>
      </c>
      <c r="H10314" s="5">
        <f>MONTH(Tabela1[[#This Row],[data]])</f>
        <v>3</v>
      </c>
      <c r="I10314">
        <f>YEAR(Tabela1[[#This Row],[data]])</f>
        <v>2026</v>
      </c>
    </row>
    <row r="10315" spans="1:9" x14ac:dyDescent="0.25">
      <c r="A10315" t="s">
        <v>6</v>
      </c>
      <c r="B10315" s="1">
        <v>46087</v>
      </c>
      <c r="C10315">
        <v>18</v>
      </c>
      <c r="D10315">
        <v>896.28</v>
      </c>
      <c r="E10315">
        <v>214.62</v>
      </c>
      <c r="F10315" t="s">
        <v>7</v>
      </c>
      <c r="G10315" t="s">
        <v>12</v>
      </c>
      <c r="H10315" s="5">
        <f>MONTH(Tabela1[[#This Row],[data]])</f>
        <v>3</v>
      </c>
      <c r="I10315">
        <f>YEAR(Tabela1[[#This Row],[data]])</f>
        <v>2026</v>
      </c>
    </row>
    <row r="10316" spans="1:9" x14ac:dyDescent="0.25">
      <c r="A10316" t="s">
        <v>6</v>
      </c>
      <c r="B10316" s="1">
        <v>46087</v>
      </c>
      <c r="C10316">
        <v>19</v>
      </c>
      <c r="D10316">
        <v>847.98</v>
      </c>
      <c r="E10316">
        <v>170.1</v>
      </c>
      <c r="F10316" t="s">
        <v>7</v>
      </c>
      <c r="G10316" t="s">
        <v>12</v>
      </c>
      <c r="H10316" s="5">
        <f>MONTH(Tabela1[[#This Row],[data]])</f>
        <v>3</v>
      </c>
      <c r="I10316">
        <f>YEAR(Tabela1[[#This Row],[data]])</f>
        <v>2026</v>
      </c>
    </row>
    <row r="10317" spans="1:9" x14ac:dyDescent="0.25">
      <c r="A10317" t="s">
        <v>6</v>
      </c>
      <c r="B10317" s="1">
        <v>46087</v>
      </c>
      <c r="C10317">
        <v>20</v>
      </c>
      <c r="D10317">
        <v>845.04</v>
      </c>
      <c r="E10317">
        <v>168.84</v>
      </c>
      <c r="F10317" t="s">
        <v>7</v>
      </c>
      <c r="G10317" t="s">
        <v>11</v>
      </c>
      <c r="H10317" s="5">
        <f>MONTH(Tabela1[[#This Row],[data]])</f>
        <v>3</v>
      </c>
      <c r="I10317">
        <f>YEAR(Tabela1[[#This Row],[data]])</f>
        <v>2026</v>
      </c>
    </row>
    <row r="10318" spans="1:9" x14ac:dyDescent="0.25">
      <c r="A10318" t="s">
        <v>6</v>
      </c>
      <c r="B10318" s="1">
        <v>46087</v>
      </c>
      <c r="C10318">
        <v>21</v>
      </c>
      <c r="D10318">
        <v>849.24</v>
      </c>
      <c r="E10318">
        <v>179.76</v>
      </c>
      <c r="F10318" t="s">
        <v>7</v>
      </c>
      <c r="G10318" t="s">
        <v>12</v>
      </c>
      <c r="H10318" s="5">
        <f>MONTH(Tabela1[[#This Row],[data]])</f>
        <v>3</v>
      </c>
      <c r="I10318">
        <f>YEAR(Tabela1[[#This Row],[data]])</f>
        <v>2026</v>
      </c>
    </row>
    <row r="10319" spans="1:9" x14ac:dyDescent="0.25">
      <c r="A10319" t="s">
        <v>6</v>
      </c>
      <c r="B10319" s="1">
        <v>46087</v>
      </c>
      <c r="C10319">
        <v>22</v>
      </c>
      <c r="D10319">
        <v>811.02</v>
      </c>
      <c r="E10319">
        <v>173.46</v>
      </c>
      <c r="F10319" t="s">
        <v>7</v>
      </c>
      <c r="G10319" t="s">
        <v>12</v>
      </c>
      <c r="H10319" s="5">
        <f>MONTH(Tabela1[[#This Row],[data]])</f>
        <v>3</v>
      </c>
      <c r="I10319">
        <f>YEAR(Tabela1[[#This Row],[data]])</f>
        <v>2026</v>
      </c>
    </row>
    <row r="10320" spans="1:9" x14ac:dyDescent="0.25">
      <c r="A10320" t="s">
        <v>6</v>
      </c>
      <c r="B10320" s="1">
        <v>46087</v>
      </c>
      <c r="C10320">
        <v>23</v>
      </c>
      <c r="D10320">
        <v>495.18</v>
      </c>
      <c r="E10320">
        <v>39.479999999999997</v>
      </c>
      <c r="F10320" t="s">
        <v>7</v>
      </c>
      <c r="G10320" t="s">
        <v>11</v>
      </c>
      <c r="H10320" s="5">
        <f>MONTH(Tabela1[[#This Row],[data]])</f>
        <v>3</v>
      </c>
      <c r="I10320">
        <f>YEAR(Tabela1[[#This Row],[data]])</f>
        <v>2026</v>
      </c>
    </row>
    <row r="10321" spans="1:9" x14ac:dyDescent="0.25">
      <c r="A10321" t="s">
        <v>6</v>
      </c>
      <c r="B10321" s="1">
        <v>46087</v>
      </c>
      <c r="C10321">
        <v>24</v>
      </c>
      <c r="D10321">
        <v>357</v>
      </c>
      <c r="E10321">
        <v>3.78</v>
      </c>
      <c r="F10321" t="s">
        <v>7</v>
      </c>
      <c r="G10321" t="s">
        <v>12</v>
      </c>
      <c r="H10321" s="5">
        <f>MONTH(Tabela1[[#This Row],[data]])</f>
        <v>3</v>
      </c>
      <c r="I10321">
        <f>YEAR(Tabela1[[#This Row],[data]])</f>
        <v>2026</v>
      </c>
    </row>
    <row r="10322" spans="1:9" x14ac:dyDescent="0.25">
      <c r="A10322" t="s">
        <v>6</v>
      </c>
      <c r="B10322" s="1">
        <v>46088</v>
      </c>
      <c r="C10322">
        <v>1</v>
      </c>
      <c r="D10322">
        <v>245.7</v>
      </c>
      <c r="E10322">
        <v>0</v>
      </c>
      <c r="F10322" t="s">
        <v>7</v>
      </c>
      <c r="G10322" t="s">
        <v>12</v>
      </c>
      <c r="H10322" s="5">
        <f>MONTH(Tabela1[[#This Row],[data]])</f>
        <v>3</v>
      </c>
      <c r="I10322">
        <f>YEAR(Tabela1[[#This Row],[data]])</f>
        <v>2026</v>
      </c>
    </row>
    <row r="10323" spans="1:9" x14ac:dyDescent="0.25">
      <c r="A10323" t="s">
        <v>6</v>
      </c>
      <c r="B10323" s="1">
        <v>46088</v>
      </c>
      <c r="C10323">
        <v>2</v>
      </c>
      <c r="D10323">
        <v>230.16</v>
      </c>
      <c r="E10323">
        <v>0</v>
      </c>
      <c r="F10323" t="s">
        <v>7</v>
      </c>
      <c r="G10323" t="s">
        <v>12</v>
      </c>
      <c r="H10323" s="5">
        <f>MONTH(Tabela1[[#This Row],[data]])</f>
        <v>3</v>
      </c>
      <c r="I10323">
        <f>YEAR(Tabela1[[#This Row],[data]])</f>
        <v>2026</v>
      </c>
    </row>
    <row r="10324" spans="1:9" x14ac:dyDescent="0.25">
      <c r="A10324" t="s">
        <v>6</v>
      </c>
      <c r="B10324" s="1">
        <v>46088</v>
      </c>
      <c r="C10324">
        <v>3</v>
      </c>
      <c r="D10324">
        <v>225.54</v>
      </c>
      <c r="E10324">
        <v>0</v>
      </c>
      <c r="F10324" t="s">
        <v>7</v>
      </c>
      <c r="G10324" t="s">
        <v>12</v>
      </c>
      <c r="H10324" s="5">
        <f>MONTH(Tabela1[[#This Row],[data]])</f>
        <v>3</v>
      </c>
      <c r="I10324">
        <f>YEAR(Tabela1[[#This Row],[data]])</f>
        <v>2026</v>
      </c>
    </row>
    <row r="10325" spans="1:9" x14ac:dyDescent="0.25">
      <c r="A10325" t="s">
        <v>6</v>
      </c>
      <c r="B10325" s="1">
        <v>46088</v>
      </c>
      <c r="C10325">
        <v>4</v>
      </c>
      <c r="D10325">
        <v>223.86</v>
      </c>
      <c r="E10325">
        <v>0</v>
      </c>
      <c r="F10325" t="s">
        <v>7</v>
      </c>
      <c r="G10325" t="s">
        <v>12</v>
      </c>
      <c r="H10325" s="5">
        <f>MONTH(Tabela1[[#This Row],[data]])</f>
        <v>3</v>
      </c>
      <c r="I10325">
        <f>YEAR(Tabela1[[#This Row],[data]])</f>
        <v>2026</v>
      </c>
    </row>
    <row r="10326" spans="1:9" x14ac:dyDescent="0.25">
      <c r="A10326" t="s">
        <v>6</v>
      </c>
      <c r="B10326" s="1">
        <v>46088</v>
      </c>
      <c r="C10326">
        <v>5</v>
      </c>
      <c r="D10326">
        <v>232.26</v>
      </c>
      <c r="E10326">
        <v>0</v>
      </c>
      <c r="F10326" t="s">
        <v>7</v>
      </c>
      <c r="G10326" t="s">
        <v>12</v>
      </c>
      <c r="H10326" s="5">
        <f>MONTH(Tabela1[[#This Row],[data]])</f>
        <v>3</v>
      </c>
      <c r="I10326">
        <f>YEAR(Tabela1[[#This Row],[data]])</f>
        <v>2026</v>
      </c>
    </row>
    <row r="10327" spans="1:9" x14ac:dyDescent="0.25">
      <c r="A10327" t="s">
        <v>6</v>
      </c>
      <c r="B10327" s="1">
        <v>46088</v>
      </c>
      <c r="C10327">
        <v>6</v>
      </c>
      <c r="D10327">
        <v>220.08</v>
      </c>
      <c r="E10327">
        <v>0</v>
      </c>
      <c r="F10327" t="s">
        <v>7</v>
      </c>
      <c r="G10327" t="s">
        <v>12</v>
      </c>
      <c r="H10327" s="5">
        <f>MONTH(Tabela1[[#This Row],[data]])</f>
        <v>3</v>
      </c>
      <c r="I10327">
        <f>YEAR(Tabela1[[#This Row],[data]])</f>
        <v>2026</v>
      </c>
    </row>
    <row r="10328" spans="1:9" x14ac:dyDescent="0.25">
      <c r="A10328" t="s">
        <v>6</v>
      </c>
      <c r="B10328" s="1">
        <v>46088</v>
      </c>
      <c r="C10328">
        <v>7</v>
      </c>
      <c r="D10328">
        <v>223.86</v>
      </c>
      <c r="E10328">
        <v>0</v>
      </c>
      <c r="F10328" t="s">
        <v>7</v>
      </c>
      <c r="G10328" t="s">
        <v>12</v>
      </c>
      <c r="H10328" s="5">
        <f>MONTH(Tabela1[[#This Row],[data]])</f>
        <v>3</v>
      </c>
      <c r="I10328">
        <f>YEAR(Tabela1[[#This Row],[data]])</f>
        <v>2026</v>
      </c>
    </row>
    <row r="10329" spans="1:9" x14ac:dyDescent="0.25">
      <c r="A10329" t="s">
        <v>6</v>
      </c>
      <c r="B10329" s="1">
        <v>46088</v>
      </c>
      <c r="C10329">
        <v>8</v>
      </c>
      <c r="D10329">
        <v>227.64</v>
      </c>
      <c r="E10329">
        <v>0</v>
      </c>
      <c r="F10329" t="s">
        <v>7</v>
      </c>
      <c r="G10329" t="s">
        <v>12</v>
      </c>
      <c r="H10329" s="5">
        <f>MONTH(Tabela1[[#This Row],[data]])</f>
        <v>3</v>
      </c>
      <c r="I10329">
        <f>YEAR(Tabela1[[#This Row],[data]])</f>
        <v>2026</v>
      </c>
    </row>
    <row r="10330" spans="1:9" x14ac:dyDescent="0.25">
      <c r="A10330" t="s">
        <v>6</v>
      </c>
      <c r="B10330" s="1">
        <v>46088</v>
      </c>
      <c r="C10330">
        <v>9</v>
      </c>
      <c r="D10330">
        <v>361.2</v>
      </c>
      <c r="E10330">
        <v>0.42</v>
      </c>
      <c r="F10330" t="s">
        <v>7</v>
      </c>
      <c r="G10330" t="s">
        <v>12</v>
      </c>
      <c r="H10330" s="5">
        <f>MONTH(Tabela1[[#This Row],[data]])</f>
        <v>3</v>
      </c>
      <c r="I10330">
        <f>YEAR(Tabela1[[#This Row],[data]])</f>
        <v>2026</v>
      </c>
    </row>
    <row r="10331" spans="1:9" x14ac:dyDescent="0.25">
      <c r="A10331" t="s">
        <v>6</v>
      </c>
      <c r="B10331" s="1">
        <v>46088</v>
      </c>
      <c r="C10331">
        <v>10</v>
      </c>
      <c r="D10331">
        <v>490.56</v>
      </c>
      <c r="E10331">
        <v>51.24</v>
      </c>
      <c r="F10331" t="s">
        <v>7</v>
      </c>
      <c r="G10331" t="s">
        <v>12</v>
      </c>
      <c r="H10331" s="5">
        <f>MONTH(Tabela1[[#This Row],[data]])</f>
        <v>3</v>
      </c>
      <c r="I10331">
        <f>YEAR(Tabela1[[#This Row],[data]])</f>
        <v>2026</v>
      </c>
    </row>
    <row r="10332" spans="1:9" x14ac:dyDescent="0.25">
      <c r="A10332" t="s">
        <v>6</v>
      </c>
      <c r="B10332" s="1">
        <v>46088</v>
      </c>
      <c r="C10332">
        <v>11</v>
      </c>
      <c r="D10332">
        <v>871.5</v>
      </c>
      <c r="E10332">
        <v>202.44</v>
      </c>
      <c r="F10332" t="s">
        <v>7</v>
      </c>
      <c r="G10332" t="s">
        <v>12</v>
      </c>
      <c r="H10332" s="5">
        <f>MONTH(Tabela1[[#This Row],[data]])</f>
        <v>3</v>
      </c>
      <c r="I10332">
        <f>YEAR(Tabela1[[#This Row],[data]])</f>
        <v>2026</v>
      </c>
    </row>
    <row r="10333" spans="1:9" x14ac:dyDescent="0.25">
      <c r="A10333" t="s">
        <v>6</v>
      </c>
      <c r="B10333" s="1">
        <v>46088</v>
      </c>
      <c r="C10333">
        <v>12</v>
      </c>
      <c r="D10333">
        <v>886.2</v>
      </c>
      <c r="E10333">
        <v>209.58</v>
      </c>
      <c r="F10333" t="s">
        <v>7</v>
      </c>
      <c r="G10333" t="s">
        <v>12</v>
      </c>
      <c r="H10333" s="5">
        <f>MONTH(Tabela1[[#This Row],[data]])</f>
        <v>3</v>
      </c>
      <c r="I10333">
        <f>YEAR(Tabela1[[#This Row],[data]])</f>
        <v>2026</v>
      </c>
    </row>
    <row r="10334" spans="1:9" x14ac:dyDescent="0.25">
      <c r="A10334" t="s">
        <v>6</v>
      </c>
      <c r="B10334" s="1">
        <v>46088</v>
      </c>
      <c r="C10334">
        <v>13</v>
      </c>
      <c r="D10334">
        <v>916.86</v>
      </c>
      <c r="E10334">
        <v>231.84</v>
      </c>
      <c r="F10334" t="s">
        <v>7</v>
      </c>
      <c r="G10334" t="s">
        <v>12</v>
      </c>
      <c r="H10334" s="5">
        <f>MONTH(Tabela1[[#This Row],[data]])</f>
        <v>3</v>
      </c>
      <c r="I10334">
        <f>YEAR(Tabela1[[#This Row],[data]])</f>
        <v>2026</v>
      </c>
    </row>
    <row r="10335" spans="1:9" x14ac:dyDescent="0.25">
      <c r="A10335" t="s">
        <v>6</v>
      </c>
      <c r="B10335" s="1">
        <v>46088</v>
      </c>
      <c r="C10335">
        <v>14</v>
      </c>
      <c r="D10335">
        <v>938.28</v>
      </c>
      <c r="E10335">
        <v>228.48</v>
      </c>
      <c r="F10335" t="s">
        <v>7</v>
      </c>
      <c r="G10335" t="s">
        <v>12</v>
      </c>
      <c r="H10335" s="5">
        <f>MONTH(Tabela1[[#This Row],[data]])</f>
        <v>3</v>
      </c>
      <c r="I10335">
        <f>YEAR(Tabela1[[#This Row],[data]])</f>
        <v>2026</v>
      </c>
    </row>
    <row r="10336" spans="1:9" x14ac:dyDescent="0.25">
      <c r="A10336" t="s">
        <v>6</v>
      </c>
      <c r="B10336" s="1">
        <v>46088</v>
      </c>
      <c r="C10336">
        <v>15</v>
      </c>
      <c r="D10336">
        <v>922.74</v>
      </c>
      <c r="E10336">
        <v>215.88</v>
      </c>
      <c r="F10336" t="s">
        <v>7</v>
      </c>
      <c r="G10336" t="s">
        <v>12</v>
      </c>
      <c r="H10336" s="5">
        <f>MONTH(Tabela1[[#This Row],[data]])</f>
        <v>3</v>
      </c>
      <c r="I10336">
        <f>YEAR(Tabela1[[#This Row],[data]])</f>
        <v>2026</v>
      </c>
    </row>
    <row r="10337" spans="1:9" x14ac:dyDescent="0.25">
      <c r="A10337" t="s">
        <v>6</v>
      </c>
      <c r="B10337" s="1">
        <v>46088</v>
      </c>
      <c r="C10337">
        <v>16</v>
      </c>
      <c r="D10337">
        <v>946.26</v>
      </c>
      <c r="E10337">
        <v>228.06</v>
      </c>
      <c r="F10337" t="s">
        <v>7</v>
      </c>
      <c r="G10337" t="s">
        <v>12</v>
      </c>
      <c r="H10337" s="5">
        <f>MONTH(Tabela1[[#This Row],[data]])</f>
        <v>3</v>
      </c>
      <c r="I10337">
        <f>YEAR(Tabela1[[#This Row],[data]])</f>
        <v>2026</v>
      </c>
    </row>
    <row r="10338" spans="1:9" x14ac:dyDescent="0.25">
      <c r="A10338" t="s">
        <v>6</v>
      </c>
      <c r="B10338" s="1">
        <v>46088</v>
      </c>
      <c r="C10338">
        <v>17</v>
      </c>
      <c r="D10338">
        <v>882</v>
      </c>
      <c r="E10338">
        <v>223.44</v>
      </c>
      <c r="F10338" t="s">
        <v>7</v>
      </c>
      <c r="G10338" t="s">
        <v>12</v>
      </c>
      <c r="H10338" s="5">
        <f>MONTH(Tabela1[[#This Row],[data]])</f>
        <v>3</v>
      </c>
      <c r="I10338">
        <f>YEAR(Tabela1[[#This Row],[data]])</f>
        <v>2026</v>
      </c>
    </row>
    <row r="10339" spans="1:9" x14ac:dyDescent="0.25">
      <c r="A10339" t="s">
        <v>6</v>
      </c>
      <c r="B10339" s="1">
        <v>46088</v>
      </c>
      <c r="C10339">
        <v>18</v>
      </c>
      <c r="D10339">
        <v>882</v>
      </c>
      <c r="E10339">
        <v>215.88</v>
      </c>
      <c r="F10339" t="s">
        <v>7</v>
      </c>
      <c r="G10339" t="s">
        <v>12</v>
      </c>
      <c r="H10339" s="5">
        <f>MONTH(Tabela1[[#This Row],[data]])</f>
        <v>3</v>
      </c>
      <c r="I10339">
        <f>YEAR(Tabela1[[#This Row],[data]])</f>
        <v>2026</v>
      </c>
    </row>
    <row r="10340" spans="1:9" x14ac:dyDescent="0.25">
      <c r="A10340" t="s">
        <v>6</v>
      </c>
      <c r="B10340" s="1">
        <v>46088</v>
      </c>
      <c r="C10340">
        <v>19</v>
      </c>
      <c r="D10340">
        <v>894.18</v>
      </c>
      <c r="E10340">
        <v>211.68</v>
      </c>
      <c r="F10340" t="s">
        <v>7</v>
      </c>
      <c r="G10340" t="s">
        <v>11</v>
      </c>
      <c r="H10340" s="5">
        <f>MONTH(Tabela1[[#This Row],[data]])</f>
        <v>3</v>
      </c>
      <c r="I10340">
        <f>YEAR(Tabela1[[#This Row],[data]])</f>
        <v>2026</v>
      </c>
    </row>
    <row r="10341" spans="1:9" x14ac:dyDescent="0.25">
      <c r="A10341" t="s">
        <v>6</v>
      </c>
      <c r="B10341" s="1">
        <v>46088</v>
      </c>
      <c r="C10341">
        <v>20</v>
      </c>
      <c r="D10341">
        <v>894.6</v>
      </c>
      <c r="E10341">
        <v>220.5</v>
      </c>
      <c r="F10341" t="s">
        <v>7</v>
      </c>
      <c r="G10341" t="s">
        <v>11</v>
      </c>
      <c r="H10341" s="5">
        <f>MONTH(Tabela1[[#This Row],[data]])</f>
        <v>3</v>
      </c>
      <c r="I10341">
        <f>YEAR(Tabela1[[#This Row],[data]])</f>
        <v>2026</v>
      </c>
    </row>
    <row r="10342" spans="1:9" x14ac:dyDescent="0.25">
      <c r="A10342" t="s">
        <v>6</v>
      </c>
      <c r="B10342" s="1">
        <v>46088</v>
      </c>
      <c r="C10342">
        <v>21</v>
      </c>
      <c r="D10342">
        <v>884.52</v>
      </c>
      <c r="E10342">
        <v>213.78</v>
      </c>
      <c r="F10342" t="s">
        <v>7</v>
      </c>
      <c r="G10342" t="s">
        <v>12</v>
      </c>
      <c r="H10342" s="5">
        <f>MONTH(Tabela1[[#This Row],[data]])</f>
        <v>3</v>
      </c>
      <c r="I10342">
        <f>YEAR(Tabela1[[#This Row],[data]])</f>
        <v>2026</v>
      </c>
    </row>
    <row r="10343" spans="1:9" x14ac:dyDescent="0.25">
      <c r="A10343" t="s">
        <v>6</v>
      </c>
      <c r="B10343" s="1">
        <v>46088</v>
      </c>
      <c r="C10343">
        <v>22</v>
      </c>
      <c r="D10343">
        <v>801.78</v>
      </c>
      <c r="E10343">
        <v>167.16</v>
      </c>
      <c r="F10343" t="s">
        <v>7</v>
      </c>
      <c r="G10343" t="s">
        <v>11</v>
      </c>
      <c r="H10343" s="5">
        <f>MONTH(Tabela1[[#This Row],[data]])</f>
        <v>3</v>
      </c>
      <c r="I10343">
        <f>YEAR(Tabela1[[#This Row],[data]])</f>
        <v>2026</v>
      </c>
    </row>
    <row r="10344" spans="1:9" x14ac:dyDescent="0.25">
      <c r="A10344" t="s">
        <v>6</v>
      </c>
      <c r="B10344" s="1">
        <v>46088</v>
      </c>
      <c r="C10344">
        <v>23</v>
      </c>
      <c r="D10344">
        <v>420.42</v>
      </c>
      <c r="E10344">
        <v>2.52</v>
      </c>
      <c r="F10344" t="s">
        <v>7</v>
      </c>
      <c r="G10344" t="s">
        <v>12</v>
      </c>
      <c r="H10344" s="5">
        <f>MONTH(Tabela1[[#This Row],[data]])</f>
        <v>3</v>
      </c>
      <c r="I10344">
        <f>YEAR(Tabela1[[#This Row],[data]])</f>
        <v>2026</v>
      </c>
    </row>
    <row r="10345" spans="1:9" x14ac:dyDescent="0.25">
      <c r="A10345" t="s">
        <v>6</v>
      </c>
      <c r="B10345" s="1">
        <v>46088</v>
      </c>
      <c r="C10345">
        <v>24</v>
      </c>
      <c r="D10345">
        <v>288.54000000000002</v>
      </c>
      <c r="E10345">
        <v>0</v>
      </c>
      <c r="F10345" t="s">
        <v>7</v>
      </c>
      <c r="G10345" t="s">
        <v>11</v>
      </c>
      <c r="H10345" s="5">
        <f>MONTH(Tabela1[[#This Row],[data]])</f>
        <v>3</v>
      </c>
      <c r="I10345">
        <f>YEAR(Tabela1[[#This Row],[data]])</f>
        <v>2026</v>
      </c>
    </row>
    <row r="10346" spans="1:9" x14ac:dyDescent="0.25">
      <c r="A10346" t="s">
        <v>6</v>
      </c>
      <c r="B10346" s="1">
        <v>46089</v>
      </c>
      <c r="C10346">
        <v>1</v>
      </c>
      <c r="D10346">
        <v>251.16</v>
      </c>
      <c r="E10346">
        <v>0</v>
      </c>
      <c r="F10346" t="s">
        <v>7</v>
      </c>
      <c r="G10346" t="s">
        <v>12</v>
      </c>
      <c r="H10346" s="5">
        <f>MONTH(Tabela1[[#This Row],[data]])</f>
        <v>3</v>
      </c>
      <c r="I10346">
        <f>YEAR(Tabela1[[#This Row],[data]])</f>
        <v>2026</v>
      </c>
    </row>
    <row r="10347" spans="1:9" x14ac:dyDescent="0.25">
      <c r="A10347" t="s">
        <v>6</v>
      </c>
      <c r="B10347" s="1">
        <v>46089</v>
      </c>
      <c r="C10347">
        <v>2</v>
      </c>
      <c r="D10347">
        <v>227.22</v>
      </c>
      <c r="E10347">
        <v>0</v>
      </c>
      <c r="F10347" t="s">
        <v>7</v>
      </c>
      <c r="G10347" t="s">
        <v>12</v>
      </c>
      <c r="H10347" s="5">
        <f>MONTH(Tabela1[[#This Row],[data]])</f>
        <v>3</v>
      </c>
      <c r="I10347">
        <f>YEAR(Tabela1[[#This Row],[data]])</f>
        <v>2026</v>
      </c>
    </row>
    <row r="10348" spans="1:9" x14ac:dyDescent="0.25">
      <c r="A10348" t="s">
        <v>6</v>
      </c>
      <c r="B10348" s="1">
        <v>46089</v>
      </c>
      <c r="C10348">
        <v>3</v>
      </c>
      <c r="D10348">
        <v>226.8</v>
      </c>
      <c r="E10348">
        <v>0</v>
      </c>
      <c r="F10348" t="s">
        <v>7</v>
      </c>
      <c r="G10348" t="s">
        <v>12</v>
      </c>
      <c r="H10348" s="5">
        <f>MONTH(Tabela1[[#This Row],[data]])</f>
        <v>3</v>
      </c>
      <c r="I10348">
        <f>YEAR(Tabela1[[#This Row],[data]])</f>
        <v>2026</v>
      </c>
    </row>
    <row r="10349" spans="1:9" x14ac:dyDescent="0.25">
      <c r="A10349" t="s">
        <v>6</v>
      </c>
      <c r="B10349" s="1">
        <v>46089</v>
      </c>
      <c r="C10349">
        <v>4</v>
      </c>
      <c r="D10349">
        <v>224.7</v>
      </c>
      <c r="E10349">
        <v>0</v>
      </c>
      <c r="F10349" t="s">
        <v>7</v>
      </c>
      <c r="G10349" t="s">
        <v>12</v>
      </c>
      <c r="H10349" s="5">
        <f>MONTH(Tabela1[[#This Row],[data]])</f>
        <v>3</v>
      </c>
      <c r="I10349">
        <f>YEAR(Tabela1[[#This Row],[data]])</f>
        <v>2026</v>
      </c>
    </row>
    <row r="10350" spans="1:9" x14ac:dyDescent="0.25">
      <c r="A10350" t="s">
        <v>6</v>
      </c>
      <c r="B10350" s="1">
        <v>46089</v>
      </c>
      <c r="C10350">
        <v>5</v>
      </c>
      <c r="D10350">
        <v>230.58</v>
      </c>
      <c r="E10350">
        <v>0</v>
      </c>
      <c r="F10350" t="s">
        <v>7</v>
      </c>
      <c r="G10350" t="s">
        <v>12</v>
      </c>
      <c r="H10350" s="5">
        <f>MONTH(Tabela1[[#This Row],[data]])</f>
        <v>3</v>
      </c>
      <c r="I10350">
        <f>YEAR(Tabela1[[#This Row],[data]])</f>
        <v>2026</v>
      </c>
    </row>
    <row r="10351" spans="1:9" x14ac:dyDescent="0.25">
      <c r="A10351" t="s">
        <v>6</v>
      </c>
      <c r="B10351" s="1">
        <v>46089</v>
      </c>
      <c r="C10351">
        <v>6</v>
      </c>
      <c r="D10351">
        <v>214.62</v>
      </c>
      <c r="E10351">
        <v>0</v>
      </c>
      <c r="F10351" t="s">
        <v>7</v>
      </c>
      <c r="G10351" t="s">
        <v>12</v>
      </c>
      <c r="H10351" s="5">
        <f>MONTH(Tabela1[[#This Row],[data]])</f>
        <v>3</v>
      </c>
      <c r="I10351">
        <f>YEAR(Tabela1[[#This Row],[data]])</f>
        <v>2026</v>
      </c>
    </row>
    <row r="10352" spans="1:9" x14ac:dyDescent="0.25">
      <c r="A10352" t="s">
        <v>6</v>
      </c>
      <c r="B10352" s="1">
        <v>46089</v>
      </c>
      <c r="C10352">
        <v>7</v>
      </c>
      <c r="D10352">
        <v>198.66</v>
      </c>
      <c r="E10352">
        <v>0</v>
      </c>
      <c r="F10352" t="s">
        <v>7</v>
      </c>
      <c r="G10352" t="s">
        <v>12</v>
      </c>
      <c r="H10352" s="5">
        <f>MONTH(Tabela1[[#This Row],[data]])</f>
        <v>3</v>
      </c>
      <c r="I10352">
        <f>YEAR(Tabela1[[#This Row],[data]])</f>
        <v>2026</v>
      </c>
    </row>
    <row r="10353" spans="1:9" x14ac:dyDescent="0.25">
      <c r="A10353" t="s">
        <v>6</v>
      </c>
      <c r="B10353" s="1">
        <v>46089</v>
      </c>
      <c r="C10353">
        <v>8</v>
      </c>
      <c r="D10353">
        <v>197.4</v>
      </c>
      <c r="E10353">
        <v>0</v>
      </c>
      <c r="F10353" t="s">
        <v>7</v>
      </c>
      <c r="G10353" t="s">
        <v>12</v>
      </c>
      <c r="H10353" s="5">
        <f>MONTH(Tabela1[[#This Row],[data]])</f>
        <v>3</v>
      </c>
      <c r="I10353">
        <f>YEAR(Tabela1[[#This Row],[data]])</f>
        <v>2026</v>
      </c>
    </row>
    <row r="10354" spans="1:9" x14ac:dyDescent="0.25">
      <c r="A10354" t="s">
        <v>6</v>
      </c>
      <c r="B10354" s="1">
        <v>46089</v>
      </c>
      <c r="C10354">
        <v>9</v>
      </c>
      <c r="D10354">
        <v>247.8</v>
      </c>
      <c r="E10354">
        <v>0</v>
      </c>
      <c r="F10354" t="s">
        <v>7</v>
      </c>
      <c r="G10354" t="s">
        <v>11</v>
      </c>
      <c r="H10354" s="5">
        <f>MONTH(Tabela1[[#This Row],[data]])</f>
        <v>3</v>
      </c>
      <c r="I10354">
        <f>YEAR(Tabela1[[#This Row],[data]])</f>
        <v>2026</v>
      </c>
    </row>
    <row r="10355" spans="1:9" x14ac:dyDescent="0.25">
      <c r="A10355" t="s">
        <v>6</v>
      </c>
      <c r="B10355" s="1">
        <v>46089</v>
      </c>
      <c r="C10355">
        <v>10</v>
      </c>
      <c r="D10355">
        <v>311.22000000000003</v>
      </c>
      <c r="E10355">
        <v>0.42</v>
      </c>
      <c r="F10355" t="s">
        <v>7</v>
      </c>
      <c r="G10355" t="s">
        <v>12</v>
      </c>
      <c r="H10355" s="5">
        <f>MONTH(Tabela1[[#This Row],[data]])</f>
        <v>3</v>
      </c>
      <c r="I10355">
        <f>YEAR(Tabela1[[#This Row],[data]])</f>
        <v>2026</v>
      </c>
    </row>
    <row r="10356" spans="1:9" x14ac:dyDescent="0.25">
      <c r="A10356" t="s">
        <v>6</v>
      </c>
      <c r="B10356" s="1">
        <v>46089</v>
      </c>
      <c r="C10356">
        <v>11</v>
      </c>
      <c r="D10356">
        <v>592.62</v>
      </c>
      <c r="E10356">
        <v>102.9</v>
      </c>
      <c r="F10356" t="s">
        <v>7</v>
      </c>
      <c r="G10356" t="s">
        <v>12</v>
      </c>
      <c r="H10356" s="5">
        <f>MONTH(Tabela1[[#This Row],[data]])</f>
        <v>3</v>
      </c>
      <c r="I10356">
        <f>YEAR(Tabela1[[#This Row],[data]])</f>
        <v>2026</v>
      </c>
    </row>
    <row r="10357" spans="1:9" x14ac:dyDescent="0.25">
      <c r="A10357" t="s">
        <v>6</v>
      </c>
      <c r="B10357" s="1">
        <v>46089</v>
      </c>
      <c r="C10357">
        <v>12</v>
      </c>
      <c r="D10357">
        <v>810.18</v>
      </c>
      <c r="E10357">
        <v>202.86</v>
      </c>
      <c r="F10357" t="s">
        <v>7</v>
      </c>
      <c r="G10357" t="s">
        <v>12</v>
      </c>
      <c r="H10357" s="5">
        <f>MONTH(Tabela1[[#This Row],[data]])</f>
        <v>3</v>
      </c>
      <c r="I10357">
        <f>YEAR(Tabela1[[#This Row],[data]])</f>
        <v>2026</v>
      </c>
    </row>
    <row r="10358" spans="1:9" x14ac:dyDescent="0.25">
      <c r="A10358" t="s">
        <v>6</v>
      </c>
      <c r="B10358" s="1">
        <v>46089</v>
      </c>
      <c r="C10358">
        <v>13</v>
      </c>
      <c r="D10358">
        <v>891.24</v>
      </c>
      <c r="E10358">
        <v>202.86</v>
      </c>
      <c r="F10358" t="s">
        <v>7</v>
      </c>
      <c r="G10358" t="s">
        <v>12</v>
      </c>
      <c r="H10358" s="5">
        <f>MONTH(Tabela1[[#This Row],[data]])</f>
        <v>3</v>
      </c>
      <c r="I10358">
        <f>YEAR(Tabela1[[#This Row],[data]])</f>
        <v>2026</v>
      </c>
    </row>
    <row r="10359" spans="1:9" x14ac:dyDescent="0.25">
      <c r="A10359" t="s">
        <v>6</v>
      </c>
      <c r="B10359" s="1">
        <v>46089</v>
      </c>
      <c r="C10359">
        <v>14</v>
      </c>
      <c r="D10359">
        <v>939.54</v>
      </c>
      <c r="E10359">
        <v>216.3</v>
      </c>
      <c r="F10359" t="s">
        <v>7</v>
      </c>
      <c r="G10359" t="s">
        <v>12</v>
      </c>
      <c r="H10359" s="5">
        <f>MONTH(Tabela1[[#This Row],[data]])</f>
        <v>3</v>
      </c>
      <c r="I10359">
        <f>YEAR(Tabela1[[#This Row],[data]])</f>
        <v>2026</v>
      </c>
    </row>
    <row r="10360" spans="1:9" x14ac:dyDescent="0.25">
      <c r="A10360" t="s">
        <v>6</v>
      </c>
      <c r="B10360" s="1">
        <v>46089</v>
      </c>
      <c r="C10360">
        <v>15</v>
      </c>
      <c r="D10360">
        <v>918.54</v>
      </c>
      <c r="E10360">
        <v>215.04</v>
      </c>
      <c r="F10360" t="s">
        <v>7</v>
      </c>
      <c r="G10360" t="s">
        <v>11</v>
      </c>
      <c r="H10360" s="5">
        <f>MONTH(Tabela1[[#This Row],[data]])</f>
        <v>3</v>
      </c>
      <c r="I10360">
        <f>YEAR(Tabela1[[#This Row],[data]])</f>
        <v>2026</v>
      </c>
    </row>
    <row r="10361" spans="1:9" x14ac:dyDescent="0.25">
      <c r="A10361" t="s">
        <v>6</v>
      </c>
      <c r="B10361" s="1">
        <v>46089</v>
      </c>
      <c r="C10361">
        <v>16</v>
      </c>
      <c r="D10361">
        <v>933.24</v>
      </c>
      <c r="E10361">
        <v>217.14</v>
      </c>
      <c r="F10361" t="s">
        <v>7</v>
      </c>
      <c r="G10361" t="s">
        <v>12</v>
      </c>
      <c r="H10361" s="5">
        <f>MONTH(Tabela1[[#This Row],[data]])</f>
        <v>3</v>
      </c>
      <c r="I10361">
        <f>YEAR(Tabela1[[#This Row],[data]])</f>
        <v>2026</v>
      </c>
    </row>
    <row r="10362" spans="1:9" x14ac:dyDescent="0.25">
      <c r="A10362" t="s">
        <v>6</v>
      </c>
      <c r="B10362" s="1">
        <v>46089</v>
      </c>
      <c r="C10362">
        <v>17</v>
      </c>
      <c r="D10362">
        <v>915.6</v>
      </c>
      <c r="E10362">
        <v>212.52</v>
      </c>
      <c r="F10362" t="s">
        <v>7</v>
      </c>
      <c r="G10362" t="s">
        <v>12</v>
      </c>
      <c r="H10362" s="5">
        <f>MONTH(Tabela1[[#This Row],[data]])</f>
        <v>3</v>
      </c>
      <c r="I10362">
        <f>YEAR(Tabela1[[#This Row],[data]])</f>
        <v>2026</v>
      </c>
    </row>
    <row r="10363" spans="1:9" x14ac:dyDescent="0.25">
      <c r="A10363" t="s">
        <v>6</v>
      </c>
      <c r="B10363" s="1">
        <v>46089</v>
      </c>
      <c r="C10363">
        <v>18</v>
      </c>
      <c r="D10363">
        <v>894.18</v>
      </c>
      <c r="E10363">
        <v>204.12</v>
      </c>
      <c r="F10363" t="s">
        <v>7</v>
      </c>
      <c r="G10363" t="s">
        <v>11</v>
      </c>
      <c r="H10363" s="5">
        <f>MONTH(Tabela1[[#This Row],[data]])</f>
        <v>3</v>
      </c>
      <c r="I10363">
        <f>YEAR(Tabela1[[#This Row],[data]])</f>
        <v>2026</v>
      </c>
    </row>
    <row r="10364" spans="1:9" x14ac:dyDescent="0.25">
      <c r="A10364" t="s">
        <v>6</v>
      </c>
      <c r="B10364" s="1">
        <v>46089</v>
      </c>
      <c r="C10364">
        <v>19</v>
      </c>
      <c r="D10364">
        <v>895.86</v>
      </c>
      <c r="E10364">
        <v>201.6</v>
      </c>
      <c r="F10364" t="s">
        <v>7</v>
      </c>
      <c r="G10364" t="s">
        <v>12</v>
      </c>
      <c r="H10364" s="5">
        <f>MONTH(Tabela1[[#This Row],[data]])</f>
        <v>3</v>
      </c>
      <c r="I10364">
        <f>YEAR(Tabela1[[#This Row],[data]])</f>
        <v>2026</v>
      </c>
    </row>
    <row r="10365" spans="1:9" x14ac:dyDescent="0.25">
      <c r="A10365" t="s">
        <v>6</v>
      </c>
      <c r="B10365" s="1">
        <v>46089</v>
      </c>
      <c r="C10365">
        <v>20</v>
      </c>
      <c r="D10365">
        <v>887.88</v>
      </c>
      <c r="E10365">
        <v>196.56</v>
      </c>
      <c r="F10365" t="s">
        <v>7</v>
      </c>
      <c r="G10365" t="s">
        <v>12</v>
      </c>
      <c r="H10365" s="5">
        <f>MONTH(Tabela1[[#This Row],[data]])</f>
        <v>3</v>
      </c>
      <c r="I10365">
        <f>YEAR(Tabela1[[#This Row],[data]])</f>
        <v>2026</v>
      </c>
    </row>
    <row r="10366" spans="1:9" x14ac:dyDescent="0.25">
      <c r="A10366" t="s">
        <v>6</v>
      </c>
      <c r="B10366" s="1">
        <v>46089</v>
      </c>
      <c r="C10366">
        <v>21</v>
      </c>
      <c r="D10366">
        <v>758.94</v>
      </c>
      <c r="E10366">
        <v>147.41999999999999</v>
      </c>
      <c r="F10366" t="s">
        <v>7</v>
      </c>
      <c r="G10366" t="s">
        <v>12</v>
      </c>
      <c r="H10366" s="5">
        <f>MONTH(Tabela1[[#This Row],[data]])</f>
        <v>3</v>
      </c>
      <c r="I10366">
        <f>YEAR(Tabela1[[#This Row],[data]])</f>
        <v>2026</v>
      </c>
    </row>
    <row r="10367" spans="1:9" x14ac:dyDescent="0.25">
      <c r="A10367" t="s">
        <v>6</v>
      </c>
      <c r="B10367" s="1">
        <v>46089</v>
      </c>
      <c r="C10367">
        <v>22</v>
      </c>
      <c r="D10367">
        <v>514.91999999999996</v>
      </c>
      <c r="E10367">
        <v>31.08</v>
      </c>
      <c r="F10367" t="s">
        <v>7</v>
      </c>
      <c r="G10367" t="s">
        <v>11</v>
      </c>
      <c r="H10367" s="5">
        <f>MONTH(Tabela1[[#This Row],[data]])</f>
        <v>3</v>
      </c>
      <c r="I10367">
        <f>YEAR(Tabela1[[#This Row],[data]])</f>
        <v>2026</v>
      </c>
    </row>
    <row r="10368" spans="1:9" x14ac:dyDescent="0.25">
      <c r="A10368" t="s">
        <v>6</v>
      </c>
      <c r="B10368" s="1">
        <v>46089</v>
      </c>
      <c r="C10368">
        <v>23</v>
      </c>
      <c r="D10368">
        <v>341.88</v>
      </c>
      <c r="E10368">
        <v>0</v>
      </c>
      <c r="F10368" t="s">
        <v>7</v>
      </c>
      <c r="G10368" t="s">
        <v>12</v>
      </c>
      <c r="H10368" s="5">
        <f>MONTH(Tabela1[[#This Row],[data]])</f>
        <v>3</v>
      </c>
      <c r="I10368">
        <f>YEAR(Tabela1[[#This Row],[data]])</f>
        <v>2026</v>
      </c>
    </row>
    <row r="10369" spans="1:9" x14ac:dyDescent="0.25">
      <c r="A10369" t="s">
        <v>6</v>
      </c>
      <c r="B10369" s="1">
        <v>46089</v>
      </c>
      <c r="C10369">
        <v>24</v>
      </c>
      <c r="D10369">
        <v>283.5</v>
      </c>
      <c r="E10369">
        <v>0</v>
      </c>
      <c r="F10369" t="s">
        <v>7</v>
      </c>
      <c r="G10369" t="s">
        <v>12</v>
      </c>
      <c r="H10369" s="5">
        <f>MONTH(Tabela1[[#This Row],[data]])</f>
        <v>3</v>
      </c>
      <c r="I10369">
        <f>YEAR(Tabela1[[#This Row],[data]])</f>
        <v>2026</v>
      </c>
    </row>
    <row r="10370" spans="1:9" x14ac:dyDescent="0.25">
      <c r="A10370" t="s">
        <v>6</v>
      </c>
      <c r="B10370" s="1">
        <v>46090</v>
      </c>
      <c r="C10370">
        <v>1</v>
      </c>
      <c r="D10370">
        <v>252.42</v>
      </c>
      <c r="E10370">
        <v>0</v>
      </c>
      <c r="F10370" t="s">
        <v>7</v>
      </c>
      <c r="G10370" t="s">
        <v>12</v>
      </c>
      <c r="H10370" s="5">
        <f>MONTH(Tabela1[[#This Row],[data]])</f>
        <v>3</v>
      </c>
      <c r="I10370">
        <f>YEAR(Tabela1[[#This Row],[data]])</f>
        <v>2026</v>
      </c>
    </row>
    <row r="10371" spans="1:9" x14ac:dyDescent="0.25">
      <c r="A10371" t="s">
        <v>6</v>
      </c>
      <c r="B10371" s="1">
        <v>46090</v>
      </c>
      <c r="C10371">
        <v>2</v>
      </c>
      <c r="D10371">
        <v>226.8</v>
      </c>
      <c r="E10371">
        <v>0</v>
      </c>
      <c r="F10371" t="s">
        <v>7</v>
      </c>
      <c r="G10371" t="s">
        <v>12</v>
      </c>
      <c r="H10371" s="5">
        <f>MONTH(Tabela1[[#This Row],[data]])</f>
        <v>3</v>
      </c>
      <c r="I10371">
        <f>YEAR(Tabela1[[#This Row],[data]])</f>
        <v>2026</v>
      </c>
    </row>
    <row r="10372" spans="1:9" x14ac:dyDescent="0.25">
      <c r="A10372" t="s">
        <v>6</v>
      </c>
      <c r="B10372" s="1">
        <v>46090</v>
      </c>
      <c r="C10372">
        <v>3</v>
      </c>
      <c r="D10372">
        <v>223.44</v>
      </c>
      <c r="E10372">
        <v>0</v>
      </c>
      <c r="F10372" t="s">
        <v>7</v>
      </c>
      <c r="G10372" t="s">
        <v>12</v>
      </c>
      <c r="H10372" s="5">
        <f>MONTH(Tabela1[[#This Row],[data]])</f>
        <v>3</v>
      </c>
      <c r="I10372">
        <f>YEAR(Tabela1[[#This Row],[data]])</f>
        <v>2026</v>
      </c>
    </row>
    <row r="10373" spans="1:9" x14ac:dyDescent="0.25">
      <c r="A10373" t="s">
        <v>6</v>
      </c>
      <c r="B10373" s="1">
        <v>46090</v>
      </c>
      <c r="C10373">
        <v>4</v>
      </c>
      <c r="D10373">
        <v>225.96</v>
      </c>
      <c r="E10373">
        <v>0</v>
      </c>
      <c r="F10373" t="s">
        <v>7</v>
      </c>
      <c r="G10373" t="s">
        <v>12</v>
      </c>
      <c r="H10373" s="5">
        <f>MONTH(Tabela1[[#This Row],[data]])</f>
        <v>3</v>
      </c>
      <c r="I10373">
        <f>YEAR(Tabela1[[#This Row],[data]])</f>
        <v>2026</v>
      </c>
    </row>
    <row r="10374" spans="1:9" x14ac:dyDescent="0.25">
      <c r="A10374" t="s">
        <v>6</v>
      </c>
      <c r="B10374" s="1">
        <v>46090</v>
      </c>
      <c r="C10374">
        <v>5</v>
      </c>
      <c r="D10374">
        <v>231.84</v>
      </c>
      <c r="E10374">
        <v>0</v>
      </c>
      <c r="F10374" t="s">
        <v>7</v>
      </c>
      <c r="G10374" t="s">
        <v>12</v>
      </c>
      <c r="H10374" s="5">
        <f>MONTH(Tabela1[[#This Row],[data]])</f>
        <v>3</v>
      </c>
      <c r="I10374">
        <f>YEAR(Tabela1[[#This Row],[data]])</f>
        <v>2026</v>
      </c>
    </row>
    <row r="10375" spans="1:9" x14ac:dyDescent="0.25">
      <c r="A10375" t="s">
        <v>6</v>
      </c>
      <c r="B10375" s="1">
        <v>46090</v>
      </c>
      <c r="C10375">
        <v>6</v>
      </c>
      <c r="D10375">
        <v>222.18</v>
      </c>
      <c r="E10375">
        <v>0</v>
      </c>
      <c r="F10375" t="s">
        <v>7</v>
      </c>
      <c r="G10375" t="s">
        <v>12</v>
      </c>
      <c r="H10375" s="5">
        <f>MONTH(Tabela1[[#This Row],[data]])</f>
        <v>3</v>
      </c>
      <c r="I10375">
        <f>YEAR(Tabela1[[#This Row],[data]])</f>
        <v>2026</v>
      </c>
    </row>
    <row r="10376" spans="1:9" x14ac:dyDescent="0.25">
      <c r="A10376" t="s">
        <v>6</v>
      </c>
      <c r="B10376" s="1">
        <v>46090</v>
      </c>
      <c r="C10376">
        <v>7</v>
      </c>
      <c r="D10376">
        <v>223.02</v>
      </c>
      <c r="E10376">
        <v>0</v>
      </c>
      <c r="F10376" t="s">
        <v>7</v>
      </c>
      <c r="G10376" t="s">
        <v>12</v>
      </c>
      <c r="H10376" s="5">
        <f>MONTH(Tabela1[[#This Row],[data]])</f>
        <v>3</v>
      </c>
      <c r="I10376">
        <f>YEAR(Tabela1[[#This Row],[data]])</f>
        <v>2026</v>
      </c>
    </row>
    <row r="10377" spans="1:9" x14ac:dyDescent="0.25">
      <c r="A10377" t="s">
        <v>6</v>
      </c>
      <c r="B10377" s="1">
        <v>46090</v>
      </c>
      <c r="C10377">
        <v>8</v>
      </c>
      <c r="D10377">
        <v>249.06</v>
      </c>
      <c r="E10377">
        <v>0</v>
      </c>
      <c r="F10377" t="s">
        <v>7</v>
      </c>
      <c r="G10377" t="s">
        <v>12</v>
      </c>
      <c r="H10377" s="5">
        <f>MONTH(Tabela1[[#This Row],[data]])</f>
        <v>3</v>
      </c>
      <c r="I10377">
        <f>YEAR(Tabela1[[#This Row],[data]])</f>
        <v>2026</v>
      </c>
    </row>
    <row r="10378" spans="1:9" x14ac:dyDescent="0.25">
      <c r="A10378" t="s">
        <v>6</v>
      </c>
      <c r="B10378" s="1">
        <v>46090</v>
      </c>
      <c r="C10378">
        <v>9</v>
      </c>
      <c r="D10378">
        <v>341.04</v>
      </c>
      <c r="E10378">
        <v>0</v>
      </c>
      <c r="F10378" t="s">
        <v>7</v>
      </c>
      <c r="G10378" t="s">
        <v>12</v>
      </c>
      <c r="H10378" s="5">
        <f>MONTH(Tabela1[[#This Row],[data]])</f>
        <v>3</v>
      </c>
      <c r="I10378">
        <f>YEAR(Tabela1[[#This Row],[data]])</f>
        <v>2026</v>
      </c>
    </row>
    <row r="10379" spans="1:9" x14ac:dyDescent="0.25">
      <c r="A10379" t="s">
        <v>6</v>
      </c>
      <c r="B10379" s="1">
        <v>46090</v>
      </c>
      <c r="C10379">
        <v>10</v>
      </c>
      <c r="D10379">
        <v>412.02</v>
      </c>
      <c r="E10379">
        <v>15.54</v>
      </c>
      <c r="F10379" t="s">
        <v>7</v>
      </c>
      <c r="G10379" t="s">
        <v>12</v>
      </c>
      <c r="H10379" s="5">
        <f>MONTH(Tabela1[[#This Row],[data]])</f>
        <v>3</v>
      </c>
      <c r="I10379">
        <f>YEAR(Tabela1[[#This Row],[data]])</f>
        <v>2026</v>
      </c>
    </row>
    <row r="10380" spans="1:9" x14ac:dyDescent="0.25">
      <c r="A10380" t="s">
        <v>6</v>
      </c>
      <c r="B10380" s="1">
        <v>46090</v>
      </c>
      <c r="C10380">
        <v>11</v>
      </c>
      <c r="D10380">
        <v>546.84</v>
      </c>
      <c r="E10380">
        <v>58.38</v>
      </c>
      <c r="F10380" t="s">
        <v>7</v>
      </c>
      <c r="G10380" t="s">
        <v>12</v>
      </c>
      <c r="H10380" s="5">
        <f>MONTH(Tabela1[[#This Row],[data]])</f>
        <v>3</v>
      </c>
      <c r="I10380">
        <f>YEAR(Tabela1[[#This Row],[data]])</f>
        <v>2026</v>
      </c>
    </row>
    <row r="10381" spans="1:9" x14ac:dyDescent="0.25">
      <c r="A10381" t="s">
        <v>6</v>
      </c>
      <c r="B10381" s="1">
        <v>46090</v>
      </c>
      <c r="C10381">
        <v>12</v>
      </c>
      <c r="D10381">
        <v>615.72</v>
      </c>
      <c r="E10381">
        <v>90.72</v>
      </c>
      <c r="F10381" t="s">
        <v>7</v>
      </c>
      <c r="G10381" t="s">
        <v>12</v>
      </c>
      <c r="H10381" s="5">
        <f>MONTH(Tabela1[[#This Row],[data]])</f>
        <v>3</v>
      </c>
      <c r="I10381">
        <f>YEAR(Tabela1[[#This Row],[data]])</f>
        <v>2026</v>
      </c>
    </row>
    <row r="10382" spans="1:9" x14ac:dyDescent="0.25">
      <c r="A10382" t="s">
        <v>6</v>
      </c>
      <c r="B10382" s="1">
        <v>46090</v>
      </c>
      <c r="C10382">
        <v>13</v>
      </c>
      <c r="D10382">
        <v>625.38</v>
      </c>
      <c r="E10382">
        <v>116.34</v>
      </c>
      <c r="F10382" t="s">
        <v>7</v>
      </c>
      <c r="G10382" t="s">
        <v>12</v>
      </c>
      <c r="H10382" s="5">
        <f>MONTH(Tabela1[[#This Row],[data]])</f>
        <v>3</v>
      </c>
      <c r="I10382">
        <f>YEAR(Tabela1[[#This Row],[data]])</f>
        <v>2026</v>
      </c>
    </row>
    <row r="10383" spans="1:9" x14ac:dyDescent="0.25">
      <c r="A10383" t="s">
        <v>6</v>
      </c>
      <c r="B10383" s="1">
        <v>46090</v>
      </c>
      <c r="C10383">
        <v>14</v>
      </c>
      <c r="D10383">
        <v>631.67999999999995</v>
      </c>
      <c r="E10383">
        <v>118.44</v>
      </c>
      <c r="F10383" t="s">
        <v>7</v>
      </c>
      <c r="G10383" t="s">
        <v>12</v>
      </c>
      <c r="H10383" s="5">
        <f>MONTH(Tabela1[[#This Row],[data]])</f>
        <v>3</v>
      </c>
      <c r="I10383">
        <f>YEAR(Tabela1[[#This Row],[data]])</f>
        <v>2026</v>
      </c>
    </row>
    <row r="10384" spans="1:9" x14ac:dyDescent="0.25">
      <c r="A10384" t="s">
        <v>6</v>
      </c>
      <c r="B10384" s="1">
        <v>46090</v>
      </c>
      <c r="C10384">
        <v>15</v>
      </c>
      <c r="D10384">
        <v>736.26</v>
      </c>
      <c r="E10384">
        <v>169.68</v>
      </c>
      <c r="F10384" t="s">
        <v>7</v>
      </c>
      <c r="G10384" t="s">
        <v>12</v>
      </c>
      <c r="H10384" s="5">
        <f>MONTH(Tabela1[[#This Row],[data]])</f>
        <v>3</v>
      </c>
      <c r="I10384">
        <f>YEAR(Tabela1[[#This Row],[data]])</f>
        <v>2026</v>
      </c>
    </row>
    <row r="10385" spans="1:9" x14ac:dyDescent="0.25">
      <c r="A10385" t="s">
        <v>6</v>
      </c>
      <c r="B10385" s="1">
        <v>46090</v>
      </c>
      <c r="C10385">
        <v>16</v>
      </c>
      <c r="D10385">
        <v>968.1</v>
      </c>
      <c r="E10385">
        <v>271.74</v>
      </c>
      <c r="F10385" t="s">
        <v>7</v>
      </c>
      <c r="G10385" t="s">
        <v>12</v>
      </c>
      <c r="H10385" s="5">
        <f>MONTH(Tabela1[[#This Row],[data]])</f>
        <v>3</v>
      </c>
      <c r="I10385">
        <f>YEAR(Tabela1[[#This Row],[data]])</f>
        <v>2026</v>
      </c>
    </row>
    <row r="10386" spans="1:9" x14ac:dyDescent="0.25">
      <c r="A10386" t="s">
        <v>6</v>
      </c>
      <c r="B10386" s="1">
        <v>46090</v>
      </c>
      <c r="C10386">
        <v>17</v>
      </c>
      <c r="D10386">
        <v>891.66</v>
      </c>
      <c r="E10386">
        <v>259.56</v>
      </c>
      <c r="F10386" t="s">
        <v>7</v>
      </c>
      <c r="G10386" t="s">
        <v>12</v>
      </c>
      <c r="H10386" s="5">
        <f>MONTH(Tabela1[[#This Row],[data]])</f>
        <v>3</v>
      </c>
      <c r="I10386">
        <f>YEAR(Tabela1[[#This Row],[data]])</f>
        <v>2026</v>
      </c>
    </row>
    <row r="10387" spans="1:9" x14ac:dyDescent="0.25">
      <c r="A10387" t="s">
        <v>6</v>
      </c>
      <c r="B10387" s="1">
        <v>46090</v>
      </c>
      <c r="C10387">
        <v>18</v>
      </c>
      <c r="D10387">
        <v>847.14</v>
      </c>
      <c r="E10387">
        <v>210.42</v>
      </c>
      <c r="F10387" t="s">
        <v>7</v>
      </c>
      <c r="G10387" t="s">
        <v>12</v>
      </c>
      <c r="H10387" s="5">
        <f>MONTH(Tabela1[[#This Row],[data]])</f>
        <v>3</v>
      </c>
      <c r="I10387">
        <f>YEAR(Tabela1[[#This Row],[data]])</f>
        <v>2026</v>
      </c>
    </row>
    <row r="10388" spans="1:9" x14ac:dyDescent="0.25">
      <c r="A10388" t="s">
        <v>6</v>
      </c>
      <c r="B10388" s="1">
        <v>46090</v>
      </c>
      <c r="C10388">
        <v>19</v>
      </c>
      <c r="D10388">
        <v>802.62</v>
      </c>
      <c r="E10388">
        <v>162.96</v>
      </c>
      <c r="F10388" t="s">
        <v>7</v>
      </c>
      <c r="G10388" t="s">
        <v>12</v>
      </c>
      <c r="H10388" s="5">
        <f>MONTH(Tabela1[[#This Row],[data]])</f>
        <v>3</v>
      </c>
      <c r="I10388">
        <f>YEAR(Tabela1[[#This Row],[data]])</f>
        <v>2026</v>
      </c>
    </row>
    <row r="10389" spans="1:9" x14ac:dyDescent="0.25">
      <c r="A10389" t="s">
        <v>6</v>
      </c>
      <c r="B10389" s="1">
        <v>46090</v>
      </c>
      <c r="C10389">
        <v>20</v>
      </c>
      <c r="D10389">
        <v>783.72</v>
      </c>
      <c r="E10389">
        <v>171.36</v>
      </c>
      <c r="F10389" t="s">
        <v>7</v>
      </c>
      <c r="G10389" t="s">
        <v>12</v>
      </c>
      <c r="H10389" s="5">
        <f>MONTH(Tabela1[[#This Row],[data]])</f>
        <v>3</v>
      </c>
      <c r="I10389">
        <f>YEAR(Tabela1[[#This Row],[data]])</f>
        <v>2026</v>
      </c>
    </row>
    <row r="10390" spans="1:9" x14ac:dyDescent="0.25">
      <c r="A10390" t="s">
        <v>6</v>
      </c>
      <c r="B10390" s="1">
        <v>46090</v>
      </c>
      <c r="C10390">
        <v>21</v>
      </c>
      <c r="D10390">
        <v>783.72</v>
      </c>
      <c r="E10390">
        <v>190.26</v>
      </c>
      <c r="F10390" t="s">
        <v>7</v>
      </c>
      <c r="G10390" t="s">
        <v>12</v>
      </c>
      <c r="H10390" s="5">
        <f>MONTH(Tabela1[[#This Row],[data]])</f>
        <v>3</v>
      </c>
      <c r="I10390">
        <f>YEAR(Tabela1[[#This Row],[data]])</f>
        <v>2026</v>
      </c>
    </row>
    <row r="10391" spans="1:9" x14ac:dyDescent="0.25">
      <c r="A10391" t="s">
        <v>6</v>
      </c>
      <c r="B10391" s="1">
        <v>46090</v>
      </c>
      <c r="C10391">
        <v>22</v>
      </c>
      <c r="D10391">
        <v>740.88</v>
      </c>
      <c r="E10391">
        <v>169.26</v>
      </c>
      <c r="F10391" t="s">
        <v>7</v>
      </c>
      <c r="G10391" t="s">
        <v>12</v>
      </c>
      <c r="H10391" s="5">
        <f>MONTH(Tabela1[[#This Row],[data]])</f>
        <v>3</v>
      </c>
      <c r="I10391">
        <f>YEAR(Tabela1[[#This Row],[data]])</f>
        <v>2026</v>
      </c>
    </row>
    <row r="10392" spans="1:9" x14ac:dyDescent="0.25">
      <c r="A10392" t="s">
        <v>6</v>
      </c>
      <c r="B10392" s="1">
        <v>46090</v>
      </c>
      <c r="C10392">
        <v>23</v>
      </c>
      <c r="D10392">
        <v>372.54</v>
      </c>
      <c r="E10392">
        <v>8.82</v>
      </c>
      <c r="F10392" t="s">
        <v>7</v>
      </c>
      <c r="G10392" t="s">
        <v>12</v>
      </c>
      <c r="H10392" s="5">
        <f>MONTH(Tabela1[[#This Row],[data]])</f>
        <v>3</v>
      </c>
      <c r="I10392">
        <f>YEAR(Tabela1[[#This Row],[data]])</f>
        <v>2026</v>
      </c>
    </row>
    <row r="10393" spans="1:9" x14ac:dyDescent="0.25">
      <c r="A10393" t="s">
        <v>6</v>
      </c>
      <c r="B10393" s="1">
        <v>46090</v>
      </c>
      <c r="C10393">
        <v>24</v>
      </c>
      <c r="D10393">
        <v>275.10000000000002</v>
      </c>
      <c r="E10393">
        <v>0</v>
      </c>
      <c r="F10393" t="s">
        <v>7</v>
      </c>
      <c r="G10393" t="s">
        <v>12</v>
      </c>
      <c r="H10393" s="5">
        <f>MONTH(Tabela1[[#This Row],[data]])</f>
        <v>3</v>
      </c>
      <c r="I10393">
        <f>YEAR(Tabela1[[#This Row],[data]])</f>
        <v>2026</v>
      </c>
    </row>
    <row r="10394" spans="1:9" x14ac:dyDescent="0.25">
      <c r="A10394" t="s">
        <v>6</v>
      </c>
      <c r="B10394" s="1">
        <v>46091</v>
      </c>
      <c r="C10394">
        <v>1</v>
      </c>
      <c r="D10394">
        <v>234.78</v>
      </c>
      <c r="E10394">
        <v>0</v>
      </c>
      <c r="F10394" t="s">
        <v>7</v>
      </c>
      <c r="G10394" t="s">
        <v>12</v>
      </c>
      <c r="H10394" s="5">
        <f>MONTH(Tabela1[[#This Row],[data]])</f>
        <v>3</v>
      </c>
      <c r="I10394">
        <f>YEAR(Tabela1[[#This Row],[data]])</f>
        <v>2026</v>
      </c>
    </row>
    <row r="10395" spans="1:9" x14ac:dyDescent="0.25">
      <c r="A10395" t="s">
        <v>6</v>
      </c>
      <c r="B10395" s="1">
        <v>46091</v>
      </c>
      <c r="C10395">
        <v>2</v>
      </c>
      <c r="D10395">
        <v>222.18</v>
      </c>
      <c r="E10395">
        <v>0</v>
      </c>
      <c r="F10395" t="s">
        <v>7</v>
      </c>
      <c r="G10395" t="s">
        <v>12</v>
      </c>
      <c r="H10395" s="5">
        <f>MONTH(Tabela1[[#This Row],[data]])</f>
        <v>3</v>
      </c>
      <c r="I10395">
        <f>YEAR(Tabela1[[#This Row],[data]])</f>
        <v>2026</v>
      </c>
    </row>
    <row r="10396" spans="1:9" x14ac:dyDescent="0.25">
      <c r="A10396" t="s">
        <v>6</v>
      </c>
      <c r="B10396" s="1">
        <v>46091</v>
      </c>
      <c r="C10396">
        <v>3</v>
      </c>
      <c r="D10396">
        <v>219.66</v>
      </c>
      <c r="E10396">
        <v>0</v>
      </c>
      <c r="F10396" t="s">
        <v>7</v>
      </c>
      <c r="G10396" t="s">
        <v>12</v>
      </c>
      <c r="H10396" s="5">
        <f>MONTH(Tabela1[[#This Row],[data]])</f>
        <v>3</v>
      </c>
      <c r="I10396">
        <f>YEAR(Tabela1[[#This Row],[data]])</f>
        <v>2026</v>
      </c>
    </row>
    <row r="10397" spans="1:9" x14ac:dyDescent="0.25">
      <c r="A10397" t="s">
        <v>6</v>
      </c>
      <c r="B10397" s="1">
        <v>46091</v>
      </c>
      <c r="C10397">
        <v>4</v>
      </c>
      <c r="D10397">
        <v>215.04</v>
      </c>
      <c r="E10397">
        <v>0</v>
      </c>
      <c r="F10397" t="s">
        <v>7</v>
      </c>
      <c r="G10397" t="s">
        <v>12</v>
      </c>
      <c r="H10397" s="5">
        <f>MONTH(Tabela1[[#This Row],[data]])</f>
        <v>3</v>
      </c>
      <c r="I10397">
        <f>YEAR(Tabela1[[#This Row],[data]])</f>
        <v>2026</v>
      </c>
    </row>
    <row r="10398" spans="1:9" x14ac:dyDescent="0.25">
      <c r="A10398" t="s">
        <v>6</v>
      </c>
      <c r="B10398" s="1">
        <v>46091</v>
      </c>
      <c r="C10398">
        <v>5</v>
      </c>
      <c r="D10398">
        <v>223.02</v>
      </c>
      <c r="E10398">
        <v>0</v>
      </c>
      <c r="F10398" t="s">
        <v>7</v>
      </c>
      <c r="G10398" t="s">
        <v>12</v>
      </c>
      <c r="H10398" s="5">
        <f>MONTH(Tabela1[[#This Row],[data]])</f>
        <v>3</v>
      </c>
      <c r="I10398">
        <f>YEAR(Tabela1[[#This Row],[data]])</f>
        <v>2026</v>
      </c>
    </row>
    <row r="10399" spans="1:9" x14ac:dyDescent="0.25">
      <c r="A10399" t="s">
        <v>6</v>
      </c>
      <c r="B10399" s="1">
        <v>46091</v>
      </c>
      <c r="C10399">
        <v>6</v>
      </c>
      <c r="D10399">
        <v>215.46</v>
      </c>
      <c r="E10399">
        <v>0</v>
      </c>
      <c r="F10399" t="s">
        <v>7</v>
      </c>
      <c r="G10399" t="s">
        <v>12</v>
      </c>
      <c r="H10399" s="5">
        <f>MONTH(Tabela1[[#This Row],[data]])</f>
        <v>3</v>
      </c>
      <c r="I10399">
        <f>YEAR(Tabela1[[#This Row],[data]])</f>
        <v>2026</v>
      </c>
    </row>
    <row r="10400" spans="1:9" x14ac:dyDescent="0.25">
      <c r="A10400" t="s">
        <v>6</v>
      </c>
      <c r="B10400" s="1">
        <v>46091</v>
      </c>
      <c r="C10400">
        <v>7</v>
      </c>
      <c r="D10400">
        <v>216.3</v>
      </c>
      <c r="E10400">
        <v>0</v>
      </c>
      <c r="F10400" t="s">
        <v>7</v>
      </c>
      <c r="G10400" t="s">
        <v>12</v>
      </c>
      <c r="H10400" s="5">
        <f>MONTH(Tabela1[[#This Row],[data]])</f>
        <v>3</v>
      </c>
      <c r="I10400">
        <f>YEAR(Tabela1[[#This Row],[data]])</f>
        <v>2026</v>
      </c>
    </row>
    <row r="10401" spans="1:9" x14ac:dyDescent="0.25">
      <c r="A10401" t="s">
        <v>6</v>
      </c>
      <c r="B10401" s="1">
        <v>46091</v>
      </c>
      <c r="C10401">
        <v>8</v>
      </c>
      <c r="D10401">
        <v>215.88</v>
      </c>
      <c r="E10401">
        <v>0</v>
      </c>
      <c r="F10401" t="s">
        <v>7</v>
      </c>
      <c r="G10401" t="s">
        <v>12</v>
      </c>
      <c r="H10401" s="5">
        <f>MONTH(Tabela1[[#This Row],[data]])</f>
        <v>3</v>
      </c>
      <c r="I10401">
        <f>YEAR(Tabela1[[#This Row],[data]])</f>
        <v>2026</v>
      </c>
    </row>
    <row r="10402" spans="1:9" x14ac:dyDescent="0.25">
      <c r="A10402" t="s">
        <v>6</v>
      </c>
      <c r="B10402" s="1">
        <v>46091</v>
      </c>
      <c r="C10402">
        <v>9</v>
      </c>
      <c r="D10402">
        <v>344.82</v>
      </c>
      <c r="E10402">
        <v>0.84</v>
      </c>
      <c r="F10402" t="s">
        <v>7</v>
      </c>
      <c r="G10402" t="s">
        <v>12</v>
      </c>
      <c r="H10402" s="5">
        <f>MONTH(Tabela1[[#This Row],[data]])</f>
        <v>3</v>
      </c>
      <c r="I10402">
        <f>YEAR(Tabela1[[#This Row],[data]])</f>
        <v>2026</v>
      </c>
    </row>
    <row r="10403" spans="1:9" x14ac:dyDescent="0.25">
      <c r="A10403" t="s">
        <v>6</v>
      </c>
      <c r="B10403" s="1">
        <v>46091</v>
      </c>
      <c r="C10403">
        <v>10</v>
      </c>
      <c r="D10403">
        <v>459.06</v>
      </c>
      <c r="E10403">
        <v>46.62</v>
      </c>
      <c r="F10403" t="s">
        <v>7</v>
      </c>
      <c r="G10403" t="s">
        <v>12</v>
      </c>
      <c r="H10403" s="5">
        <f>MONTH(Tabela1[[#This Row],[data]])</f>
        <v>3</v>
      </c>
      <c r="I10403">
        <f>YEAR(Tabela1[[#This Row],[data]])</f>
        <v>2026</v>
      </c>
    </row>
    <row r="10404" spans="1:9" x14ac:dyDescent="0.25">
      <c r="A10404" t="s">
        <v>6</v>
      </c>
      <c r="B10404" s="1">
        <v>46091</v>
      </c>
      <c r="C10404">
        <v>11</v>
      </c>
      <c r="D10404">
        <v>872.34</v>
      </c>
      <c r="E10404">
        <v>241.92</v>
      </c>
      <c r="F10404" t="s">
        <v>7</v>
      </c>
      <c r="G10404" t="s">
        <v>12</v>
      </c>
      <c r="H10404" s="5">
        <f>MONTH(Tabela1[[#This Row],[data]])</f>
        <v>3</v>
      </c>
      <c r="I10404">
        <f>YEAR(Tabela1[[#This Row],[data]])</f>
        <v>2026</v>
      </c>
    </row>
    <row r="10405" spans="1:9" x14ac:dyDescent="0.25">
      <c r="A10405" t="s">
        <v>6</v>
      </c>
      <c r="B10405" s="1">
        <v>46091</v>
      </c>
      <c r="C10405">
        <v>12</v>
      </c>
      <c r="D10405">
        <v>838.74</v>
      </c>
      <c r="E10405">
        <v>241.92</v>
      </c>
      <c r="F10405" t="s">
        <v>7</v>
      </c>
      <c r="G10405" t="s">
        <v>12</v>
      </c>
      <c r="H10405" s="5">
        <f>MONTH(Tabela1[[#This Row],[data]])</f>
        <v>3</v>
      </c>
      <c r="I10405">
        <f>YEAR(Tabela1[[#This Row],[data]])</f>
        <v>2026</v>
      </c>
    </row>
    <row r="10406" spans="1:9" x14ac:dyDescent="0.25">
      <c r="A10406" t="s">
        <v>6</v>
      </c>
      <c r="B10406" s="1">
        <v>46091</v>
      </c>
      <c r="C10406">
        <v>13</v>
      </c>
      <c r="D10406">
        <v>853.02</v>
      </c>
      <c r="E10406">
        <v>225.12</v>
      </c>
      <c r="F10406" t="s">
        <v>7</v>
      </c>
      <c r="G10406" t="s">
        <v>12</v>
      </c>
      <c r="H10406" s="5">
        <f>MONTH(Tabela1[[#This Row],[data]])</f>
        <v>3</v>
      </c>
      <c r="I10406">
        <f>YEAR(Tabela1[[#This Row],[data]])</f>
        <v>2026</v>
      </c>
    </row>
    <row r="10407" spans="1:9" x14ac:dyDescent="0.25">
      <c r="A10407" t="s">
        <v>6</v>
      </c>
      <c r="B10407" s="1">
        <v>46091</v>
      </c>
      <c r="C10407">
        <v>14</v>
      </c>
      <c r="D10407">
        <v>828.24</v>
      </c>
      <c r="E10407">
        <v>196.56</v>
      </c>
      <c r="F10407" t="s">
        <v>7</v>
      </c>
      <c r="G10407" t="s">
        <v>12</v>
      </c>
      <c r="H10407" s="5">
        <f>MONTH(Tabela1[[#This Row],[data]])</f>
        <v>3</v>
      </c>
      <c r="I10407">
        <f>YEAR(Tabela1[[#This Row],[data]])</f>
        <v>2026</v>
      </c>
    </row>
    <row r="10408" spans="1:9" x14ac:dyDescent="0.25">
      <c r="A10408" t="s">
        <v>6</v>
      </c>
      <c r="B10408" s="1">
        <v>46091</v>
      </c>
      <c r="C10408">
        <v>15</v>
      </c>
      <c r="D10408">
        <v>838.32</v>
      </c>
      <c r="E10408">
        <v>202.44</v>
      </c>
      <c r="F10408" t="s">
        <v>7</v>
      </c>
      <c r="G10408" t="s">
        <v>12</v>
      </c>
      <c r="H10408" s="5">
        <f>MONTH(Tabela1[[#This Row],[data]])</f>
        <v>3</v>
      </c>
      <c r="I10408">
        <f>YEAR(Tabela1[[#This Row],[data]])</f>
        <v>2026</v>
      </c>
    </row>
    <row r="10409" spans="1:9" x14ac:dyDescent="0.25">
      <c r="A10409" t="s">
        <v>6</v>
      </c>
      <c r="B10409" s="1">
        <v>46091</v>
      </c>
      <c r="C10409">
        <v>16</v>
      </c>
      <c r="D10409">
        <v>847.98</v>
      </c>
      <c r="E10409">
        <v>218.82</v>
      </c>
      <c r="F10409" t="s">
        <v>7</v>
      </c>
      <c r="G10409" t="s">
        <v>12</v>
      </c>
      <c r="H10409" s="5">
        <f>MONTH(Tabela1[[#This Row],[data]])</f>
        <v>3</v>
      </c>
      <c r="I10409">
        <f>YEAR(Tabela1[[#This Row],[data]])</f>
        <v>2026</v>
      </c>
    </row>
    <row r="10410" spans="1:9" x14ac:dyDescent="0.25">
      <c r="A10410" t="s">
        <v>6</v>
      </c>
      <c r="B10410" s="1">
        <v>46091</v>
      </c>
      <c r="C10410">
        <v>17</v>
      </c>
      <c r="D10410">
        <v>860.16</v>
      </c>
      <c r="E10410">
        <v>239.4</v>
      </c>
      <c r="F10410" t="s">
        <v>7</v>
      </c>
      <c r="G10410" t="s">
        <v>12</v>
      </c>
      <c r="H10410" s="5">
        <f>MONTH(Tabela1[[#This Row],[data]])</f>
        <v>3</v>
      </c>
      <c r="I10410">
        <f>YEAR(Tabela1[[#This Row],[data]])</f>
        <v>2026</v>
      </c>
    </row>
    <row r="10411" spans="1:9" x14ac:dyDescent="0.25">
      <c r="A10411" t="s">
        <v>6</v>
      </c>
      <c r="B10411" s="1">
        <v>46091</v>
      </c>
      <c r="C10411">
        <v>18</v>
      </c>
      <c r="D10411">
        <v>859.32</v>
      </c>
      <c r="E10411">
        <v>220.08</v>
      </c>
      <c r="F10411" t="s">
        <v>7</v>
      </c>
      <c r="G10411" t="s">
        <v>12</v>
      </c>
      <c r="H10411" s="5">
        <f>MONTH(Tabela1[[#This Row],[data]])</f>
        <v>3</v>
      </c>
      <c r="I10411">
        <f>YEAR(Tabela1[[#This Row],[data]])</f>
        <v>2026</v>
      </c>
    </row>
    <row r="10412" spans="1:9" x14ac:dyDescent="0.25">
      <c r="A10412" t="s">
        <v>6</v>
      </c>
      <c r="B10412" s="1">
        <v>46091</v>
      </c>
      <c r="C10412">
        <v>19</v>
      </c>
      <c r="D10412">
        <v>812.28</v>
      </c>
      <c r="E10412">
        <v>177.66</v>
      </c>
      <c r="F10412" t="s">
        <v>7</v>
      </c>
      <c r="G10412" t="s">
        <v>12</v>
      </c>
      <c r="H10412" s="5">
        <f>MONTH(Tabela1[[#This Row],[data]])</f>
        <v>3</v>
      </c>
      <c r="I10412">
        <f>YEAR(Tabela1[[#This Row],[data]])</f>
        <v>2026</v>
      </c>
    </row>
    <row r="10413" spans="1:9" x14ac:dyDescent="0.25">
      <c r="A10413" t="s">
        <v>6</v>
      </c>
      <c r="B10413" s="1">
        <v>46091</v>
      </c>
      <c r="C10413">
        <v>20</v>
      </c>
      <c r="D10413">
        <v>811.02</v>
      </c>
      <c r="E10413">
        <v>174.72</v>
      </c>
      <c r="F10413" t="s">
        <v>7</v>
      </c>
      <c r="G10413" t="s">
        <v>12</v>
      </c>
      <c r="H10413" s="5">
        <f>MONTH(Tabela1[[#This Row],[data]])</f>
        <v>3</v>
      </c>
      <c r="I10413">
        <f>YEAR(Tabela1[[#This Row],[data]])</f>
        <v>2026</v>
      </c>
    </row>
    <row r="10414" spans="1:9" x14ac:dyDescent="0.25">
      <c r="A10414" t="s">
        <v>6</v>
      </c>
      <c r="B10414" s="1">
        <v>46091</v>
      </c>
      <c r="C10414">
        <v>21</v>
      </c>
      <c r="D10414">
        <v>809.34</v>
      </c>
      <c r="E10414">
        <v>179.76</v>
      </c>
      <c r="F10414" t="s">
        <v>7</v>
      </c>
      <c r="G10414" t="s">
        <v>12</v>
      </c>
      <c r="H10414" s="5">
        <f>MONTH(Tabela1[[#This Row],[data]])</f>
        <v>3</v>
      </c>
      <c r="I10414">
        <f>YEAR(Tabela1[[#This Row],[data]])</f>
        <v>2026</v>
      </c>
    </row>
    <row r="10415" spans="1:9" x14ac:dyDescent="0.25">
      <c r="A10415" t="s">
        <v>6</v>
      </c>
      <c r="B10415" s="1">
        <v>46091</v>
      </c>
      <c r="C10415">
        <v>22</v>
      </c>
      <c r="D10415">
        <v>756</v>
      </c>
      <c r="E10415">
        <v>157.08000000000001</v>
      </c>
      <c r="F10415" t="s">
        <v>7</v>
      </c>
      <c r="G10415" t="s">
        <v>12</v>
      </c>
      <c r="H10415" s="5">
        <f>MONTH(Tabela1[[#This Row],[data]])</f>
        <v>3</v>
      </c>
      <c r="I10415">
        <f>YEAR(Tabela1[[#This Row],[data]])</f>
        <v>2026</v>
      </c>
    </row>
    <row r="10416" spans="1:9" x14ac:dyDescent="0.25">
      <c r="A10416" t="s">
        <v>6</v>
      </c>
      <c r="B10416" s="1">
        <v>46091</v>
      </c>
      <c r="C10416">
        <v>23</v>
      </c>
      <c r="D10416">
        <v>393.96</v>
      </c>
      <c r="E10416">
        <v>17.22</v>
      </c>
      <c r="F10416" t="s">
        <v>7</v>
      </c>
      <c r="G10416" t="s">
        <v>12</v>
      </c>
      <c r="H10416" s="5">
        <f>MONTH(Tabela1[[#This Row],[data]])</f>
        <v>3</v>
      </c>
      <c r="I10416">
        <f>YEAR(Tabela1[[#This Row],[data]])</f>
        <v>2026</v>
      </c>
    </row>
    <row r="10417" spans="1:9" x14ac:dyDescent="0.25">
      <c r="A10417" t="s">
        <v>6</v>
      </c>
      <c r="B10417" s="1">
        <v>46091</v>
      </c>
      <c r="C10417">
        <v>24</v>
      </c>
      <c r="D10417">
        <v>272.58</v>
      </c>
      <c r="E10417">
        <v>0</v>
      </c>
      <c r="F10417" t="s">
        <v>7</v>
      </c>
      <c r="G10417" t="s">
        <v>12</v>
      </c>
      <c r="H10417" s="5">
        <f>MONTH(Tabela1[[#This Row],[data]])</f>
        <v>3</v>
      </c>
      <c r="I10417">
        <f>YEAR(Tabela1[[#This Row],[data]])</f>
        <v>2026</v>
      </c>
    </row>
    <row r="10418" spans="1:9" x14ac:dyDescent="0.25">
      <c r="A10418" t="s">
        <v>6</v>
      </c>
      <c r="B10418" s="1">
        <v>46092</v>
      </c>
      <c r="C10418">
        <v>1</v>
      </c>
      <c r="D10418">
        <v>241.08</v>
      </c>
      <c r="E10418">
        <v>0</v>
      </c>
      <c r="F10418" t="s">
        <v>7</v>
      </c>
      <c r="G10418" t="s">
        <v>12</v>
      </c>
      <c r="H10418" s="5">
        <f>MONTH(Tabela1[[#This Row],[data]])</f>
        <v>3</v>
      </c>
      <c r="I10418">
        <f>YEAR(Tabela1[[#This Row],[data]])</f>
        <v>2026</v>
      </c>
    </row>
    <row r="10419" spans="1:9" x14ac:dyDescent="0.25">
      <c r="A10419" t="s">
        <v>6</v>
      </c>
      <c r="B10419" s="1">
        <v>46092</v>
      </c>
      <c r="C10419">
        <v>2</v>
      </c>
      <c r="D10419">
        <v>232.68</v>
      </c>
      <c r="E10419">
        <v>0</v>
      </c>
      <c r="F10419" t="s">
        <v>7</v>
      </c>
      <c r="G10419" t="s">
        <v>12</v>
      </c>
      <c r="H10419" s="5">
        <f>MONTH(Tabela1[[#This Row],[data]])</f>
        <v>3</v>
      </c>
      <c r="I10419">
        <f>YEAR(Tabela1[[#This Row],[data]])</f>
        <v>2026</v>
      </c>
    </row>
    <row r="10420" spans="1:9" x14ac:dyDescent="0.25">
      <c r="A10420" t="s">
        <v>6</v>
      </c>
      <c r="B10420" s="1">
        <v>46092</v>
      </c>
      <c r="C10420">
        <v>3</v>
      </c>
      <c r="D10420">
        <v>221.76</v>
      </c>
      <c r="E10420">
        <v>0</v>
      </c>
      <c r="F10420" t="s">
        <v>7</v>
      </c>
      <c r="G10420" t="s">
        <v>12</v>
      </c>
      <c r="H10420" s="5">
        <f>MONTH(Tabela1[[#This Row],[data]])</f>
        <v>3</v>
      </c>
      <c r="I10420">
        <f>YEAR(Tabela1[[#This Row],[data]])</f>
        <v>2026</v>
      </c>
    </row>
    <row r="10421" spans="1:9" x14ac:dyDescent="0.25">
      <c r="A10421" t="s">
        <v>6</v>
      </c>
      <c r="B10421" s="1">
        <v>46092</v>
      </c>
      <c r="C10421">
        <v>4</v>
      </c>
      <c r="D10421">
        <v>224.28</v>
      </c>
      <c r="E10421">
        <v>0</v>
      </c>
      <c r="F10421" t="s">
        <v>7</v>
      </c>
      <c r="G10421" t="s">
        <v>12</v>
      </c>
      <c r="H10421" s="5">
        <f>MONTH(Tabela1[[#This Row],[data]])</f>
        <v>3</v>
      </c>
      <c r="I10421">
        <f>YEAR(Tabela1[[#This Row],[data]])</f>
        <v>2026</v>
      </c>
    </row>
    <row r="10422" spans="1:9" x14ac:dyDescent="0.25">
      <c r="A10422" t="s">
        <v>6</v>
      </c>
      <c r="B10422" s="1">
        <v>46092</v>
      </c>
      <c r="C10422">
        <v>5</v>
      </c>
      <c r="D10422">
        <v>232.68</v>
      </c>
      <c r="E10422">
        <v>0</v>
      </c>
      <c r="F10422" t="s">
        <v>7</v>
      </c>
      <c r="G10422" t="s">
        <v>12</v>
      </c>
      <c r="H10422" s="5">
        <f>MONTH(Tabela1[[#This Row],[data]])</f>
        <v>3</v>
      </c>
      <c r="I10422">
        <f>YEAR(Tabela1[[#This Row],[data]])</f>
        <v>2026</v>
      </c>
    </row>
    <row r="10423" spans="1:9" x14ac:dyDescent="0.25">
      <c r="A10423" t="s">
        <v>6</v>
      </c>
      <c r="B10423" s="1">
        <v>46092</v>
      </c>
      <c r="C10423">
        <v>6</v>
      </c>
      <c r="D10423">
        <v>227.64</v>
      </c>
      <c r="E10423">
        <v>0</v>
      </c>
      <c r="F10423" t="s">
        <v>7</v>
      </c>
      <c r="G10423" t="s">
        <v>12</v>
      </c>
      <c r="H10423" s="5">
        <f>MONTH(Tabela1[[#This Row],[data]])</f>
        <v>3</v>
      </c>
      <c r="I10423">
        <f>YEAR(Tabela1[[#This Row],[data]])</f>
        <v>2026</v>
      </c>
    </row>
    <row r="10424" spans="1:9" x14ac:dyDescent="0.25">
      <c r="A10424" t="s">
        <v>6</v>
      </c>
      <c r="B10424" s="1">
        <v>46092</v>
      </c>
      <c r="C10424">
        <v>7</v>
      </c>
      <c r="D10424">
        <v>226.38</v>
      </c>
      <c r="E10424">
        <v>0</v>
      </c>
      <c r="F10424" t="s">
        <v>7</v>
      </c>
      <c r="G10424" t="s">
        <v>12</v>
      </c>
      <c r="H10424" s="5">
        <f>MONTH(Tabela1[[#This Row],[data]])</f>
        <v>3</v>
      </c>
      <c r="I10424">
        <f>YEAR(Tabela1[[#This Row],[data]])</f>
        <v>2026</v>
      </c>
    </row>
    <row r="10425" spans="1:9" x14ac:dyDescent="0.25">
      <c r="A10425" t="s">
        <v>6</v>
      </c>
      <c r="B10425" s="1">
        <v>46092</v>
      </c>
      <c r="C10425">
        <v>8</v>
      </c>
      <c r="D10425">
        <v>222.6</v>
      </c>
      <c r="E10425">
        <v>0</v>
      </c>
      <c r="F10425" t="s">
        <v>7</v>
      </c>
      <c r="G10425" t="s">
        <v>12</v>
      </c>
      <c r="H10425" s="5">
        <f>MONTH(Tabela1[[#This Row],[data]])</f>
        <v>3</v>
      </c>
      <c r="I10425">
        <f>YEAR(Tabela1[[#This Row],[data]])</f>
        <v>2026</v>
      </c>
    </row>
    <row r="10426" spans="1:9" x14ac:dyDescent="0.25">
      <c r="A10426" t="s">
        <v>6</v>
      </c>
      <c r="B10426" s="1">
        <v>46092</v>
      </c>
      <c r="C10426">
        <v>9</v>
      </c>
      <c r="D10426">
        <v>378.84</v>
      </c>
      <c r="E10426">
        <v>7.14</v>
      </c>
      <c r="F10426" t="s">
        <v>7</v>
      </c>
      <c r="G10426" t="s">
        <v>12</v>
      </c>
      <c r="H10426" s="5">
        <f>MONTH(Tabela1[[#This Row],[data]])</f>
        <v>3</v>
      </c>
      <c r="I10426">
        <f>YEAR(Tabela1[[#This Row],[data]])</f>
        <v>2026</v>
      </c>
    </row>
    <row r="10427" spans="1:9" x14ac:dyDescent="0.25">
      <c r="A10427" t="s">
        <v>6</v>
      </c>
      <c r="B10427" s="1">
        <v>46092</v>
      </c>
      <c r="C10427">
        <v>10</v>
      </c>
      <c r="D10427">
        <v>543.9</v>
      </c>
      <c r="E10427">
        <v>88.62</v>
      </c>
      <c r="F10427" t="s">
        <v>7</v>
      </c>
      <c r="G10427" t="s">
        <v>12</v>
      </c>
      <c r="H10427" s="5">
        <f>MONTH(Tabela1[[#This Row],[data]])</f>
        <v>3</v>
      </c>
      <c r="I10427">
        <f>YEAR(Tabela1[[#This Row],[data]])</f>
        <v>2026</v>
      </c>
    </row>
    <row r="10428" spans="1:9" x14ac:dyDescent="0.25">
      <c r="A10428" t="s">
        <v>6</v>
      </c>
      <c r="B10428" s="1">
        <v>46092</v>
      </c>
      <c r="C10428">
        <v>11</v>
      </c>
      <c r="D10428">
        <v>826.98</v>
      </c>
      <c r="E10428">
        <v>218.82</v>
      </c>
      <c r="F10428" t="s">
        <v>7</v>
      </c>
      <c r="G10428" t="s">
        <v>12</v>
      </c>
      <c r="H10428" s="5">
        <f>MONTH(Tabela1[[#This Row],[data]])</f>
        <v>3</v>
      </c>
      <c r="I10428">
        <f>YEAR(Tabela1[[#This Row],[data]])</f>
        <v>2026</v>
      </c>
    </row>
    <row r="10429" spans="1:9" x14ac:dyDescent="0.25">
      <c r="A10429" t="s">
        <v>6</v>
      </c>
      <c r="B10429" s="1">
        <v>46092</v>
      </c>
      <c r="C10429">
        <v>12</v>
      </c>
      <c r="D10429">
        <v>879.9</v>
      </c>
      <c r="E10429">
        <v>234.78</v>
      </c>
      <c r="F10429" t="s">
        <v>7</v>
      </c>
      <c r="G10429" t="s">
        <v>12</v>
      </c>
      <c r="H10429" s="5">
        <f>MONTH(Tabela1[[#This Row],[data]])</f>
        <v>3</v>
      </c>
      <c r="I10429">
        <f>YEAR(Tabela1[[#This Row],[data]])</f>
        <v>2026</v>
      </c>
    </row>
    <row r="10430" spans="1:9" x14ac:dyDescent="0.25">
      <c r="A10430" t="s">
        <v>6</v>
      </c>
      <c r="B10430" s="1">
        <v>46092</v>
      </c>
      <c r="C10430">
        <v>13</v>
      </c>
      <c r="D10430">
        <v>849.24</v>
      </c>
      <c r="E10430">
        <v>229.74</v>
      </c>
      <c r="F10430" t="s">
        <v>7</v>
      </c>
      <c r="G10430" t="s">
        <v>12</v>
      </c>
      <c r="H10430" s="5">
        <f>MONTH(Tabela1[[#This Row],[data]])</f>
        <v>3</v>
      </c>
      <c r="I10430">
        <f>YEAR(Tabela1[[#This Row],[data]])</f>
        <v>2026</v>
      </c>
    </row>
    <row r="10431" spans="1:9" x14ac:dyDescent="0.25">
      <c r="A10431" t="s">
        <v>6</v>
      </c>
      <c r="B10431" s="1">
        <v>46092</v>
      </c>
      <c r="C10431">
        <v>14</v>
      </c>
      <c r="D10431">
        <v>858.06</v>
      </c>
      <c r="E10431">
        <v>207.9</v>
      </c>
      <c r="F10431" t="s">
        <v>7</v>
      </c>
      <c r="G10431" t="s">
        <v>12</v>
      </c>
      <c r="H10431" s="5">
        <f>MONTH(Tabela1[[#This Row],[data]])</f>
        <v>3</v>
      </c>
      <c r="I10431">
        <f>YEAR(Tabela1[[#This Row],[data]])</f>
        <v>2026</v>
      </c>
    </row>
    <row r="10432" spans="1:9" x14ac:dyDescent="0.25">
      <c r="A10432" t="s">
        <v>6</v>
      </c>
      <c r="B10432" s="1">
        <v>46092</v>
      </c>
      <c r="C10432">
        <v>15</v>
      </c>
      <c r="D10432">
        <v>848.82</v>
      </c>
      <c r="E10432">
        <v>216.3</v>
      </c>
      <c r="F10432" t="s">
        <v>7</v>
      </c>
      <c r="G10432" t="s">
        <v>12</v>
      </c>
      <c r="H10432" s="5">
        <f>MONTH(Tabela1[[#This Row],[data]])</f>
        <v>3</v>
      </c>
      <c r="I10432">
        <f>YEAR(Tabela1[[#This Row],[data]])</f>
        <v>2026</v>
      </c>
    </row>
    <row r="10433" spans="1:9" x14ac:dyDescent="0.25">
      <c r="A10433" t="s">
        <v>6</v>
      </c>
      <c r="B10433" s="1">
        <v>46092</v>
      </c>
      <c r="C10433">
        <v>16</v>
      </c>
      <c r="D10433">
        <v>886.2</v>
      </c>
      <c r="E10433">
        <v>244.86</v>
      </c>
      <c r="F10433" t="s">
        <v>7</v>
      </c>
      <c r="G10433" t="s">
        <v>12</v>
      </c>
      <c r="H10433" s="5">
        <f>MONTH(Tabela1[[#This Row],[data]])</f>
        <v>3</v>
      </c>
      <c r="I10433">
        <f>YEAR(Tabela1[[#This Row],[data]])</f>
        <v>2026</v>
      </c>
    </row>
    <row r="10434" spans="1:9" x14ac:dyDescent="0.25">
      <c r="A10434" t="s">
        <v>6</v>
      </c>
      <c r="B10434" s="1">
        <v>46092</v>
      </c>
      <c r="C10434">
        <v>17</v>
      </c>
      <c r="D10434">
        <v>869.82</v>
      </c>
      <c r="E10434">
        <v>252</v>
      </c>
      <c r="F10434" t="s">
        <v>7</v>
      </c>
      <c r="G10434" t="s">
        <v>12</v>
      </c>
      <c r="H10434" s="5">
        <f>MONTH(Tabela1[[#This Row],[data]])</f>
        <v>3</v>
      </c>
      <c r="I10434">
        <f>YEAR(Tabela1[[#This Row],[data]])</f>
        <v>2026</v>
      </c>
    </row>
    <row r="10435" spans="1:9" x14ac:dyDescent="0.25">
      <c r="A10435" t="s">
        <v>6</v>
      </c>
      <c r="B10435" s="1">
        <v>46092</v>
      </c>
      <c r="C10435">
        <v>18</v>
      </c>
      <c r="D10435">
        <v>845.04</v>
      </c>
      <c r="E10435">
        <v>210.84</v>
      </c>
      <c r="F10435" t="s">
        <v>7</v>
      </c>
      <c r="G10435" t="s">
        <v>12</v>
      </c>
      <c r="H10435" s="5">
        <f>MONTH(Tabela1[[#This Row],[data]])</f>
        <v>3</v>
      </c>
      <c r="I10435">
        <f>YEAR(Tabela1[[#This Row],[data]])</f>
        <v>2026</v>
      </c>
    </row>
    <row r="10436" spans="1:9" x14ac:dyDescent="0.25">
      <c r="A10436" t="s">
        <v>6</v>
      </c>
      <c r="B10436" s="1">
        <v>46092</v>
      </c>
      <c r="C10436">
        <v>19</v>
      </c>
      <c r="D10436">
        <v>800.1</v>
      </c>
      <c r="E10436">
        <v>175.14</v>
      </c>
      <c r="F10436" t="s">
        <v>7</v>
      </c>
      <c r="G10436" t="s">
        <v>12</v>
      </c>
      <c r="H10436" s="5">
        <f>MONTH(Tabela1[[#This Row],[data]])</f>
        <v>3</v>
      </c>
      <c r="I10436">
        <f>YEAR(Tabela1[[#This Row],[data]])</f>
        <v>2026</v>
      </c>
    </row>
    <row r="10437" spans="1:9" x14ac:dyDescent="0.25">
      <c r="A10437" t="s">
        <v>6</v>
      </c>
      <c r="B10437" s="1">
        <v>46092</v>
      </c>
      <c r="C10437">
        <v>20</v>
      </c>
      <c r="D10437">
        <v>801.36</v>
      </c>
      <c r="E10437">
        <v>195.72</v>
      </c>
      <c r="F10437" t="s">
        <v>7</v>
      </c>
      <c r="G10437" t="s">
        <v>12</v>
      </c>
      <c r="H10437" s="5">
        <f>MONTH(Tabela1[[#This Row],[data]])</f>
        <v>3</v>
      </c>
      <c r="I10437">
        <f>YEAR(Tabela1[[#This Row],[data]])</f>
        <v>2026</v>
      </c>
    </row>
    <row r="10438" spans="1:9" x14ac:dyDescent="0.25">
      <c r="A10438" t="s">
        <v>6</v>
      </c>
      <c r="B10438" s="1">
        <v>46092</v>
      </c>
      <c r="C10438">
        <v>21</v>
      </c>
      <c r="D10438">
        <v>801.36</v>
      </c>
      <c r="E10438">
        <v>170.52</v>
      </c>
      <c r="F10438" t="s">
        <v>7</v>
      </c>
      <c r="G10438" t="s">
        <v>12</v>
      </c>
      <c r="H10438" s="5">
        <f>MONTH(Tabela1[[#This Row],[data]])</f>
        <v>3</v>
      </c>
      <c r="I10438">
        <f>YEAR(Tabela1[[#This Row],[data]])</f>
        <v>2026</v>
      </c>
    </row>
    <row r="10439" spans="1:9" x14ac:dyDescent="0.25">
      <c r="A10439" t="s">
        <v>6</v>
      </c>
      <c r="B10439" s="1">
        <v>46092</v>
      </c>
      <c r="C10439">
        <v>22</v>
      </c>
      <c r="D10439">
        <v>724.92</v>
      </c>
      <c r="E10439">
        <v>143.63999999999999</v>
      </c>
      <c r="F10439" t="s">
        <v>7</v>
      </c>
      <c r="G10439" t="s">
        <v>12</v>
      </c>
      <c r="H10439" s="5">
        <f>MONTH(Tabela1[[#This Row],[data]])</f>
        <v>3</v>
      </c>
      <c r="I10439">
        <f>YEAR(Tabela1[[#This Row],[data]])</f>
        <v>2026</v>
      </c>
    </row>
    <row r="10440" spans="1:9" x14ac:dyDescent="0.25">
      <c r="A10440" t="s">
        <v>6</v>
      </c>
      <c r="B10440" s="1">
        <v>46092</v>
      </c>
      <c r="C10440">
        <v>23</v>
      </c>
      <c r="D10440">
        <v>354.9</v>
      </c>
      <c r="E10440">
        <v>0.84</v>
      </c>
      <c r="F10440" t="s">
        <v>7</v>
      </c>
      <c r="G10440" t="s">
        <v>12</v>
      </c>
      <c r="H10440" s="5">
        <f>MONTH(Tabela1[[#This Row],[data]])</f>
        <v>3</v>
      </c>
      <c r="I10440">
        <f>YEAR(Tabela1[[#This Row],[data]])</f>
        <v>2026</v>
      </c>
    </row>
    <row r="10441" spans="1:9" x14ac:dyDescent="0.25">
      <c r="A10441" t="s">
        <v>6</v>
      </c>
      <c r="B10441" s="1">
        <v>46092</v>
      </c>
      <c r="C10441">
        <v>24</v>
      </c>
      <c r="D10441">
        <v>254.94</v>
      </c>
      <c r="E10441">
        <v>0</v>
      </c>
      <c r="F10441" t="s">
        <v>7</v>
      </c>
      <c r="G10441" t="s">
        <v>12</v>
      </c>
      <c r="H10441" s="5">
        <f>MONTH(Tabela1[[#This Row],[data]])</f>
        <v>3</v>
      </c>
      <c r="I10441">
        <f>YEAR(Tabela1[[#This Row],[data]])</f>
        <v>2026</v>
      </c>
    </row>
    <row r="10442" spans="1:9" x14ac:dyDescent="0.25">
      <c r="A10442" t="s">
        <v>6</v>
      </c>
      <c r="B10442" s="1">
        <v>46093</v>
      </c>
      <c r="C10442">
        <v>1</v>
      </c>
      <c r="D10442">
        <v>225.12</v>
      </c>
      <c r="E10442">
        <v>0</v>
      </c>
      <c r="F10442" t="s">
        <v>7</v>
      </c>
      <c r="G10442" t="s">
        <v>11</v>
      </c>
      <c r="H10442" s="5">
        <f>MONTH(Tabela1[[#This Row],[data]])</f>
        <v>3</v>
      </c>
      <c r="I10442">
        <f>YEAR(Tabela1[[#This Row],[data]])</f>
        <v>2026</v>
      </c>
    </row>
    <row r="10443" spans="1:9" x14ac:dyDescent="0.25">
      <c r="A10443" t="s">
        <v>6</v>
      </c>
      <c r="B10443" s="1">
        <v>46093</v>
      </c>
      <c r="C10443">
        <v>2</v>
      </c>
      <c r="D10443">
        <v>216.3</v>
      </c>
      <c r="E10443">
        <v>0</v>
      </c>
      <c r="F10443" t="s">
        <v>7</v>
      </c>
      <c r="G10443" t="s">
        <v>11</v>
      </c>
      <c r="H10443" s="5">
        <f>MONTH(Tabela1[[#This Row],[data]])</f>
        <v>3</v>
      </c>
      <c r="I10443">
        <f>YEAR(Tabela1[[#This Row],[data]])</f>
        <v>2026</v>
      </c>
    </row>
    <row r="10444" spans="1:9" x14ac:dyDescent="0.25">
      <c r="A10444" t="s">
        <v>6</v>
      </c>
      <c r="B10444" s="1">
        <v>46093</v>
      </c>
      <c r="C10444">
        <v>3</v>
      </c>
      <c r="D10444">
        <v>213.36</v>
      </c>
      <c r="E10444">
        <v>0</v>
      </c>
      <c r="F10444" t="s">
        <v>7</v>
      </c>
      <c r="G10444" t="s">
        <v>11</v>
      </c>
      <c r="H10444" s="5">
        <f>MONTH(Tabela1[[#This Row],[data]])</f>
        <v>3</v>
      </c>
      <c r="I10444">
        <f>YEAR(Tabela1[[#This Row],[data]])</f>
        <v>2026</v>
      </c>
    </row>
    <row r="10445" spans="1:9" x14ac:dyDescent="0.25">
      <c r="A10445" t="s">
        <v>6</v>
      </c>
      <c r="B10445" s="1">
        <v>46093</v>
      </c>
      <c r="C10445">
        <v>4</v>
      </c>
      <c r="D10445">
        <v>211.26</v>
      </c>
      <c r="E10445">
        <v>0</v>
      </c>
      <c r="F10445" t="s">
        <v>7</v>
      </c>
      <c r="G10445" t="s">
        <v>11</v>
      </c>
      <c r="H10445" s="5">
        <f>MONTH(Tabela1[[#This Row],[data]])</f>
        <v>3</v>
      </c>
      <c r="I10445">
        <f>YEAR(Tabela1[[#This Row],[data]])</f>
        <v>2026</v>
      </c>
    </row>
    <row r="10446" spans="1:9" x14ac:dyDescent="0.25">
      <c r="A10446" t="s">
        <v>6</v>
      </c>
      <c r="B10446" s="1">
        <v>46093</v>
      </c>
      <c r="C10446">
        <v>5</v>
      </c>
      <c r="D10446">
        <v>218.82</v>
      </c>
      <c r="E10446">
        <v>0</v>
      </c>
      <c r="F10446" t="s">
        <v>7</v>
      </c>
      <c r="G10446" t="s">
        <v>11</v>
      </c>
      <c r="H10446" s="5">
        <f>MONTH(Tabela1[[#This Row],[data]])</f>
        <v>3</v>
      </c>
      <c r="I10446">
        <f>YEAR(Tabela1[[#This Row],[data]])</f>
        <v>2026</v>
      </c>
    </row>
    <row r="10447" spans="1:9" x14ac:dyDescent="0.25">
      <c r="A10447" t="s">
        <v>6</v>
      </c>
      <c r="B10447" s="1">
        <v>46093</v>
      </c>
      <c r="C10447">
        <v>6</v>
      </c>
      <c r="D10447">
        <v>214.62</v>
      </c>
      <c r="E10447">
        <v>0</v>
      </c>
      <c r="F10447" t="s">
        <v>7</v>
      </c>
      <c r="G10447" t="s">
        <v>11</v>
      </c>
      <c r="H10447" s="5">
        <f>MONTH(Tabela1[[#This Row],[data]])</f>
        <v>3</v>
      </c>
      <c r="I10447">
        <f>YEAR(Tabela1[[#This Row],[data]])</f>
        <v>2026</v>
      </c>
    </row>
    <row r="10448" spans="1:9" x14ac:dyDescent="0.25">
      <c r="A10448" t="s">
        <v>6</v>
      </c>
      <c r="B10448" s="1">
        <v>46093</v>
      </c>
      <c r="C10448">
        <v>7</v>
      </c>
      <c r="D10448">
        <v>210.84</v>
      </c>
      <c r="E10448">
        <v>0</v>
      </c>
      <c r="F10448" t="s">
        <v>7</v>
      </c>
      <c r="G10448" t="s">
        <v>11</v>
      </c>
      <c r="H10448" s="5">
        <f>MONTH(Tabela1[[#This Row],[data]])</f>
        <v>3</v>
      </c>
      <c r="I10448">
        <f>YEAR(Tabela1[[#This Row],[data]])</f>
        <v>2026</v>
      </c>
    </row>
    <row r="10449" spans="1:9" x14ac:dyDescent="0.25">
      <c r="A10449" t="s">
        <v>6</v>
      </c>
      <c r="B10449" s="1">
        <v>46093</v>
      </c>
      <c r="C10449">
        <v>8</v>
      </c>
      <c r="D10449">
        <v>222.18</v>
      </c>
      <c r="E10449">
        <v>0</v>
      </c>
      <c r="F10449" t="s">
        <v>7</v>
      </c>
      <c r="G10449" t="s">
        <v>11</v>
      </c>
      <c r="H10449" s="5">
        <f>MONTH(Tabela1[[#This Row],[data]])</f>
        <v>3</v>
      </c>
      <c r="I10449">
        <f>YEAR(Tabela1[[#This Row],[data]])</f>
        <v>2026</v>
      </c>
    </row>
    <row r="10450" spans="1:9" x14ac:dyDescent="0.25">
      <c r="A10450" t="s">
        <v>6</v>
      </c>
      <c r="B10450" s="1">
        <v>46093</v>
      </c>
      <c r="C10450">
        <v>9</v>
      </c>
      <c r="D10450">
        <v>342.72</v>
      </c>
      <c r="E10450">
        <v>11.34</v>
      </c>
      <c r="F10450" t="s">
        <v>7</v>
      </c>
      <c r="G10450" t="s">
        <v>11</v>
      </c>
      <c r="H10450" s="5">
        <f>MONTH(Tabela1[[#This Row],[data]])</f>
        <v>3</v>
      </c>
      <c r="I10450">
        <f>YEAR(Tabela1[[#This Row],[data]])</f>
        <v>2026</v>
      </c>
    </row>
    <row r="10451" spans="1:9" x14ac:dyDescent="0.25">
      <c r="A10451" t="s">
        <v>6</v>
      </c>
      <c r="B10451" s="1">
        <v>46093</v>
      </c>
      <c r="C10451">
        <v>10</v>
      </c>
      <c r="D10451">
        <v>469.14</v>
      </c>
      <c r="E10451">
        <v>41.16</v>
      </c>
      <c r="F10451" t="s">
        <v>7</v>
      </c>
      <c r="G10451" t="s">
        <v>11</v>
      </c>
      <c r="H10451" s="5">
        <f>MONTH(Tabela1[[#This Row],[data]])</f>
        <v>3</v>
      </c>
      <c r="I10451">
        <f>YEAR(Tabela1[[#This Row],[data]])</f>
        <v>2026</v>
      </c>
    </row>
    <row r="10452" spans="1:9" x14ac:dyDescent="0.25">
      <c r="A10452" t="s">
        <v>6</v>
      </c>
      <c r="B10452" s="1">
        <v>46093</v>
      </c>
      <c r="C10452">
        <v>11</v>
      </c>
      <c r="D10452">
        <v>866.46</v>
      </c>
      <c r="E10452">
        <v>214.2</v>
      </c>
      <c r="F10452" t="s">
        <v>7</v>
      </c>
      <c r="G10452" t="s">
        <v>11</v>
      </c>
      <c r="H10452" s="5">
        <f>MONTH(Tabela1[[#This Row],[data]])</f>
        <v>3</v>
      </c>
      <c r="I10452">
        <f>YEAR(Tabela1[[#This Row],[data]])</f>
        <v>2026</v>
      </c>
    </row>
    <row r="10453" spans="1:9" x14ac:dyDescent="0.25">
      <c r="A10453" t="s">
        <v>6</v>
      </c>
      <c r="B10453" s="1">
        <v>46093</v>
      </c>
      <c r="C10453">
        <v>12</v>
      </c>
      <c r="D10453">
        <v>853.02</v>
      </c>
      <c r="E10453">
        <v>205.8</v>
      </c>
      <c r="F10453" t="s">
        <v>7</v>
      </c>
      <c r="G10453" t="s">
        <v>11</v>
      </c>
      <c r="H10453" s="5">
        <f>MONTH(Tabela1[[#This Row],[data]])</f>
        <v>3</v>
      </c>
      <c r="I10453">
        <f>YEAR(Tabela1[[#This Row],[data]])</f>
        <v>2026</v>
      </c>
    </row>
    <row r="10454" spans="1:9" x14ac:dyDescent="0.25">
      <c r="A10454" t="s">
        <v>6</v>
      </c>
      <c r="B10454" s="1">
        <v>46093</v>
      </c>
      <c r="C10454">
        <v>13</v>
      </c>
      <c r="D10454">
        <v>861.42</v>
      </c>
      <c r="E10454">
        <v>228.06</v>
      </c>
      <c r="F10454" t="s">
        <v>7</v>
      </c>
      <c r="G10454" t="s">
        <v>11</v>
      </c>
      <c r="H10454" s="5">
        <f>MONTH(Tabela1[[#This Row],[data]])</f>
        <v>3</v>
      </c>
      <c r="I10454">
        <f>YEAR(Tabela1[[#This Row],[data]])</f>
        <v>2026</v>
      </c>
    </row>
    <row r="10455" spans="1:9" x14ac:dyDescent="0.25">
      <c r="A10455" t="s">
        <v>6</v>
      </c>
      <c r="B10455" s="1">
        <v>46093</v>
      </c>
      <c r="C10455">
        <v>14</v>
      </c>
      <c r="D10455">
        <v>861.84</v>
      </c>
      <c r="E10455">
        <v>212.1</v>
      </c>
      <c r="F10455" t="s">
        <v>7</v>
      </c>
      <c r="G10455" t="s">
        <v>11</v>
      </c>
      <c r="H10455" s="5">
        <f>MONTH(Tabela1[[#This Row],[data]])</f>
        <v>3</v>
      </c>
      <c r="I10455">
        <f>YEAR(Tabela1[[#This Row],[data]])</f>
        <v>2026</v>
      </c>
    </row>
    <row r="10456" spans="1:9" x14ac:dyDescent="0.25">
      <c r="A10456" t="s">
        <v>6</v>
      </c>
      <c r="B10456" s="1">
        <v>46093</v>
      </c>
      <c r="C10456">
        <v>15</v>
      </c>
      <c r="D10456">
        <v>830.76</v>
      </c>
      <c r="E10456">
        <v>194.46</v>
      </c>
      <c r="F10456" t="s">
        <v>7</v>
      </c>
      <c r="G10456" t="s">
        <v>11</v>
      </c>
      <c r="H10456" s="5">
        <f>MONTH(Tabela1[[#This Row],[data]])</f>
        <v>3</v>
      </c>
      <c r="I10456">
        <f>YEAR(Tabela1[[#This Row],[data]])</f>
        <v>2026</v>
      </c>
    </row>
    <row r="10457" spans="1:9" x14ac:dyDescent="0.25">
      <c r="A10457" t="s">
        <v>6</v>
      </c>
      <c r="B10457" s="1">
        <v>46093</v>
      </c>
      <c r="C10457">
        <v>16</v>
      </c>
      <c r="D10457">
        <v>841.26</v>
      </c>
      <c r="E10457">
        <v>212.1</v>
      </c>
      <c r="F10457" t="s">
        <v>7</v>
      </c>
      <c r="G10457" t="s">
        <v>11</v>
      </c>
      <c r="H10457" s="5">
        <f>MONTH(Tabela1[[#This Row],[data]])</f>
        <v>3</v>
      </c>
      <c r="I10457">
        <f>YEAR(Tabela1[[#This Row],[data]])</f>
        <v>2026</v>
      </c>
    </row>
    <row r="10458" spans="1:9" x14ac:dyDescent="0.25">
      <c r="A10458" t="s">
        <v>6</v>
      </c>
      <c r="B10458" s="1">
        <v>46093</v>
      </c>
      <c r="C10458">
        <v>17</v>
      </c>
      <c r="D10458">
        <v>818.58</v>
      </c>
      <c r="E10458">
        <v>217.98</v>
      </c>
      <c r="F10458" t="s">
        <v>7</v>
      </c>
      <c r="G10458" t="s">
        <v>11</v>
      </c>
      <c r="H10458" s="5">
        <f>MONTH(Tabela1[[#This Row],[data]])</f>
        <v>3</v>
      </c>
      <c r="I10458">
        <f>YEAR(Tabela1[[#This Row],[data]])</f>
        <v>2026</v>
      </c>
    </row>
    <row r="10459" spans="1:9" x14ac:dyDescent="0.25">
      <c r="A10459" t="s">
        <v>6</v>
      </c>
      <c r="B10459" s="1">
        <v>46093</v>
      </c>
      <c r="C10459">
        <v>18</v>
      </c>
      <c r="D10459">
        <v>817.74</v>
      </c>
      <c r="E10459">
        <v>190.68</v>
      </c>
      <c r="F10459" t="s">
        <v>7</v>
      </c>
      <c r="G10459" t="s">
        <v>11</v>
      </c>
      <c r="H10459" s="5">
        <f>MONTH(Tabela1[[#This Row],[data]])</f>
        <v>3</v>
      </c>
      <c r="I10459">
        <f>YEAR(Tabela1[[#This Row],[data]])</f>
        <v>2026</v>
      </c>
    </row>
    <row r="10460" spans="1:9" x14ac:dyDescent="0.25">
      <c r="A10460" t="s">
        <v>6</v>
      </c>
      <c r="B10460" s="1">
        <v>46093</v>
      </c>
      <c r="C10460">
        <v>19</v>
      </c>
      <c r="D10460">
        <v>796.74</v>
      </c>
      <c r="E10460">
        <v>172.62</v>
      </c>
      <c r="F10460" t="s">
        <v>7</v>
      </c>
      <c r="G10460" t="s">
        <v>11</v>
      </c>
      <c r="H10460" s="5">
        <f>MONTH(Tabela1[[#This Row],[data]])</f>
        <v>3</v>
      </c>
      <c r="I10460">
        <f>YEAR(Tabela1[[#This Row],[data]])</f>
        <v>2026</v>
      </c>
    </row>
    <row r="10461" spans="1:9" x14ac:dyDescent="0.25">
      <c r="A10461" t="s">
        <v>6</v>
      </c>
      <c r="B10461" s="1">
        <v>46093</v>
      </c>
      <c r="C10461">
        <v>20</v>
      </c>
      <c r="D10461">
        <v>797.58</v>
      </c>
      <c r="E10461">
        <v>174.72</v>
      </c>
      <c r="F10461" t="s">
        <v>7</v>
      </c>
      <c r="G10461" t="s">
        <v>11</v>
      </c>
      <c r="H10461" s="5">
        <f>MONTH(Tabela1[[#This Row],[data]])</f>
        <v>3</v>
      </c>
      <c r="I10461">
        <f>YEAR(Tabela1[[#This Row],[data]])</f>
        <v>2026</v>
      </c>
    </row>
    <row r="10462" spans="1:9" x14ac:dyDescent="0.25">
      <c r="A10462" t="s">
        <v>6</v>
      </c>
      <c r="B10462" s="1">
        <v>46093</v>
      </c>
      <c r="C10462">
        <v>21</v>
      </c>
      <c r="D10462">
        <v>750.54</v>
      </c>
      <c r="E10462">
        <v>154.97999999999999</v>
      </c>
      <c r="F10462" t="s">
        <v>7</v>
      </c>
      <c r="G10462" t="s">
        <v>11</v>
      </c>
      <c r="H10462" s="5">
        <f>MONTH(Tabela1[[#This Row],[data]])</f>
        <v>3</v>
      </c>
      <c r="I10462">
        <f>YEAR(Tabela1[[#This Row],[data]])</f>
        <v>2026</v>
      </c>
    </row>
    <row r="10463" spans="1:9" x14ac:dyDescent="0.25">
      <c r="A10463" t="s">
        <v>6</v>
      </c>
      <c r="B10463" s="1">
        <v>46093</v>
      </c>
      <c r="C10463">
        <v>22</v>
      </c>
      <c r="D10463">
        <v>573.72</v>
      </c>
      <c r="E10463">
        <v>49.56</v>
      </c>
      <c r="F10463" t="s">
        <v>7</v>
      </c>
      <c r="G10463" t="s">
        <v>11</v>
      </c>
      <c r="H10463" s="5">
        <f>MONTH(Tabela1[[#This Row],[data]])</f>
        <v>3</v>
      </c>
      <c r="I10463">
        <f>YEAR(Tabela1[[#This Row],[data]])</f>
        <v>2026</v>
      </c>
    </row>
    <row r="10464" spans="1:9" x14ac:dyDescent="0.25">
      <c r="A10464" t="s">
        <v>6</v>
      </c>
      <c r="B10464" s="1">
        <v>46093</v>
      </c>
      <c r="C10464">
        <v>23</v>
      </c>
      <c r="D10464">
        <v>359.52</v>
      </c>
      <c r="E10464">
        <v>0</v>
      </c>
      <c r="F10464" t="s">
        <v>7</v>
      </c>
      <c r="G10464" t="s">
        <v>11</v>
      </c>
      <c r="H10464" s="5">
        <f>MONTH(Tabela1[[#This Row],[data]])</f>
        <v>3</v>
      </c>
      <c r="I10464">
        <f>YEAR(Tabela1[[#This Row],[data]])</f>
        <v>2026</v>
      </c>
    </row>
    <row r="10465" spans="1:9" x14ac:dyDescent="0.25">
      <c r="A10465" t="s">
        <v>6</v>
      </c>
      <c r="B10465" s="1">
        <v>46093</v>
      </c>
      <c r="C10465">
        <v>24</v>
      </c>
      <c r="D10465">
        <v>259.14</v>
      </c>
      <c r="E10465">
        <v>0</v>
      </c>
      <c r="F10465" t="s">
        <v>7</v>
      </c>
      <c r="G10465" t="s">
        <v>11</v>
      </c>
      <c r="H10465" s="5">
        <f>MONTH(Tabela1[[#This Row],[data]])</f>
        <v>3</v>
      </c>
      <c r="I10465">
        <f>YEAR(Tabela1[[#This Row],[data]])</f>
        <v>2026</v>
      </c>
    </row>
    <row r="10466" spans="1:9" x14ac:dyDescent="0.25">
      <c r="A10466" t="s">
        <v>6</v>
      </c>
      <c r="B10466" s="1">
        <v>46094</v>
      </c>
      <c r="C10466">
        <v>1</v>
      </c>
      <c r="D10466">
        <v>243.6</v>
      </c>
      <c r="E10466">
        <v>0</v>
      </c>
      <c r="F10466" t="s">
        <v>7</v>
      </c>
      <c r="G10466" t="s">
        <v>11</v>
      </c>
      <c r="H10466" s="5">
        <f>MONTH(Tabela1[[#This Row],[data]])</f>
        <v>3</v>
      </c>
      <c r="I10466">
        <f>YEAR(Tabela1[[#This Row],[data]])</f>
        <v>2026</v>
      </c>
    </row>
    <row r="10467" spans="1:9" x14ac:dyDescent="0.25">
      <c r="A10467" t="s">
        <v>6</v>
      </c>
      <c r="B10467" s="1">
        <v>46094</v>
      </c>
      <c r="C10467">
        <v>2</v>
      </c>
      <c r="D10467">
        <v>237.3</v>
      </c>
      <c r="E10467">
        <v>0</v>
      </c>
      <c r="F10467" t="s">
        <v>7</v>
      </c>
      <c r="G10467" t="s">
        <v>11</v>
      </c>
      <c r="H10467" s="5">
        <f>MONTH(Tabela1[[#This Row],[data]])</f>
        <v>3</v>
      </c>
      <c r="I10467">
        <f>YEAR(Tabela1[[#This Row],[data]])</f>
        <v>2026</v>
      </c>
    </row>
    <row r="10468" spans="1:9" x14ac:dyDescent="0.25">
      <c r="A10468" t="s">
        <v>6</v>
      </c>
      <c r="B10468" s="1">
        <v>46094</v>
      </c>
      <c r="C10468">
        <v>3</v>
      </c>
      <c r="D10468">
        <v>237.3</v>
      </c>
      <c r="E10468">
        <v>0</v>
      </c>
      <c r="F10468" t="s">
        <v>7</v>
      </c>
      <c r="G10468" t="s">
        <v>11</v>
      </c>
      <c r="H10468" s="5">
        <f>MONTH(Tabela1[[#This Row],[data]])</f>
        <v>3</v>
      </c>
      <c r="I10468">
        <f>YEAR(Tabela1[[#This Row],[data]])</f>
        <v>2026</v>
      </c>
    </row>
    <row r="10469" spans="1:9" x14ac:dyDescent="0.25">
      <c r="A10469" t="s">
        <v>6</v>
      </c>
      <c r="B10469" s="1">
        <v>46094</v>
      </c>
      <c r="C10469">
        <v>4</v>
      </c>
      <c r="D10469">
        <v>235.62</v>
      </c>
      <c r="E10469">
        <v>0</v>
      </c>
      <c r="F10469" t="s">
        <v>7</v>
      </c>
      <c r="G10469" t="s">
        <v>11</v>
      </c>
      <c r="H10469" s="5">
        <f>MONTH(Tabela1[[#This Row],[data]])</f>
        <v>3</v>
      </c>
      <c r="I10469">
        <f>YEAR(Tabela1[[#This Row],[data]])</f>
        <v>2026</v>
      </c>
    </row>
    <row r="10470" spans="1:9" x14ac:dyDescent="0.25">
      <c r="A10470" t="s">
        <v>6</v>
      </c>
      <c r="B10470" s="1">
        <v>46094</v>
      </c>
      <c r="C10470">
        <v>5</v>
      </c>
      <c r="D10470">
        <v>236.46</v>
      </c>
      <c r="E10470">
        <v>0</v>
      </c>
      <c r="F10470" t="s">
        <v>7</v>
      </c>
      <c r="G10470" t="s">
        <v>11</v>
      </c>
      <c r="H10470" s="5">
        <f>MONTH(Tabela1[[#This Row],[data]])</f>
        <v>3</v>
      </c>
      <c r="I10470">
        <f>YEAR(Tabela1[[#This Row],[data]])</f>
        <v>2026</v>
      </c>
    </row>
    <row r="10471" spans="1:9" x14ac:dyDescent="0.25">
      <c r="A10471" t="s">
        <v>6</v>
      </c>
      <c r="B10471" s="1">
        <v>46094</v>
      </c>
      <c r="C10471">
        <v>6</v>
      </c>
      <c r="D10471">
        <v>231.42</v>
      </c>
      <c r="E10471">
        <v>0</v>
      </c>
      <c r="F10471" t="s">
        <v>7</v>
      </c>
      <c r="G10471" t="s">
        <v>11</v>
      </c>
      <c r="H10471" s="5">
        <f>MONTH(Tabela1[[#This Row],[data]])</f>
        <v>3</v>
      </c>
      <c r="I10471">
        <f>YEAR(Tabela1[[#This Row],[data]])</f>
        <v>2026</v>
      </c>
    </row>
    <row r="10472" spans="1:9" x14ac:dyDescent="0.25">
      <c r="A10472" t="s">
        <v>6</v>
      </c>
      <c r="B10472" s="1">
        <v>46094</v>
      </c>
      <c r="C10472">
        <v>7</v>
      </c>
      <c r="D10472">
        <v>226.8</v>
      </c>
      <c r="E10472">
        <v>0</v>
      </c>
      <c r="F10472" t="s">
        <v>7</v>
      </c>
      <c r="G10472" t="s">
        <v>11</v>
      </c>
      <c r="H10472" s="5">
        <f>MONTH(Tabela1[[#This Row],[data]])</f>
        <v>3</v>
      </c>
      <c r="I10472">
        <f>YEAR(Tabela1[[#This Row],[data]])</f>
        <v>2026</v>
      </c>
    </row>
    <row r="10473" spans="1:9" x14ac:dyDescent="0.25">
      <c r="A10473" t="s">
        <v>6</v>
      </c>
      <c r="B10473" s="1">
        <v>46094</v>
      </c>
      <c r="C10473">
        <v>8</v>
      </c>
      <c r="D10473">
        <v>231</v>
      </c>
      <c r="E10473">
        <v>0</v>
      </c>
      <c r="F10473" t="s">
        <v>7</v>
      </c>
      <c r="G10473" t="s">
        <v>11</v>
      </c>
      <c r="H10473" s="5">
        <f>MONTH(Tabela1[[#This Row],[data]])</f>
        <v>3</v>
      </c>
      <c r="I10473">
        <f>YEAR(Tabela1[[#This Row],[data]])</f>
        <v>2026</v>
      </c>
    </row>
    <row r="10474" spans="1:9" x14ac:dyDescent="0.25">
      <c r="A10474" t="s">
        <v>6</v>
      </c>
      <c r="B10474" s="1">
        <v>46094</v>
      </c>
      <c r="C10474">
        <v>9</v>
      </c>
      <c r="D10474">
        <v>360.36</v>
      </c>
      <c r="E10474">
        <v>1.68</v>
      </c>
      <c r="F10474" t="s">
        <v>7</v>
      </c>
      <c r="G10474" t="s">
        <v>11</v>
      </c>
      <c r="H10474" s="5">
        <f>MONTH(Tabela1[[#This Row],[data]])</f>
        <v>3</v>
      </c>
      <c r="I10474">
        <f>YEAR(Tabela1[[#This Row],[data]])</f>
        <v>2026</v>
      </c>
    </row>
    <row r="10475" spans="1:9" x14ac:dyDescent="0.25">
      <c r="A10475" t="s">
        <v>6</v>
      </c>
      <c r="B10475" s="1">
        <v>46094</v>
      </c>
      <c r="C10475">
        <v>10</v>
      </c>
      <c r="D10475">
        <v>458.64</v>
      </c>
      <c r="E10475">
        <v>20.58</v>
      </c>
      <c r="F10475" t="s">
        <v>7</v>
      </c>
      <c r="G10475" t="s">
        <v>11</v>
      </c>
      <c r="H10475" s="5">
        <f>MONTH(Tabela1[[#This Row],[data]])</f>
        <v>3</v>
      </c>
      <c r="I10475">
        <f>YEAR(Tabela1[[#This Row],[data]])</f>
        <v>2026</v>
      </c>
    </row>
    <row r="10476" spans="1:9" x14ac:dyDescent="0.25">
      <c r="A10476" t="s">
        <v>6</v>
      </c>
      <c r="B10476" s="1">
        <v>46094</v>
      </c>
      <c r="C10476">
        <v>11</v>
      </c>
      <c r="D10476">
        <v>682.08</v>
      </c>
      <c r="E10476">
        <v>140.69999999999999</v>
      </c>
      <c r="F10476" t="s">
        <v>7</v>
      </c>
      <c r="G10476" t="s">
        <v>11</v>
      </c>
      <c r="H10476" s="5">
        <f>MONTH(Tabela1[[#This Row],[data]])</f>
        <v>3</v>
      </c>
      <c r="I10476">
        <f>YEAR(Tabela1[[#This Row],[data]])</f>
        <v>2026</v>
      </c>
    </row>
    <row r="10477" spans="1:9" x14ac:dyDescent="0.25">
      <c r="A10477" t="s">
        <v>6</v>
      </c>
      <c r="B10477" s="1">
        <v>46094</v>
      </c>
      <c r="C10477">
        <v>12</v>
      </c>
      <c r="D10477">
        <v>950.88</v>
      </c>
      <c r="E10477">
        <v>256.62</v>
      </c>
      <c r="F10477" t="s">
        <v>7</v>
      </c>
      <c r="G10477" t="s">
        <v>11</v>
      </c>
      <c r="H10477" s="5">
        <f>MONTH(Tabela1[[#This Row],[data]])</f>
        <v>3</v>
      </c>
      <c r="I10477">
        <f>YEAR(Tabela1[[#This Row],[data]])</f>
        <v>2026</v>
      </c>
    </row>
    <row r="10478" spans="1:9" x14ac:dyDescent="0.25">
      <c r="A10478" t="s">
        <v>6</v>
      </c>
      <c r="B10478" s="1">
        <v>46094</v>
      </c>
      <c r="C10478">
        <v>13</v>
      </c>
      <c r="D10478">
        <v>901.32</v>
      </c>
      <c r="E10478">
        <v>233.94</v>
      </c>
      <c r="F10478" t="s">
        <v>7</v>
      </c>
      <c r="G10478" t="s">
        <v>11</v>
      </c>
      <c r="H10478" s="5">
        <f>MONTH(Tabela1[[#This Row],[data]])</f>
        <v>3</v>
      </c>
      <c r="I10478">
        <f>YEAR(Tabela1[[#This Row],[data]])</f>
        <v>2026</v>
      </c>
    </row>
    <row r="10479" spans="1:9" x14ac:dyDescent="0.25">
      <c r="A10479" t="s">
        <v>6</v>
      </c>
      <c r="B10479" s="1">
        <v>46094</v>
      </c>
      <c r="C10479">
        <v>14</v>
      </c>
      <c r="D10479">
        <v>875.7</v>
      </c>
      <c r="E10479">
        <v>207.06</v>
      </c>
      <c r="F10479" t="s">
        <v>7</v>
      </c>
      <c r="G10479" t="s">
        <v>11</v>
      </c>
      <c r="H10479" s="5">
        <f>MONTH(Tabela1[[#This Row],[data]])</f>
        <v>3</v>
      </c>
      <c r="I10479">
        <f>YEAR(Tabela1[[#This Row],[data]])</f>
        <v>2026</v>
      </c>
    </row>
    <row r="10480" spans="1:9" x14ac:dyDescent="0.25">
      <c r="A10480" t="s">
        <v>6</v>
      </c>
      <c r="B10480" s="1">
        <v>46094</v>
      </c>
      <c r="C10480">
        <v>15</v>
      </c>
      <c r="D10480">
        <v>891.24</v>
      </c>
      <c r="E10480">
        <v>238.98</v>
      </c>
      <c r="F10480" t="s">
        <v>7</v>
      </c>
      <c r="G10480" t="s">
        <v>11</v>
      </c>
      <c r="H10480" s="5">
        <f>MONTH(Tabela1[[#This Row],[data]])</f>
        <v>3</v>
      </c>
      <c r="I10480">
        <f>YEAR(Tabela1[[#This Row],[data]])</f>
        <v>2026</v>
      </c>
    </row>
    <row r="10481" spans="1:9" x14ac:dyDescent="0.25">
      <c r="A10481" t="s">
        <v>6</v>
      </c>
      <c r="B10481" s="1">
        <v>46094</v>
      </c>
      <c r="C10481">
        <v>16</v>
      </c>
      <c r="D10481">
        <v>883.26</v>
      </c>
      <c r="E10481">
        <v>235.2</v>
      </c>
      <c r="F10481" t="s">
        <v>7</v>
      </c>
      <c r="G10481" t="s">
        <v>11</v>
      </c>
      <c r="H10481" s="5">
        <f>MONTH(Tabela1[[#This Row],[data]])</f>
        <v>3</v>
      </c>
      <c r="I10481">
        <f>YEAR(Tabela1[[#This Row],[data]])</f>
        <v>2026</v>
      </c>
    </row>
    <row r="10482" spans="1:9" x14ac:dyDescent="0.25">
      <c r="A10482" t="s">
        <v>6</v>
      </c>
      <c r="B10482" s="1">
        <v>46094</v>
      </c>
      <c r="C10482">
        <v>17</v>
      </c>
      <c r="D10482">
        <v>845.04</v>
      </c>
      <c r="E10482">
        <v>201.6</v>
      </c>
      <c r="F10482" t="s">
        <v>7</v>
      </c>
      <c r="G10482" t="s">
        <v>11</v>
      </c>
      <c r="H10482" s="5">
        <f>MONTH(Tabela1[[#This Row],[data]])</f>
        <v>3</v>
      </c>
      <c r="I10482">
        <f>YEAR(Tabela1[[#This Row],[data]])</f>
        <v>2026</v>
      </c>
    </row>
    <row r="10483" spans="1:9" x14ac:dyDescent="0.25">
      <c r="A10483" t="s">
        <v>6</v>
      </c>
      <c r="B10483" s="1">
        <v>46094</v>
      </c>
      <c r="C10483">
        <v>18</v>
      </c>
      <c r="D10483">
        <v>844.62</v>
      </c>
      <c r="E10483">
        <v>175.14</v>
      </c>
      <c r="F10483" t="s">
        <v>7</v>
      </c>
      <c r="G10483" t="s">
        <v>11</v>
      </c>
      <c r="H10483" s="5">
        <f>MONTH(Tabela1[[#This Row],[data]])</f>
        <v>3</v>
      </c>
      <c r="I10483">
        <f>YEAR(Tabela1[[#This Row],[data]])</f>
        <v>2026</v>
      </c>
    </row>
    <row r="10484" spans="1:9" x14ac:dyDescent="0.25">
      <c r="A10484" t="s">
        <v>6</v>
      </c>
      <c r="B10484" s="1">
        <v>46094</v>
      </c>
      <c r="C10484">
        <v>19</v>
      </c>
      <c r="D10484">
        <v>808.5</v>
      </c>
      <c r="E10484">
        <v>155.4</v>
      </c>
      <c r="F10484" t="s">
        <v>7</v>
      </c>
      <c r="G10484" t="s">
        <v>11</v>
      </c>
      <c r="H10484" s="5">
        <f>MONTH(Tabela1[[#This Row],[data]])</f>
        <v>3</v>
      </c>
      <c r="I10484">
        <f>YEAR(Tabela1[[#This Row],[data]])</f>
        <v>2026</v>
      </c>
    </row>
    <row r="10485" spans="1:9" x14ac:dyDescent="0.25">
      <c r="A10485" t="s">
        <v>6</v>
      </c>
      <c r="B10485" s="1">
        <v>46094</v>
      </c>
      <c r="C10485">
        <v>20</v>
      </c>
      <c r="D10485">
        <v>786.66</v>
      </c>
      <c r="E10485">
        <v>168</v>
      </c>
      <c r="F10485" t="s">
        <v>7</v>
      </c>
      <c r="G10485" t="s">
        <v>11</v>
      </c>
      <c r="H10485" s="5">
        <f>MONTH(Tabela1[[#This Row],[data]])</f>
        <v>3</v>
      </c>
      <c r="I10485">
        <f>YEAR(Tabela1[[#This Row],[data]])</f>
        <v>2026</v>
      </c>
    </row>
    <row r="10486" spans="1:9" x14ac:dyDescent="0.25">
      <c r="A10486" t="s">
        <v>6</v>
      </c>
      <c r="B10486" s="1">
        <v>46094</v>
      </c>
      <c r="C10486">
        <v>21</v>
      </c>
      <c r="D10486">
        <v>789.6</v>
      </c>
      <c r="E10486">
        <v>165.06</v>
      </c>
      <c r="F10486" t="s">
        <v>7</v>
      </c>
      <c r="G10486" t="s">
        <v>11</v>
      </c>
      <c r="H10486" s="5">
        <f>MONTH(Tabela1[[#This Row],[data]])</f>
        <v>3</v>
      </c>
      <c r="I10486">
        <f>YEAR(Tabela1[[#This Row],[data]])</f>
        <v>2026</v>
      </c>
    </row>
    <row r="10487" spans="1:9" x14ac:dyDescent="0.25">
      <c r="A10487" t="s">
        <v>6</v>
      </c>
      <c r="B10487" s="1">
        <v>46094</v>
      </c>
      <c r="C10487">
        <v>22</v>
      </c>
      <c r="D10487">
        <v>742.56</v>
      </c>
      <c r="E10487">
        <v>151.62</v>
      </c>
      <c r="F10487" t="s">
        <v>7</v>
      </c>
      <c r="G10487" t="s">
        <v>11</v>
      </c>
      <c r="H10487" s="5">
        <f>MONTH(Tabela1[[#This Row],[data]])</f>
        <v>3</v>
      </c>
      <c r="I10487">
        <f>YEAR(Tabela1[[#This Row],[data]])</f>
        <v>2026</v>
      </c>
    </row>
    <row r="10488" spans="1:9" x14ac:dyDescent="0.25">
      <c r="A10488" t="s">
        <v>6</v>
      </c>
      <c r="B10488" s="1">
        <v>46094</v>
      </c>
      <c r="C10488">
        <v>23</v>
      </c>
      <c r="D10488">
        <v>386.4</v>
      </c>
      <c r="E10488">
        <v>2.52</v>
      </c>
      <c r="F10488" t="s">
        <v>7</v>
      </c>
      <c r="G10488" t="s">
        <v>11</v>
      </c>
      <c r="H10488" s="5">
        <f>MONTH(Tabela1[[#This Row],[data]])</f>
        <v>3</v>
      </c>
      <c r="I10488">
        <f>YEAR(Tabela1[[#This Row],[data]])</f>
        <v>2026</v>
      </c>
    </row>
    <row r="10489" spans="1:9" x14ac:dyDescent="0.25">
      <c r="A10489" t="s">
        <v>6</v>
      </c>
      <c r="B10489" s="1">
        <v>46094</v>
      </c>
      <c r="C10489">
        <v>24</v>
      </c>
      <c r="D10489">
        <v>252</v>
      </c>
      <c r="E10489">
        <v>0</v>
      </c>
      <c r="F10489" t="s">
        <v>7</v>
      </c>
      <c r="G10489" t="s">
        <v>11</v>
      </c>
      <c r="H10489" s="5">
        <f>MONTH(Tabela1[[#This Row],[data]])</f>
        <v>3</v>
      </c>
      <c r="I10489">
        <f>YEAR(Tabela1[[#This Row],[data]])</f>
        <v>2026</v>
      </c>
    </row>
    <row r="10490" spans="1:9" x14ac:dyDescent="0.25">
      <c r="A10490" t="s">
        <v>6</v>
      </c>
      <c r="B10490" s="1">
        <v>46095</v>
      </c>
      <c r="C10490">
        <v>1</v>
      </c>
      <c r="D10490">
        <v>229.32</v>
      </c>
      <c r="E10490">
        <v>0</v>
      </c>
      <c r="F10490" t="s">
        <v>7</v>
      </c>
      <c r="G10490" t="s">
        <v>11</v>
      </c>
      <c r="H10490" s="5">
        <f>MONTH(Tabela1[[#This Row],[data]])</f>
        <v>3</v>
      </c>
      <c r="I10490">
        <f>YEAR(Tabela1[[#This Row],[data]])</f>
        <v>2026</v>
      </c>
    </row>
    <row r="10491" spans="1:9" x14ac:dyDescent="0.25">
      <c r="A10491" t="s">
        <v>6</v>
      </c>
      <c r="B10491" s="1">
        <v>46095</v>
      </c>
      <c r="C10491">
        <v>2</v>
      </c>
      <c r="D10491">
        <v>221.76</v>
      </c>
      <c r="E10491">
        <v>0</v>
      </c>
      <c r="F10491" t="s">
        <v>7</v>
      </c>
      <c r="G10491" t="s">
        <v>11</v>
      </c>
      <c r="H10491" s="5">
        <f>MONTH(Tabela1[[#This Row],[data]])</f>
        <v>3</v>
      </c>
      <c r="I10491">
        <f>YEAR(Tabela1[[#This Row],[data]])</f>
        <v>2026</v>
      </c>
    </row>
    <row r="10492" spans="1:9" x14ac:dyDescent="0.25">
      <c r="A10492" t="s">
        <v>6</v>
      </c>
      <c r="B10492" s="1">
        <v>46095</v>
      </c>
      <c r="C10492">
        <v>3</v>
      </c>
      <c r="D10492">
        <v>217.14</v>
      </c>
      <c r="E10492">
        <v>0</v>
      </c>
      <c r="F10492" t="s">
        <v>7</v>
      </c>
      <c r="G10492" t="s">
        <v>11</v>
      </c>
      <c r="H10492" s="5">
        <f>MONTH(Tabela1[[#This Row],[data]])</f>
        <v>3</v>
      </c>
      <c r="I10492">
        <f>YEAR(Tabela1[[#This Row],[data]])</f>
        <v>2026</v>
      </c>
    </row>
    <row r="10493" spans="1:9" x14ac:dyDescent="0.25">
      <c r="A10493" t="s">
        <v>6</v>
      </c>
      <c r="B10493" s="1">
        <v>46095</v>
      </c>
      <c r="C10493">
        <v>4</v>
      </c>
      <c r="D10493">
        <v>215.88</v>
      </c>
      <c r="E10493">
        <v>0</v>
      </c>
      <c r="F10493" t="s">
        <v>7</v>
      </c>
      <c r="G10493" t="s">
        <v>11</v>
      </c>
      <c r="H10493" s="5">
        <f>MONTH(Tabela1[[#This Row],[data]])</f>
        <v>3</v>
      </c>
      <c r="I10493">
        <f>YEAR(Tabela1[[#This Row],[data]])</f>
        <v>2026</v>
      </c>
    </row>
    <row r="10494" spans="1:9" x14ac:dyDescent="0.25">
      <c r="A10494" t="s">
        <v>6</v>
      </c>
      <c r="B10494" s="1">
        <v>46095</v>
      </c>
      <c r="C10494">
        <v>5</v>
      </c>
      <c r="D10494">
        <v>219.24</v>
      </c>
      <c r="E10494">
        <v>0</v>
      </c>
      <c r="F10494" t="s">
        <v>7</v>
      </c>
      <c r="G10494" t="s">
        <v>11</v>
      </c>
      <c r="H10494" s="5">
        <f>MONTH(Tabela1[[#This Row],[data]])</f>
        <v>3</v>
      </c>
      <c r="I10494">
        <f>YEAR(Tabela1[[#This Row],[data]])</f>
        <v>2026</v>
      </c>
    </row>
    <row r="10495" spans="1:9" x14ac:dyDescent="0.25">
      <c r="A10495" t="s">
        <v>6</v>
      </c>
      <c r="B10495" s="1">
        <v>46095</v>
      </c>
      <c r="C10495">
        <v>6</v>
      </c>
      <c r="D10495">
        <v>216.72</v>
      </c>
      <c r="E10495">
        <v>0</v>
      </c>
      <c r="F10495" t="s">
        <v>7</v>
      </c>
      <c r="G10495" t="s">
        <v>11</v>
      </c>
      <c r="H10495" s="5">
        <f>MONTH(Tabela1[[#This Row],[data]])</f>
        <v>3</v>
      </c>
      <c r="I10495">
        <f>YEAR(Tabela1[[#This Row],[data]])</f>
        <v>2026</v>
      </c>
    </row>
    <row r="10496" spans="1:9" x14ac:dyDescent="0.25">
      <c r="A10496" t="s">
        <v>6</v>
      </c>
      <c r="B10496" s="1">
        <v>46095</v>
      </c>
      <c r="C10496">
        <v>7</v>
      </c>
      <c r="D10496">
        <v>205.38</v>
      </c>
      <c r="E10496">
        <v>0</v>
      </c>
      <c r="F10496" t="s">
        <v>7</v>
      </c>
      <c r="G10496" t="s">
        <v>11</v>
      </c>
      <c r="H10496" s="5">
        <f>MONTH(Tabela1[[#This Row],[data]])</f>
        <v>3</v>
      </c>
      <c r="I10496">
        <f>YEAR(Tabela1[[#This Row],[data]])</f>
        <v>2026</v>
      </c>
    </row>
    <row r="10497" spans="1:9" x14ac:dyDescent="0.25">
      <c r="A10497" t="s">
        <v>6</v>
      </c>
      <c r="B10497" s="1">
        <v>46095</v>
      </c>
      <c r="C10497">
        <v>8</v>
      </c>
      <c r="D10497">
        <v>223.44</v>
      </c>
      <c r="E10497">
        <v>0</v>
      </c>
      <c r="F10497" t="s">
        <v>7</v>
      </c>
      <c r="G10497" t="s">
        <v>11</v>
      </c>
      <c r="H10497" s="5">
        <f>MONTH(Tabela1[[#This Row],[data]])</f>
        <v>3</v>
      </c>
      <c r="I10497">
        <f>YEAR(Tabela1[[#This Row],[data]])</f>
        <v>2026</v>
      </c>
    </row>
    <row r="10498" spans="1:9" x14ac:dyDescent="0.25">
      <c r="A10498" t="s">
        <v>6</v>
      </c>
      <c r="B10498" s="1">
        <v>46095</v>
      </c>
      <c r="C10498">
        <v>9</v>
      </c>
      <c r="D10498">
        <v>324.24</v>
      </c>
      <c r="E10498">
        <v>0</v>
      </c>
      <c r="F10498" t="s">
        <v>7</v>
      </c>
      <c r="G10498" t="s">
        <v>11</v>
      </c>
      <c r="H10498" s="5">
        <f>MONTH(Tabela1[[#This Row],[data]])</f>
        <v>3</v>
      </c>
      <c r="I10498">
        <f>YEAR(Tabela1[[#This Row],[data]])</f>
        <v>2026</v>
      </c>
    </row>
    <row r="10499" spans="1:9" x14ac:dyDescent="0.25">
      <c r="A10499" t="s">
        <v>6</v>
      </c>
      <c r="B10499" s="1">
        <v>46095</v>
      </c>
      <c r="C10499">
        <v>10</v>
      </c>
      <c r="D10499">
        <v>477.96</v>
      </c>
      <c r="E10499">
        <v>49.56</v>
      </c>
      <c r="F10499" t="s">
        <v>7</v>
      </c>
      <c r="G10499" t="s">
        <v>11</v>
      </c>
      <c r="H10499" s="5">
        <f>MONTH(Tabela1[[#This Row],[data]])</f>
        <v>3</v>
      </c>
      <c r="I10499">
        <f>YEAR(Tabela1[[#This Row],[data]])</f>
        <v>2026</v>
      </c>
    </row>
    <row r="10500" spans="1:9" x14ac:dyDescent="0.25">
      <c r="A10500" t="s">
        <v>6</v>
      </c>
      <c r="B10500" s="1">
        <v>46095</v>
      </c>
      <c r="C10500">
        <v>11</v>
      </c>
      <c r="D10500">
        <v>832.86</v>
      </c>
      <c r="E10500">
        <v>175.56</v>
      </c>
      <c r="F10500" t="s">
        <v>7</v>
      </c>
      <c r="G10500" t="s">
        <v>11</v>
      </c>
      <c r="H10500" s="5">
        <f>MONTH(Tabela1[[#This Row],[data]])</f>
        <v>3</v>
      </c>
      <c r="I10500">
        <f>YEAR(Tabela1[[#This Row],[data]])</f>
        <v>2026</v>
      </c>
    </row>
    <row r="10501" spans="1:9" x14ac:dyDescent="0.25">
      <c r="A10501" t="s">
        <v>6</v>
      </c>
      <c r="B10501" s="1">
        <v>46095</v>
      </c>
      <c r="C10501">
        <v>12</v>
      </c>
      <c r="D10501">
        <v>872.76</v>
      </c>
      <c r="E10501">
        <v>202.44</v>
      </c>
      <c r="F10501" t="s">
        <v>7</v>
      </c>
      <c r="G10501" t="s">
        <v>11</v>
      </c>
      <c r="H10501" s="5">
        <f>MONTH(Tabela1[[#This Row],[data]])</f>
        <v>3</v>
      </c>
      <c r="I10501">
        <f>YEAR(Tabela1[[#This Row],[data]])</f>
        <v>2026</v>
      </c>
    </row>
    <row r="10502" spans="1:9" x14ac:dyDescent="0.25">
      <c r="A10502" t="s">
        <v>6</v>
      </c>
      <c r="B10502" s="1">
        <v>46095</v>
      </c>
      <c r="C10502">
        <v>13</v>
      </c>
      <c r="D10502">
        <v>878.22</v>
      </c>
      <c r="E10502">
        <v>221.76</v>
      </c>
      <c r="F10502" t="s">
        <v>7</v>
      </c>
      <c r="G10502" t="s">
        <v>11</v>
      </c>
      <c r="H10502" s="5">
        <f>MONTH(Tabela1[[#This Row],[data]])</f>
        <v>3</v>
      </c>
      <c r="I10502">
        <f>YEAR(Tabela1[[#This Row],[data]])</f>
        <v>2026</v>
      </c>
    </row>
    <row r="10503" spans="1:9" x14ac:dyDescent="0.25">
      <c r="A10503" t="s">
        <v>6</v>
      </c>
      <c r="B10503" s="1">
        <v>46095</v>
      </c>
      <c r="C10503">
        <v>14</v>
      </c>
      <c r="D10503">
        <v>872.34</v>
      </c>
      <c r="E10503">
        <v>212.52</v>
      </c>
      <c r="F10503" t="s">
        <v>7</v>
      </c>
      <c r="G10503" t="s">
        <v>11</v>
      </c>
      <c r="H10503" s="5">
        <f>MONTH(Tabela1[[#This Row],[data]])</f>
        <v>3</v>
      </c>
      <c r="I10503">
        <f>YEAR(Tabela1[[#This Row],[data]])</f>
        <v>2026</v>
      </c>
    </row>
    <row r="10504" spans="1:9" x14ac:dyDescent="0.25">
      <c r="A10504" t="s">
        <v>6</v>
      </c>
      <c r="B10504" s="1">
        <v>46095</v>
      </c>
      <c r="C10504">
        <v>15</v>
      </c>
      <c r="D10504">
        <v>892.92</v>
      </c>
      <c r="E10504">
        <v>209.58</v>
      </c>
      <c r="F10504" t="s">
        <v>7</v>
      </c>
      <c r="G10504" t="s">
        <v>11</v>
      </c>
      <c r="H10504" s="5">
        <f>MONTH(Tabela1[[#This Row],[data]])</f>
        <v>3</v>
      </c>
      <c r="I10504">
        <f>YEAR(Tabela1[[#This Row],[data]])</f>
        <v>2026</v>
      </c>
    </row>
    <row r="10505" spans="1:9" x14ac:dyDescent="0.25">
      <c r="A10505" t="s">
        <v>6</v>
      </c>
      <c r="B10505" s="1">
        <v>46095</v>
      </c>
      <c r="C10505">
        <v>16</v>
      </c>
      <c r="D10505">
        <v>891.24</v>
      </c>
      <c r="E10505">
        <v>216.3</v>
      </c>
      <c r="F10505" t="s">
        <v>7</v>
      </c>
      <c r="G10505" t="s">
        <v>11</v>
      </c>
      <c r="H10505" s="5">
        <f>MONTH(Tabela1[[#This Row],[data]])</f>
        <v>3</v>
      </c>
      <c r="I10505">
        <f>YEAR(Tabela1[[#This Row],[data]])</f>
        <v>2026</v>
      </c>
    </row>
    <row r="10506" spans="1:9" x14ac:dyDescent="0.25">
      <c r="A10506" t="s">
        <v>6</v>
      </c>
      <c r="B10506" s="1">
        <v>46095</v>
      </c>
      <c r="C10506">
        <v>17</v>
      </c>
      <c r="D10506">
        <v>882.42</v>
      </c>
      <c r="E10506">
        <v>230.16</v>
      </c>
      <c r="F10506" t="s">
        <v>7</v>
      </c>
      <c r="G10506" t="s">
        <v>11</v>
      </c>
      <c r="H10506" s="5">
        <f>MONTH(Tabela1[[#This Row],[data]])</f>
        <v>3</v>
      </c>
      <c r="I10506">
        <f>YEAR(Tabela1[[#This Row],[data]])</f>
        <v>2026</v>
      </c>
    </row>
    <row r="10507" spans="1:9" x14ac:dyDescent="0.25">
      <c r="A10507" t="s">
        <v>6</v>
      </c>
      <c r="B10507" s="1">
        <v>46095</v>
      </c>
      <c r="C10507">
        <v>18</v>
      </c>
      <c r="D10507">
        <v>876.54</v>
      </c>
      <c r="E10507">
        <v>233.1</v>
      </c>
      <c r="F10507" t="s">
        <v>7</v>
      </c>
      <c r="G10507" t="s">
        <v>11</v>
      </c>
      <c r="H10507" s="5">
        <f>MONTH(Tabela1[[#This Row],[data]])</f>
        <v>3</v>
      </c>
      <c r="I10507">
        <f>YEAR(Tabela1[[#This Row],[data]])</f>
        <v>2026</v>
      </c>
    </row>
    <row r="10508" spans="1:9" x14ac:dyDescent="0.25">
      <c r="A10508" t="s">
        <v>6</v>
      </c>
      <c r="B10508" s="1">
        <v>46095</v>
      </c>
      <c r="C10508">
        <v>19</v>
      </c>
      <c r="D10508">
        <v>880.74</v>
      </c>
      <c r="E10508">
        <v>206.22</v>
      </c>
      <c r="F10508" t="s">
        <v>7</v>
      </c>
      <c r="G10508" t="s">
        <v>11</v>
      </c>
      <c r="H10508" s="5">
        <f>MONTH(Tabela1[[#This Row],[data]])</f>
        <v>3</v>
      </c>
      <c r="I10508">
        <f>YEAR(Tabela1[[#This Row],[data]])</f>
        <v>2026</v>
      </c>
    </row>
    <row r="10509" spans="1:9" x14ac:dyDescent="0.25">
      <c r="A10509" t="s">
        <v>6</v>
      </c>
      <c r="B10509" s="1">
        <v>46095</v>
      </c>
      <c r="C10509">
        <v>20</v>
      </c>
      <c r="D10509">
        <v>830.34</v>
      </c>
      <c r="E10509">
        <v>178.08</v>
      </c>
      <c r="F10509" t="s">
        <v>7</v>
      </c>
      <c r="G10509" t="s">
        <v>11</v>
      </c>
      <c r="H10509" s="5">
        <f>MONTH(Tabela1[[#This Row],[data]])</f>
        <v>3</v>
      </c>
      <c r="I10509">
        <f>YEAR(Tabela1[[#This Row],[data]])</f>
        <v>2026</v>
      </c>
    </row>
    <row r="10510" spans="1:9" x14ac:dyDescent="0.25">
      <c r="A10510" t="s">
        <v>6</v>
      </c>
      <c r="B10510" s="1">
        <v>46095</v>
      </c>
      <c r="C10510">
        <v>21</v>
      </c>
      <c r="D10510">
        <v>661.5</v>
      </c>
      <c r="E10510">
        <v>100.8</v>
      </c>
      <c r="F10510" t="s">
        <v>7</v>
      </c>
      <c r="G10510" t="s">
        <v>11</v>
      </c>
      <c r="H10510" s="5">
        <f>MONTH(Tabela1[[#This Row],[data]])</f>
        <v>3</v>
      </c>
      <c r="I10510">
        <f>YEAR(Tabela1[[#This Row],[data]])</f>
        <v>2026</v>
      </c>
    </row>
    <row r="10511" spans="1:9" x14ac:dyDescent="0.25">
      <c r="A10511" t="s">
        <v>6</v>
      </c>
      <c r="B10511" s="1">
        <v>46095</v>
      </c>
      <c r="C10511">
        <v>22</v>
      </c>
      <c r="D10511">
        <v>661.5</v>
      </c>
      <c r="E10511">
        <v>84</v>
      </c>
      <c r="F10511" t="s">
        <v>7</v>
      </c>
      <c r="G10511" t="s">
        <v>11</v>
      </c>
      <c r="H10511" s="5">
        <f>MONTH(Tabela1[[#This Row],[data]])</f>
        <v>3</v>
      </c>
      <c r="I10511">
        <f>YEAR(Tabela1[[#This Row],[data]])</f>
        <v>2026</v>
      </c>
    </row>
    <row r="10512" spans="1:9" x14ac:dyDescent="0.25">
      <c r="A10512" t="s">
        <v>6</v>
      </c>
      <c r="B10512" s="1">
        <v>46095</v>
      </c>
      <c r="C10512">
        <v>23</v>
      </c>
      <c r="D10512">
        <v>445.62</v>
      </c>
      <c r="E10512">
        <v>8.4</v>
      </c>
      <c r="F10512" t="s">
        <v>7</v>
      </c>
      <c r="G10512" t="s">
        <v>11</v>
      </c>
      <c r="H10512" s="5">
        <f>MONTH(Tabela1[[#This Row],[data]])</f>
        <v>3</v>
      </c>
      <c r="I10512">
        <f>YEAR(Tabela1[[#This Row],[data]])</f>
        <v>2026</v>
      </c>
    </row>
    <row r="10513" spans="1:9" x14ac:dyDescent="0.25">
      <c r="A10513" t="s">
        <v>6</v>
      </c>
      <c r="B10513" s="1">
        <v>46095</v>
      </c>
      <c r="C10513">
        <v>24</v>
      </c>
      <c r="D10513">
        <v>288.12</v>
      </c>
      <c r="E10513">
        <v>0</v>
      </c>
      <c r="F10513" t="s">
        <v>7</v>
      </c>
      <c r="G10513" t="s">
        <v>11</v>
      </c>
      <c r="H10513" s="5">
        <f>MONTH(Tabela1[[#This Row],[data]])</f>
        <v>3</v>
      </c>
      <c r="I10513">
        <f>YEAR(Tabela1[[#This Row],[data]])</f>
        <v>2026</v>
      </c>
    </row>
    <row r="10514" spans="1:9" x14ac:dyDescent="0.25">
      <c r="A10514" t="s">
        <v>6</v>
      </c>
      <c r="B10514" s="1">
        <v>46096</v>
      </c>
      <c r="C10514">
        <v>1</v>
      </c>
      <c r="D10514">
        <v>259.98</v>
      </c>
      <c r="E10514">
        <v>0</v>
      </c>
      <c r="F10514" t="s">
        <v>7</v>
      </c>
      <c r="G10514" t="s">
        <v>11</v>
      </c>
      <c r="H10514" s="5">
        <f>MONTH(Tabela1[[#This Row],[data]])</f>
        <v>3</v>
      </c>
      <c r="I10514">
        <f>YEAR(Tabela1[[#This Row],[data]])</f>
        <v>2026</v>
      </c>
    </row>
    <row r="10515" spans="1:9" x14ac:dyDescent="0.25">
      <c r="A10515" t="s">
        <v>6</v>
      </c>
      <c r="B10515" s="1">
        <v>46096</v>
      </c>
      <c r="C10515">
        <v>2</v>
      </c>
      <c r="D10515">
        <v>236.88</v>
      </c>
      <c r="E10515">
        <v>0</v>
      </c>
      <c r="F10515" t="s">
        <v>7</v>
      </c>
      <c r="G10515" t="s">
        <v>11</v>
      </c>
      <c r="H10515" s="5">
        <f>MONTH(Tabela1[[#This Row],[data]])</f>
        <v>3</v>
      </c>
      <c r="I10515">
        <f>YEAR(Tabela1[[#This Row],[data]])</f>
        <v>2026</v>
      </c>
    </row>
    <row r="10516" spans="1:9" x14ac:dyDescent="0.25">
      <c r="A10516" t="s">
        <v>6</v>
      </c>
      <c r="B10516" s="1">
        <v>46096</v>
      </c>
      <c r="C10516">
        <v>3</v>
      </c>
      <c r="D10516">
        <v>228.9</v>
      </c>
      <c r="E10516">
        <v>0</v>
      </c>
      <c r="F10516" t="s">
        <v>7</v>
      </c>
      <c r="G10516" t="s">
        <v>11</v>
      </c>
      <c r="H10516" s="5">
        <f>MONTH(Tabela1[[#This Row],[data]])</f>
        <v>3</v>
      </c>
      <c r="I10516">
        <f>YEAR(Tabela1[[#This Row],[data]])</f>
        <v>2026</v>
      </c>
    </row>
    <row r="10517" spans="1:9" x14ac:dyDescent="0.25">
      <c r="A10517" t="s">
        <v>6</v>
      </c>
      <c r="B10517" s="1">
        <v>46096</v>
      </c>
      <c r="C10517">
        <v>4</v>
      </c>
      <c r="D10517">
        <v>228.06</v>
      </c>
      <c r="E10517">
        <v>0</v>
      </c>
      <c r="F10517" t="s">
        <v>7</v>
      </c>
      <c r="G10517" t="s">
        <v>11</v>
      </c>
      <c r="H10517" s="5">
        <f>MONTH(Tabela1[[#This Row],[data]])</f>
        <v>3</v>
      </c>
      <c r="I10517">
        <f>YEAR(Tabela1[[#This Row],[data]])</f>
        <v>2026</v>
      </c>
    </row>
    <row r="10518" spans="1:9" x14ac:dyDescent="0.25">
      <c r="A10518" t="s">
        <v>6</v>
      </c>
      <c r="B10518" s="1">
        <v>46096</v>
      </c>
      <c r="C10518">
        <v>5</v>
      </c>
      <c r="D10518">
        <v>236.46</v>
      </c>
      <c r="E10518">
        <v>0</v>
      </c>
      <c r="F10518" t="s">
        <v>7</v>
      </c>
      <c r="G10518" t="s">
        <v>11</v>
      </c>
      <c r="H10518" s="5">
        <f>MONTH(Tabela1[[#This Row],[data]])</f>
        <v>3</v>
      </c>
      <c r="I10518">
        <f>YEAR(Tabela1[[#This Row],[data]])</f>
        <v>2026</v>
      </c>
    </row>
    <row r="10519" spans="1:9" x14ac:dyDescent="0.25">
      <c r="A10519" t="s">
        <v>6</v>
      </c>
      <c r="B10519" s="1">
        <v>46096</v>
      </c>
      <c r="C10519">
        <v>6</v>
      </c>
      <c r="D10519">
        <v>221.34</v>
      </c>
      <c r="E10519">
        <v>0</v>
      </c>
      <c r="F10519" t="s">
        <v>7</v>
      </c>
      <c r="G10519" t="s">
        <v>11</v>
      </c>
      <c r="H10519" s="5">
        <f>MONTH(Tabela1[[#This Row],[data]])</f>
        <v>3</v>
      </c>
      <c r="I10519">
        <f>YEAR(Tabela1[[#This Row],[data]])</f>
        <v>2026</v>
      </c>
    </row>
    <row r="10520" spans="1:9" x14ac:dyDescent="0.25">
      <c r="A10520" t="s">
        <v>6</v>
      </c>
      <c r="B10520" s="1">
        <v>46096</v>
      </c>
      <c r="C10520">
        <v>7</v>
      </c>
      <c r="D10520">
        <v>207.48</v>
      </c>
      <c r="E10520">
        <v>0</v>
      </c>
      <c r="F10520" t="s">
        <v>7</v>
      </c>
      <c r="G10520" t="s">
        <v>11</v>
      </c>
      <c r="H10520" s="5">
        <f>MONTH(Tabela1[[#This Row],[data]])</f>
        <v>3</v>
      </c>
      <c r="I10520">
        <f>YEAR(Tabela1[[#This Row],[data]])</f>
        <v>2026</v>
      </c>
    </row>
    <row r="10521" spans="1:9" x14ac:dyDescent="0.25">
      <c r="A10521" t="s">
        <v>6</v>
      </c>
      <c r="B10521" s="1">
        <v>46096</v>
      </c>
      <c r="C10521">
        <v>8</v>
      </c>
      <c r="D10521">
        <v>198.66</v>
      </c>
      <c r="E10521">
        <v>0</v>
      </c>
      <c r="F10521" t="s">
        <v>7</v>
      </c>
      <c r="G10521" t="s">
        <v>11</v>
      </c>
      <c r="H10521" s="5">
        <f>MONTH(Tabela1[[#This Row],[data]])</f>
        <v>3</v>
      </c>
      <c r="I10521">
        <f>YEAR(Tabela1[[#This Row],[data]])</f>
        <v>2026</v>
      </c>
    </row>
    <row r="10522" spans="1:9" x14ac:dyDescent="0.25">
      <c r="A10522" t="s">
        <v>6</v>
      </c>
      <c r="B10522" s="1">
        <v>46096</v>
      </c>
      <c r="C10522">
        <v>9</v>
      </c>
      <c r="D10522">
        <v>262.5</v>
      </c>
      <c r="E10522">
        <v>0</v>
      </c>
      <c r="F10522" t="s">
        <v>7</v>
      </c>
      <c r="G10522" t="s">
        <v>11</v>
      </c>
      <c r="H10522" s="5">
        <f>MONTH(Tabela1[[#This Row],[data]])</f>
        <v>3</v>
      </c>
      <c r="I10522">
        <f>YEAR(Tabela1[[#This Row],[data]])</f>
        <v>2026</v>
      </c>
    </row>
    <row r="10523" spans="1:9" x14ac:dyDescent="0.25">
      <c r="A10523" t="s">
        <v>6</v>
      </c>
      <c r="B10523" s="1">
        <v>46096</v>
      </c>
      <c r="C10523">
        <v>10</v>
      </c>
      <c r="D10523">
        <v>310.8</v>
      </c>
      <c r="E10523">
        <v>0.84</v>
      </c>
      <c r="F10523" t="s">
        <v>7</v>
      </c>
      <c r="G10523" t="s">
        <v>11</v>
      </c>
      <c r="H10523" s="5">
        <f>MONTH(Tabela1[[#This Row],[data]])</f>
        <v>3</v>
      </c>
      <c r="I10523">
        <f>YEAR(Tabela1[[#This Row],[data]])</f>
        <v>2026</v>
      </c>
    </row>
    <row r="10524" spans="1:9" x14ac:dyDescent="0.25">
      <c r="A10524" t="s">
        <v>6</v>
      </c>
      <c r="B10524" s="1">
        <v>46096</v>
      </c>
      <c r="C10524">
        <v>11</v>
      </c>
      <c r="D10524">
        <v>629.58000000000004</v>
      </c>
      <c r="E10524">
        <v>123.06</v>
      </c>
      <c r="F10524" t="s">
        <v>7</v>
      </c>
      <c r="G10524" t="s">
        <v>11</v>
      </c>
      <c r="H10524" s="5">
        <f>MONTH(Tabela1[[#This Row],[data]])</f>
        <v>3</v>
      </c>
      <c r="I10524">
        <f>YEAR(Tabela1[[#This Row],[data]])</f>
        <v>2026</v>
      </c>
    </row>
    <row r="10525" spans="1:9" x14ac:dyDescent="0.25">
      <c r="A10525" t="s">
        <v>6</v>
      </c>
      <c r="B10525" s="1">
        <v>46096</v>
      </c>
      <c r="C10525">
        <v>12</v>
      </c>
      <c r="D10525">
        <v>774.06</v>
      </c>
      <c r="E10525">
        <v>176.82</v>
      </c>
      <c r="F10525" t="s">
        <v>7</v>
      </c>
      <c r="G10525" t="s">
        <v>11</v>
      </c>
      <c r="H10525" s="5">
        <f>MONTH(Tabela1[[#This Row],[data]])</f>
        <v>3</v>
      </c>
      <c r="I10525">
        <f>YEAR(Tabela1[[#This Row],[data]])</f>
        <v>2026</v>
      </c>
    </row>
    <row r="10526" spans="1:9" x14ac:dyDescent="0.25">
      <c r="A10526" t="s">
        <v>6</v>
      </c>
      <c r="B10526" s="1">
        <v>46096</v>
      </c>
      <c r="C10526">
        <v>13</v>
      </c>
      <c r="D10526">
        <v>846.3</v>
      </c>
      <c r="E10526">
        <v>188.16</v>
      </c>
      <c r="F10526" t="s">
        <v>7</v>
      </c>
      <c r="G10526" t="s">
        <v>11</v>
      </c>
      <c r="H10526" s="5">
        <f>MONTH(Tabela1[[#This Row],[data]])</f>
        <v>3</v>
      </c>
      <c r="I10526">
        <f>YEAR(Tabela1[[#This Row],[data]])</f>
        <v>2026</v>
      </c>
    </row>
    <row r="10527" spans="1:9" x14ac:dyDescent="0.25">
      <c r="A10527" t="s">
        <v>6</v>
      </c>
      <c r="B10527" s="1">
        <v>46096</v>
      </c>
      <c r="C10527">
        <v>14</v>
      </c>
      <c r="D10527">
        <v>905.1</v>
      </c>
      <c r="E10527">
        <v>211.26</v>
      </c>
      <c r="F10527" t="s">
        <v>7</v>
      </c>
      <c r="G10527" t="s">
        <v>11</v>
      </c>
      <c r="H10527" s="5">
        <f>MONTH(Tabela1[[#This Row],[data]])</f>
        <v>3</v>
      </c>
      <c r="I10527">
        <f>YEAR(Tabela1[[#This Row],[data]])</f>
        <v>2026</v>
      </c>
    </row>
    <row r="10528" spans="1:9" x14ac:dyDescent="0.25">
      <c r="A10528" t="s">
        <v>6</v>
      </c>
      <c r="B10528" s="1">
        <v>46096</v>
      </c>
      <c r="C10528">
        <v>15</v>
      </c>
      <c r="D10528">
        <v>925.26</v>
      </c>
      <c r="E10528">
        <v>213.36</v>
      </c>
      <c r="F10528" t="s">
        <v>7</v>
      </c>
      <c r="G10528" t="s">
        <v>11</v>
      </c>
      <c r="H10528" s="5">
        <f>MONTH(Tabela1[[#This Row],[data]])</f>
        <v>3</v>
      </c>
      <c r="I10528">
        <f>YEAR(Tabela1[[#This Row],[data]])</f>
        <v>2026</v>
      </c>
    </row>
    <row r="10529" spans="1:9" x14ac:dyDescent="0.25">
      <c r="A10529" t="s">
        <v>6</v>
      </c>
      <c r="B10529" s="1">
        <v>46096</v>
      </c>
      <c r="C10529">
        <v>16</v>
      </c>
      <c r="D10529">
        <v>911.4</v>
      </c>
      <c r="E10529">
        <v>213.36</v>
      </c>
      <c r="F10529" t="s">
        <v>7</v>
      </c>
      <c r="G10529" t="s">
        <v>11</v>
      </c>
      <c r="H10529" s="5">
        <f>MONTH(Tabela1[[#This Row],[data]])</f>
        <v>3</v>
      </c>
      <c r="I10529">
        <f>YEAR(Tabela1[[#This Row],[data]])</f>
        <v>2026</v>
      </c>
    </row>
    <row r="10530" spans="1:9" x14ac:dyDescent="0.25">
      <c r="A10530" t="s">
        <v>6</v>
      </c>
      <c r="B10530" s="1">
        <v>46096</v>
      </c>
      <c r="C10530">
        <v>17</v>
      </c>
      <c r="D10530">
        <v>871.92</v>
      </c>
      <c r="E10530">
        <v>210.84</v>
      </c>
      <c r="F10530" t="s">
        <v>7</v>
      </c>
      <c r="G10530" t="s">
        <v>11</v>
      </c>
      <c r="H10530" s="5">
        <f>MONTH(Tabela1[[#This Row],[data]])</f>
        <v>3</v>
      </c>
      <c r="I10530">
        <f>YEAR(Tabela1[[#This Row],[data]])</f>
        <v>2026</v>
      </c>
    </row>
    <row r="10531" spans="1:9" x14ac:dyDescent="0.25">
      <c r="A10531" t="s">
        <v>6</v>
      </c>
      <c r="B10531" s="1">
        <v>46096</v>
      </c>
      <c r="C10531">
        <v>18</v>
      </c>
      <c r="D10531">
        <v>872.34</v>
      </c>
      <c r="E10531">
        <v>190.26</v>
      </c>
      <c r="F10531" t="s">
        <v>7</v>
      </c>
      <c r="G10531" t="s">
        <v>11</v>
      </c>
      <c r="H10531" s="5">
        <f>MONTH(Tabela1[[#This Row],[data]])</f>
        <v>3</v>
      </c>
      <c r="I10531">
        <f>YEAR(Tabela1[[#This Row],[data]])</f>
        <v>2026</v>
      </c>
    </row>
    <row r="10532" spans="1:9" x14ac:dyDescent="0.25">
      <c r="A10532" t="s">
        <v>6</v>
      </c>
      <c r="B10532" s="1">
        <v>46096</v>
      </c>
      <c r="C10532">
        <v>19</v>
      </c>
      <c r="D10532">
        <v>864.36</v>
      </c>
      <c r="E10532">
        <v>182.28</v>
      </c>
      <c r="F10532" t="s">
        <v>7</v>
      </c>
      <c r="G10532" t="s">
        <v>11</v>
      </c>
      <c r="H10532" s="5">
        <f>MONTH(Tabela1[[#This Row],[data]])</f>
        <v>3</v>
      </c>
      <c r="I10532">
        <f>YEAR(Tabela1[[#This Row],[data]])</f>
        <v>2026</v>
      </c>
    </row>
    <row r="10533" spans="1:9" x14ac:dyDescent="0.25">
      <c r="A10533" t="s">
        <v>6</v>
      </c>
      <c r="B10533" s="1">
        <v>46096</v>
      </c>
      <c r="C10533">
        <v>20</v>
      </c>
      <c r="D10533">
        <v>857.64</v>
      </c>
      <c r="E10533">
        <v>176.4</v>
      </c>
      <c r="F10533" t="s">
        <v>7</v>
      </c>
      <c r="G10533" t="s">
        <v>11</v>
      </c>
      <c r="H10533" s="5">
        <f>MONTH(Tabela1[[#This Row],[data]])</f>
        <v>3</v>
      </c>
      <c r="I10533">
        <f>YEAR(Tabela1[[#This Row],[data]])</f>
        <v>2026</v>
      </c>
    </row>
    <row r="10534" spans="1:9" x14ac:dyDescent="0.25">
      <c r="A10534" t="s">
        <v>6</v>
      </c>
      <c r="B10534" s="1">
        <v>46096</v>
      </c>
      <c r="C10534">
        <v>21</v>
      </c>
      <c r="D10534">
        <v>797.16</v>
      </c>
      <c r="E10534">
        <v>170.94</v>
      </c>
      <c r="F10534" t="s">
        <v>7</v>
      </c>
      <c r="G10534" t="s">
        <v>11</v>
      </c>
      <c r="H10534" s="5">
        <f>MONTH(Tabela1[[#This Row],[data]])</f>
        <v>3</v>
      </c>
      <c r="I10534">
        <f>YEAR(Tabela1[[#This Row],[data]])</f>
        <v>2026</v>
      </c>
    </row>
    <row r="10535" spans="1:9" x14ac:dyDescent="0.25">
      <c r="A10535" t="s">
        <v>6</v>
      </c>
      <c r="B10535" s="1">
        <v>46096</v>
      </c>
      <c r="C10535">
        <v>22</v>
      </c>
      <c r="D10535">
        <v>642.17999999999995</v>
      </c>
      <c r="E10535">
        <v>129.78</v>
      </c>
      <c r="F10535" t="s">
        <v>7</v>
      </c>
      <c r="G10535" t="s">
        <v>11</v>
      </c>
      <c r="H10535" s="5">
        <f>MONTH(Tabela1[[#This Row],[data]])</f>
        <v>3</v>
      </c>
      <c r="I10535">
        <f>YEAR(Tabela1[[#This Row],[data]])</f>
        <v>2026</v>
      </c>
    </row>
    <row r="10536" spans="1:9" x14ac:dyDescent="0.25">
      <c r="A10536" t="s">
        <v>6</v>
      </c>
      <c r="B10536" s="1">
        <v>46096</v>
      </c>
      <c r="C10536">
        <v>23</v>
      </c>
      <c r="D10536">
        <v>314.58</v>
      </c>
      <c r="E10536">
        <v>0</v>
      </c>
      <c r="F10536" t="s">
        <v>7</v>
      </c>
      <c r="G10536" t="s">
        <v>11</v>
      </c>
      <c r="H10536" s="5">
        <f>MONTH(Tabela1[[#This Row],[data]])</f>
        <v>3</v>
      </c>
      <c r="I10536">
        <f>YEAR(Tabela1[[#This Row],[data]])</f>
        <v>2026</v>
      </c>
    </row>
    <row r="10537" spans="1:9" x14ac:dyDescent="0.25">
      <c r="A10537" t="s">
        <v>6</v>
      </c>
      <c r="B10537" s="1">
        <v>46096</v>
      </c>
      <c r="C10537">
        <v>24</v>
      </c>
      <c r="D10537">
        <v>262.92</v>
      </c>
      <c r="E10537">
        <v>0</v>
      </c>
      <c r="F10537" t="s">
        <v>7</v>
      </c>
      <c r="G10537" t="s">
        <v>11</v>
      </c>
      <c r="H10537" s="5">
        <f>MONTH(Tabela1[[#This Row],[data]])</f>
        <v>3</v>
      </c>
      <c r="I10537">
        <f>YEAR(Tabela1[[#This Row],[data]])</f>
        <v>2026</v>
      </c>
    </row>
    <row r="10538" spans="1:9" x14ac:dyDescent="0.25">
      <c r="A10538" t="s">
        <v>6</v>
      </c>
      <c r="B10538" s="1">
        <v>46097</v>
      </c>
      <c r="C10538">
        <v>1</v>
      </c>
      <c r="D10538">
        <v>246.54</v>
      </c>
      <c r="E10538">
        <v>0</v>
      </c>
      <c r="F10538" t="s">
        <v>7</v>
      </c>
      <c r="G10538" t="s">
        <v>12</v>
      </c>
      <c r="H10538" s="5">
        <f>MONTH(Tabela1[[#This Row],[data]])</f>
        <v>3</v>
      </c>
      <c r="I10538">
        <f>YEAR(Tabela1[[#This Row],[data]])</f>
        <v>2026</v>
      </c>
    </row>
    <row r="10539" spans="1:9" x14ac:dyDescent="0.25">
      <c r="A10539" t="s">
        <v>6</v>
      </c>
      <c r="B10539" s="1">
        <v>46097</v>
      </c>
      <c r="C10539">
        <v>2</v>
      </c>
      <c r="D10539">
        <v>223.86</v>
      </c>
      <c r="E10539">
        <v>0</v>
      </c>
      <c r="F10539" t="s">
        <v>7</v>
      </c>
      <c r="G10539" t="s">
        <v>12</v>
      </c>
      <c r="H10539" s="5">
        <f>MONTH(Tabela1[[#This Row],[data]])</f>
        <v>3</v>
      </c>
      <c r="I10539">
        <f>YEAR(Tabela1[[#This Row],[data]])</f>
        <v>2026</v>
      </c>
    </row>
    <row r="10540" spans="1:9" x14ac:dyDescent="0.25">
      <c r="A10540" t="s">
        <v>6</v>
      </c>
      <c r="B10540" s="1">
        <v>46097</v>
      </c>
      <c r="C10540">
        <v>3</v>
      </c>
      <c r="D10540">
        <v>218.4</v>
      </c>
      <c r="E10540">
        <v>0</v>
      </c>
      <c r="F10540" t="s">
        <v>7</v>
      </c>
      <c r="G10540" t="s">
        <v>12</v>
      </c>
      <c r="H10540" s="5">
        <f>MONTH(Tabela1[[#This Row],[data]])</f>
        <v>3</v>
      </c>
      <c r="I10540">
        <f>YEAR(Tabela1[[#This Row],[data]])</f>
        <v>2026</v>
      </c>
    </row>
    <row r="10541" spans="1:9" x14ac:dyDescent="0.25">
      <c r="A10541" t="s">
        <v>6</v>
      </c>
      <c r="B10541" s="1">
        <v>46097</v>
      </c>
      <c r="C10541">
        <v>4</v>
      </c>
      <c r="D10541">
        <v>217.56</v>
      </c>
      <c r="E10541">
        <v>0</v>
      </c>
      <c r="F10541" t="s">
        <v>7</v>
      </c>
      <c r="G10541" t="s">
        <v>12</v>
      </c>
      <c r="H10541" s="5">
        <f>MONTH(Tabela1[[#This Row],[data]])</f>
        <v>3</v>
      </c>
      <c r="I10541">
        <f>YEAR(Tabela1[[#This Row],[data]])</f>
        <v>2026</v>
      </c>
    </row>
    <row r="10542" spans="1:9" x14ac:dyDescent="0.25">
      <c r="A10542" t="s">
        <v>6</v>
      </c>
      <c r="B10542" s="1">
        <v>46097</v>
      </c>
      <c r="C10542">
        <v>5</v>
      </c>
      <c r="D10542">
        <v>226.8</v>
      </c>
      <c r="E10542">
        <v>0</v>
      </c>
      <c r="F10542" t="s">
        <v>7</v>
      </c>
      <c r="G10542" t="s">
        <v>12</v>
      </c>
      <c r="H10542" s="5">
        <f>MONTH(Tabela1[[#This Row],[data]])</f>
        <v>3</v>
      </c>
      <c r="I10542">
        <f>YEAR(Tabela1[[#This Row],[data]])</f>
        <v>2026</v>
      </c>
    </row>
    <row r="10543" spans="1:9" x14ac:dyDescent="0.25">
      <c r="A10543" t="s">
        <v>6</v>
      </c>
      <c r="B10543" s="1">
        <v>46097</v>
      </c>
      <c r="C10543">
        <v>6</v>
      </c>
      <c r="D10543">
        <v>216.3</v>
      </c>
      <c r="E10543">
        <v>0</v>
      </c>
      <c r="F10543" t="s">
        <v>7</v>
      </c>
      <c r="G10543" t="s">
        <v>12</v>
      </c>
      <c r="H10543" s="5">
        <f>MONTH(Tabela1[[#This Row],[data]])</f>
        <v>3</v>
      </c>
      <c r="I10543">
        <f>YEAR(Tabela1[[#This Row],[data]])</f>
        <v>2026</v>
      </c>
    </row>
    <row r="10544" spans="1:9" x14ac:dyDescent="0.25">
      <c r="A10544" t="s">
        <v>6</v>
      </c>
      <c r="B10544" s="1">
        <v>46097</v>
      </c>
      <c r="C10544">
        <v>7</v>
      </c>
      <c r="D10544">
        <v>227.22</v>
      </c>
      <c r="E10544">
        <v>0</v>
      </c>
      <c r="F10544" t="s">
        <v>7</v>
      </c>
      <c r="G10544" t="s">
        <v>12</v>
      </c>
      <c r="H10544" s="5">
        <f>MONTH(Tabela1[[#This Row],[data]])</f>
        <v>3</v>
      </c>
      <c r="I10544">
        <f>YEAR(Tabela1[[#This Row],[data]])</f>
        <v>2026</v>
      </c>
    </row>
    <row r="10545" spans="1:9" x14ac:dyDescent="0.25">
      <c r="A10545" t="s">
        <v>6</v>
      </c>
      <c r="B10545" s="1">
        <v>46097</v>
      </c>
      <c r="C10545">
        <v>8</v>
      </c>
      <c r="D10545">
        <v>246.54</v>
      </c>
      <c r="E10545">
        <v>0</v>
      </c>
      <c r="F10545" t="s">
        <v>7</v>
      </c>
      <c r="G10545" t="s">
        <v>12</v>
      </c>
      <c r="H10545" s="5">
        <f>MONTH(Tabela1[[#This Row],[data]])</f>
        <v>3</v>
      </c>
      <c r="I10545">
        <f>YEAR(Tabela1[[#This Row],[data]])</f>
        <v>2026</v>
      </c>
    </row>
    <row r="10546" spans="1:9" x14ac:dyDescent="0.25">
      <c r="A10546" t="s">
        <v>6</v>
      </c>
      <c r="B10546" s="1">
        <v>46097</v>
      </c>
      <c r="C10546">
        <v>9</v>
      </c>
      <c r="D10546">
        <v>329.7</v>
      </c>
      <c r="E10546">
        <v>0</v>
      </c>
      <c r="F10546" t="s">
        <v>7</v>
      </c>
      <c r="G10546" t="s">
        <v>12</v>
      </c>
      <c r="H10546" s="5">
        <f>MONTH(Tabela1[[#This Row],[data]])</f>
        <v>3</v>
      </c>
      <c r="I10546">
        <f>YEAR(Tabela1[[#This Row],[data]])</f>
        <v>2026</v>
      </c>
    </row>
    <row r="10547" spans="1:9" x14ac:dyDescent="0.25">
      <c r="A10547" t="s">
        <v>6</v>
      </c>
      <c r="B10547" s="1">
        <v>46097</v>
      </c>
      <c r="C10547">
        <v>10</v>
      </c>
      <c r="D10547">
        <v>447.3</v>
      </c>
      <c r="E10547">
        <v>28.56</v>
      </c>
      <c r="F10547" t="s">
        <v>7</v>
      </c>
      <c r="G10547" t="s">
        <v>12</v>
      </c>
      <c r="H10547" s="5">
        <f>MONTH(Tabela1[[#This Row],[data]])</f>
        <v>3</v>
      </c>
      <c r="I10547">
        <f>YEAR(Tabela1[[#This Row],[data]])</f>
        <v>2026</v>
      </c>
    </row>
    <row r="10548" spans="1:9" x14ac:dyDescent="0.25">
      <c r="A10548" t="s">
        <v>6</v>
      </c>
      <c r="B10548" s="1">
        <v>46097</v>
      </c>
      <c r="C10548">
        <v>11</v>
      </c>
      <c r="D10548">
        <v>898.38</v>
      </c>
      <c r="E10548">
        <v>215.04</v>
      </c>
      <c r="F10548" t="s">
        <v>7</v>
      </c>
      <c r="G10548" t="s">
        <v>12</v>
      </c>
      <c r="H10548" s="5">
        <f>MONTH(Tabela1[[#This Row],[data]])</f>
        <v>3</v>
      </c>
      <c r="I10548">
        <f>YEAR(Tabela1[[#This Row],[data]])</f>
        <v>2026</v>
      </c>
    </row>
    <row r="10549" spans="1:9" x14ac:dyDescent="0.25">
      <c r="A10549" t="s">
        <v>6</v>
      </c>
      <c r="B10549" s="1">
        <v>46097</v>
      </c>
      <c r="C10549">
        <v>12</v>
      </c>
      <c r="D10549">
        <v>900.9</v>
      </c>
      <c r="E10549">
        <v>213.36</v>
      </c>
      <c r="F10549" t="s">
        <v>7</v>
      </c>
      <c r="G10549" t="s">
        <v>12</v>
      </c>
      <c r="H10549" s="5">
        <f>MONTH(Tabela1[[#This Row],[data]])</f>
        <v>3</v>
      </c>
      <c r="I10549">
        <f>YEAR(Tabela1[[#This Row],[data]])</f>
        <v>2026</v>
      </c>
    </row>
    <row r="10550" spans="1:9" x14ac:dyDescent="0.25">
      <c r="A10550" t="s">
        <v>6</v>
      </c>
      <c r="B10550" s="1">
        <v>46097</v>
      </c>
      <c r="C10550">
        <v>13</v>
      </c>
      <c r="D10550">
        <v>885.36</v>
      </c>
      <c r="E10550">
        <v>201.6</v>
      </c>
      <c r="F10550" t="s">
        <v>7</v>
      </c>
      <c r="G10550" t="s">
        <v>12</v>
      </c>
      <c r="H10550" s="5">
        <f>MONTH(Tabela1[[#This Row],[data]])</f>
        <v>3</v>
      </c>
      <c r="I10550">
        <f>YEAR(Tabela1[[#This Row],[data]])</f>
        <v>2026</v>
      </c>
    </row>
    <row r="10551" spans="1:9" x14ac:dyDescent="0.25">
      <c r="A10551" t="s">
        <v>6</v>
      </c>
      <c r="B10551" s="1">
        <v>46097</v>
      </c>
      <c r="C10551">
        <v>14</v>
      </c>
      <c r="D10551">
        <v>943.74</v>
      </c>
      <c r="E10551">
        <v>220.08</v>
      </c>
      <c r="F10551" t="s">
        <v>7</v>
      </c>
      <c r="G10551" t="s">
        <v>12</v>
      </c>
      <c r="H10551" s="5">
        <f>MONTH(Tabela1[[#This Row],[data]])</f>
        <v>3</v>
      </c>
      <c r="I10551">
        <f>YEAR(Tabela1[[#This Row],[data]])</f>
        <v>2026</v>
      </c>
    </row>
    <row r="10552" spans="1:9" x14ac:dyDescent="0.25">
      <c r="A10552" t="s">
        <v>6</v>
      </c>
      <c r="B10552" s="1">
        <v>46097</v>
      </c>
      <c r="C10552">
        <v>15</v>
      </c>
      <c r="D10552">
        <v>940.38</v>
      </c>
      <c r="E10552">
        <v>220.92</v>
      </c>
      <c r="F10552" t="s">
        <v>7</v>
      </c>
      <c r="G10552" t="s">
        <v>12</v>
      </c>
      <c r="H10552" s="5">
        <f>MONTH(Tabela1[[#This Row],[data]])</f>
        <v>3</v>
      </c>
      <c r="I10552">
        <f>YEAR(Tabela1[[#This Row],[data]])</f>
        <v>2026</v>
      </c>
    </row>
    <row r="10553" spans="1:9" x14ac:dyDescent="0.25">
      <c r="A10553" t="s">
        <v>6</v>
      </c>
      <c r="B10553" s="1">
        <v>46097</v>
      </c>
      <c r="C10553">
        <v>16</v>
      </c>
      <c r="D10553">
        <v>966</v>
      </c>
      <c r="E10553">
        <v>245.28</v>
      </c>
      <c r="F10553" t="s">
        <v>7</v>
      </c>
      <c r="G10553" t="s">
        <v>12</v>
      </c>
      <c r="H10553" s="5">
        <f>MONTH(Tabela1[[#This Row],[data]])</f>
        <v>3</v>
      </c>
      <c r="I10553">
        <f>YEAR(Tabela1[[#This Row],[data]])</f>
        <v>2026</v>
      </c>
    </row>
    <row r="10554" spans="1:9" x14ac:dyDescent="0.25">
      <c r="A10554" t="s">
        <v>6</v>
      </c>
      <c r="B10554" s="1">
        <v>46097</v>
      </c>
      <c r="C10554">
        <v>17</v>
      </c>
      <c r="D10554">
        <v>946.26</v>
      </c>
      <c r="E10554">
        <v>267.95999999999998</v>
      </c>
      <c r="F10554" t="s">
        <v>7</v>
      </c>
      <c r="G10554" t="s">
        <v>12</v>
      </c>
      <c r="H10554" s="5">
        <f>MONTH(Tabela1[[#This Row],[data]])</f>
        <v>3</v>
      </c>
      <c r="I10554">
        <f>YEAR(Tabela1[[#This Row],[data]])</f>
        <v>2026</v>
      </c>
    </row>
    <row r="10555" spans="1:9" x14ac:dyDescent="0.25">
      <c r="A10555" t="s">
        <v>6</v>
      </c>
      <c r="B10555" s="1">
        <v>46097</v>
      </c>
      <c r="C10555">
        <v>18</v>
      </c>
      <c r="D10555">
        <v>892.92</v>
      </c>
      <c r="E10555">
        <v>224.7</v>
      </c>
      <c r="F10555" t="s">
        <v>7</v>
      </c>
      <c r="G10555" t="s">
        <v>12</v>
      </c>
      <c r="H10555" s="5">
        <f>MONTH(Tabela1[[#This Row],[data]])</f>
        <v>3</v>
      </c>
      <c r="I10555">
        <f>YEAR(Tabela1[[#This Row],[data]])</f>
        <v>2026</v>
      </c>
    </row>
    <row r="10556" spans="1:9" x14ac:dyDescent="0.25">
      <c r="A10556" t="s">
        <v>6</v>
      </c>
      <c r="B10556" s="1">
        <v>46097</v>
      </c>
      <c r="C10556">
        <v>19</v>
      </c>
      <c r="D10556">
        <v>879.06</v>
      </c>
      <c r="E10556">
        <v>197.82</v>
      </c>
      <c r="F10556" t="s">
        <v>7</v>
      </c>
      <c r="G10556" t="s">
        <v>12</v>
      </c>
      <c r="H10556" s="5">
        <f>MONTH(Tabela1[[#This Row],[data]])</f>
        <v>3</v>
      </c>
      <c r="I10556">
        <f>YEAR(Tabela1[[#This Row],[data]])</f>
        <v>2026</v>
      </c>
    </row>
    <row r="10557" spans="1:9" x14ac:dyDescent="0.25">
      <c r="A10557" t="s">
        <v>6</v>
      </c>
      <c r="B10557" s="1">
        <v>46097</v>
      </c>
      <c r="C10557">
        <v>20</v>
      </c>
      <c r="D10557">
        <v>834.54</v>
      </c>
      <c r="E10557">
        <v>208.74</v>
      </c>
      <c r="F10557" t="s">
        <v>7</v>
      </c>
      <c r="G10557" t="s">
        <v>12</v>
      </c>
      <c r="H10557" s="5">
        <f>MONTH(Tabela1[[#This Row],[data]])</f>
        <v>3</v>
      </c>
      <c r="I10557">
        <f>YEAR(Tabela1[[#This Row],[data]])</f>
        <v>2026</v>
      </c>
    </row>
    <row r="10558" spans="1:9" x14ac:dyDescent="0.25">
      <c r="A10558" t="s">
        <v>6</v>
      </c>
      <c r="B10558" s="1">
        <v>46097</v>
      </c>
      <c r="C10558">
        <v>21</v>
      </c>
      <c r="D10558">
        <v>766.92</v>
      </c>
      <c r="E10558">
        <v>178.5</v>
      </c>
      <c r="F10558" t="s">
        <v>7</v>
      </c>
      <c r="G10558" t="s">
        <v>12</v>
      </c>
      <c r="H10558" s="5">
        <f>MONTH(Tabela1[[#This Row],[data]])</f>
        <v>3</v>
      </c>
      <c r="I10558">
        <f>YEAR(Tabela1[[#This Row],[data]])</f>
        <v>2026</v>
      </c>
    </row>
    <row r="10559" spans="1:9" x14ac:dyDescent="0.25">
      <c r="A10559" t="s">
        <v>6</v>
      </c>
      <c r="B10559" s="1">
        <v>46097</v>
      </c>
      <c r="C10559">
        <v>22</v>
      </c>
      <c r="D10559">
        <v>572.88</v>
      </c>
      <c r="E10559">
        <v>57.96</v>
      </c>
      <c r="F10559" t="s">
        <v>7</v>
      </c>
      <c r="G10559" t="s">
        <v>12</v>
      </c>
      <c r="H10559" s="5">
        <f>MONTH(Tabela1[[#This Row],[data]])</f>
        <v>3</v>
      </c>
      <c r="I10559">
        <f>YEAR(Tabela1[[#This Row],[data]])</f>
        <v>2026</v>
      </c>
    </row>
    <row r="10560" spans="1:9" x14ac:dyDescent="0.25">
      <c r="A10560" t="s">
        <v>6</v>
      </c>
      <c r="B10560" s="1">
        <v>46097</v>
      </c>
      <c r="C10560">
        <v>23</v>
      </c>
      <c r="D10560">
        <v>361.2</v>
      </c>
      <c r="E10560">
        <v>1.68</v>
      </c>
      <c r="F10560" t="s">
        <v>7</v>
      </c>
      <c r="G10560" t="s">
        <v>12</v>
      </c>
      <c r="H10560" s="5">
        <f>MONTH(Tabela1[[#This Row],[data]])</f>
        <v>3</v>
      </c>
      <c r="I10560">
        <f>YEAR(Tabela1[[#This Row],[data]])</f>
        <v>2026</v>
      </c>
    </row>
    <row r="10561" spans="1:9" x14ac:dyDescent="0.25">
      <c r="A10561" t="s">
        <v>6</v>
      </c>
      <c r="B10561" s="1">
        <v>46097</v>
      </c>
      <c r="C10561">
        <v>24</v>
      </c>
      <c r="D10561">
        <v>265.86</v>
      </c>
      <c r="E10561">
        <v>0</v>
      </c>
      <c r="F10561" t="s">
        <v>7</v>
      </c>
      <c r="G10561" t="s">
        <v>12</v>
      </c>
      <c r="H10561" s="5">
        <f>MONTH(Tabela1[[#This Row],[data]])</f>
        <v>3</v>
      </c>
      <c r="I10561">
        <f>YEAR(Tabela1[[#This Row],[data]])</f>
        <v>2026</v>
      </c>
    </row>
    <row r="10562" spans="1:9" x14ac:dyDescent="0.25">
      <c r="A10562" t="s">
        <v>6</v>
      </c>
      <c r="B10562" s="1">
        <v>46098</v>
      </c>
      <c r="C10562">
        <v>1</v>
      </c>
      <c r="D10562">
        <v>236.46</v>
      </c>
      <c r="E10562">
        <v>0</v>
      </c>
      <c r="F10562" t="s">
        <v>7</v>
      </c>
      <c r="G10562" t="s">
        <v>11</v>
      </c>
      <c r="H10562" s="5">
        <f>MONTH(Tabela1[[#This Row],[data]])</f>
        <v>3</v>
      </c>
      <c r="I10562">
        <f>YEAR(Tabela1[[#This Row],[data]])</f>
        <v>2026</v>
      </c>
    </row>
    <row r="10563" spans="1:9" x14ac:dyDescent="0.25">
      <c r="A10563" t="s">
        <v>6</v>
      </c>
      <c r="B10563" s="1">
        <v>46098</v>
      </c>
      <c r="C10563">
        <v>2</v>
      </c>
      <c r="D10563">
        <v>223.86</v>
      </c>
      <c r="E10563">
        <v>0</v>
      </c>
      <c r="F10563" t="s">
        <v>7</v>
      </c>
      <c r="G10563" t="s">
        <v>11</v>
      </c>
      <c r="H10563" s="5">
        <f>MONTH(Tabela1[[#This Row],[data]])</f>
        <v>3</v>
      </c>
      <c r="I10563">
        <f>YEAR(Tabela1[[#This Row],[data]])</f>
        <v>2026</v>
      </c>
    </row>
    <row r="10564" spans="1:9" x14ac:dyDescent="0.25">
      <c r="A10564" t="s">
        <v>6</v>
      </c>
      <c r="B10564" s="1">
        <v>46098</v>
      </c>
      <c r="C10564">
        <v>3</v>
      </c>
      <c r="D10564">
        <v>217.56</v>
      </c>
      <c r="E10564">
        <v>0</v>
      </c>
      <c r="F10564" t="s">
        <v>7</v>
      </c>
      <c r="G10564" t="s">
        <v>11</v>
      </c>
      <c r="H10564" s="5">
        <f>MONTH(Tabela1[[#This Row],[data]])</f>
        <v>3</v>
      </c>
      <c r="I10564">
        <f>YEAR(Tabela1[[#This Row],[data]])</f>
        <v>2026</v>
      </c>
    </row>
    <row r="10565" spans="1:9" x14ac:dyDescent="0.25">
      <c r="A10565" t="s">
        <v>6</v>
      </c>
      <c r="B10565" s="1">
        <v>46098</v>
      </c>
      <c r="C10565">
        <v>4</v>
      </c>
      <c r="D10565">
        <v>217.98</v>
      </c>
      <c r="E10565">
        <v>0</v>
      </c>
      <c r="F10565" t="s">
        <v>7</v>
      </c>
      <c r="G10565" t="s">
        <v>11</v>
      </c>
      <c r="H10565" s="5">
        <f>MONTH(Tabela1[[#This Row],[data]])</f>
        <v>3</v>
      </c>
      <c r="I10565">
        <f>YEAR(Tabela1[[#This Row],[data]])</f>
        <v>2026</v>
      </c>
    </row>
    <row r="10566" spans="1:9" x14ac:dyDescent="0.25">
      <c r="A10566" t="s">
        <v>6</v>
      </c>
      <c r="B10566" s="1">
        <v>46098</v>
      </c>
      <c r="C10566">
        <v>5</v>
      </c>
      <c r="D10566">
        <v>220.92</v>
      </c>
      <c r="E10566">
        <v>0</v>
      </c>
      <c r="F10566" t="s">
        <v>7</v>
      </c>
      <c r="G10566" t="s">
        <v>11</v>
      </c>
      <c r="H10566" s="5">
        <f>MONTH(Tabela1[[#This Row],[data]])</f>
        <v>3</v>
      </c>
      <c r="I10566">
        <f>YEAR(Tabela1[[#This Row],[data]])</f>
        <v>2026</v>
      </c>
    </row>
    <row r="10567" spans="1:9" x14ac:dyDescent="0.25">
      <c r="A10567" t="s">
        <v>6</v>
      </c>
      <c r="B10567" s="1">
        <v>46098</v>
      </c>
      <c r="C10567">
        <v>6</v>
      </c>
      <c r="D10567">
        <v>203.7</v>
      </c>
      <c r="E10567">
        <v>0</v>
      </c>
      <c r="F10567" t="s">
        <v>7</v>
      </c>
      <c r="G10567" t="s">
        <v>11</v>
      </c>
      <c r="H10567" s="5">
        <f>MONTH(Tabela1[[#This Row],[data]])</f>
        <v>3</v>
      </c>
      <c r="I10567">
        <f>YEAR(Tabela1[[#This Row],[data]])</f>
        <v>2026</v>
      </c>
    </row>
    <row r="10568" spans="1:9" x14ac:dyDescent="0.25">
      <c r="A10568" t="s">
        <v>6</v>
      </c>
      <c r="B10568" s="1">
        <v>46098</v>
      </c>
      <c r="C10568">
        <v>7</v>
      </c>
      <c r="D10568">
        <v>209.58</v>
      </c>
      <c r="E10568">
        <v>0</v>
      </c>
      <c r="F10568" t="s">
        <v>7</v>
      </c>
      <c r="G10568" t="s">
        <v>11</v>
      </c>
      <c r="H10568" s="5">
        <f>MONTH(Tabela1[[#This Row],[data]])</f>
        <v>3</v>
      </c>
      <c r="I10568">
        <f>YEAR(Tabela1[[#This Row],[data]])</f>
        <v>2026</v>
      </c>
    </row>
    <row r="10569" spans="1:9" x14ac:dyDescent="0.25">
      <c r="A10569" t="s">
        <v>6</v>
      </c>
      <c r="B10569" s="1">
        <v>46098</v>
      </c>
      <c r="C10569">
        <v>8</v>
      </c>
      <c r="D10569">
        <v>223.86</v>
      </c>
      <c r="E10569">
        <v>0</v>
      </c>
      <c r="F10569" t="s">
        <v>7</v>
      </c>
      <c r="G10569" t="s">
        <v>11</v>
      </c>
      <c r="H10569" s="5">
        <f>MONTH(Tabela1[[#This Row],[data]])</f>
        <v>3</v>
      </c>
      <c r="I10569">
        <f>YEAR(Tabela1[[#This Row],[data]])</f>
        <v>2026</v>
      </c>
    </row>
    <row r="10570" spans="1:9" x14ac:dyDescent="0.25">
      <c r="A10570" t="s">
        <v>6</v>
      </c>
      <c r="B10570" s="1">
        <v>46098</v>
      </c>
      <c r="C10570">
        <v>9</v>
      </c>
      <c r="D10570">
        <v>383.88</v>
      </c>
      <c r="E10570">
        <v>27.72</v>
      </c>
      <c r="F10570" t="s">
        <v>7</v>
      </c>
      <c r="G10570" t="s">
        <v>11</v>
      </c>
      <c r="H10570" s="5">
        <f>MONTH(Tabela1[[#This Row],[data]])</f>
        <v>3</v>
      </c>
      <c r="I10570">
        <f>YEAR(Tabela1[[#This Row],[data]])</f>
        <v>2026</v>
      </c>
    </row>
    <row r="10571" spans="1:9" x14ac:dyDescent="0.25">
      <c r="A10571" t="s">
        <v>6</v>
      </c>
      <c r="B10571" s="1">
        <v>46098</v>
      </c>
      <c r="C10571">
        <v>10</v>
      </c>
      <c r="D10571">
        <v>539.28</v>
      </c>
      <c r="E10571">
        <v>91.56</v>
      </c>
      <c r="F10571" t="s">
        <v>7</v>
      </c>
      <c r="G10571" t="s">
        <v>11</v>
      </c>
      <c r="H10571" s="5">
        <f>MONTH(Tabela1[[#This Row],[data]])</f>
        <v>3</v>
      </c>
      <c r="I10571">
        <f>YEAR(Tabela1[[#This Row],[data]])</f>
        <v>2026</v>
      </c>
    </row>
    <row r="10572" spans="1:9" x14ac:dyDescent="0.25">
      <c r="A10572" t="s">
        <v>6</v>
      </c>
      <c r="B10572" s="1">
        <v>46098</v>
      </c>
      <c r="C10572">
        <v>11</v>
      </c>
      <c r="D10572">
        <v>914.76</v>
      </c>
      <c r="E10572">
        <v>244.44</v>
      </c>
      <c r="F10572" t="s">
        <v>7</v>
      </c>
      <c r="G10572" t="s">
        <v>11</v>
      </c>
      <c r="H10572" s="5">
        <f>MONTH(Tabela1[[#This Row],[data]])</f>
        <v>3</v>
      </c>
      <c r="I10572">
        <f>YEAR(Tabela1[[#This Row],[data]])</f>
        <v>2026</v>
      </c>
    </row>
    <row r="10573" spans="1:9" x14ac:dyDescent="0.25">
      <c r="A10573" t="s">
        <v>6</v>
      </c>
      <c r="B10573" s="1">
        <v>46098</v>
      </c>
      <c r="C10573">
        <v>12</v>
      </c>
      <c r="D10573">
        <v>928.62</v>
      </c>
      <c r="E10573">
        <v>247.8</v>
      </c>
      <c r="F10573" t="s">
        <v>7</v>
      </c>
      <c r="G10573" t="s">
        <v>11</v>
      </c>
      <c r="H10573" s="5">
        <f>MONTH(Tabela1[[#This Row],[data]])</f>
        <v>3</v>
      </c>
      <c r="I10573">
        <f>YEAR(Tabela1[[#This Row],[data]])</f>
        <v>2026</v>
      </c>
    </row>
    <row r="10574" spans="1:9" x14ac:dyDescent="0.25">
      <c r="A10574" t="s">
        <v>6</v>
      </c>
      <c r="B10574" s="1">
        <v>46098</v>
      </c>
      <c r="C10574">
        <v>13</v>
      </c>
      <c r="D10574">
        <v>924.84</v>
      </c>
      <c r="E10574">
        <v>261.24</v>
      </c>
      <c r="F10574" t="s">
        <v>7</v>
      </c>
      <c r="G10574" t="s">
        <v>11</v>
      </c>
      <c r="H10574" s="5">
        <f>MONTH(Tabela1[[#This Row],[data]])</f>
        <v>3</v>
      </c>
      <c r="I10574">
        <f>YEAR(Tabela1[[#This Row],[data]])</f>
        <v>2026</v>
      </c>
    </row>
    <row r="10575" spans="1:9" x14ac:dyDescent="0.25">
      <c r="A10575" t="s">
        <v>6</v>
      </c>
      <c r="B10575" s="1">
        <v>46098</v>
      </c>
      <c r="C10575">
        <v>14</v>
      </c>
      <c r="D10575">
        <v>917.28</v>
      </c>
      <c r="E10575">
        <v>226.38</v>
      </c>
      <c r="F10575" t="s">
        <v>7</v>
      </c>
      <c r="G10575" t="s">
        <v>11</v>
      </c>
      <c r="H10575" s="5">
        <f>MONTH(Tabela1[[#This Row],[data]])</f>
        <v>3</v>
      </c>
      <c r="I10575">
        <f>YEAR(Tabela1[[#This Row],[data]])</f>
        <v>2026</v>
      </c>
    </row>
    <row r="10576" spans="1:9" x14ac:dyDescent="0.25">
      <c r="A10576" t="s">
        <v>6</v>
      </c>
      <c r="B10576" s="1">
        <v>46098</v>
      </c>
      <c r="C10576">
        <v>15</v>
      </c>
      <c r="D10576">
        <v>956.76</v>
      </c>
      <c r="E10576">
        <v>257.45999999999998</v>
      </c>
      <c r="F10576" t="s">
        <v>7</v>
      </c>
      <c r="G10576" t="s">
        <v>11</v>
      </c>
      <c r="H10576" s="5">
        <f>MONTH(Tabela1[[#This Row],[data]])</f>
        <v>3</v>
      </c>
      <c r="I10576">
        <f>YEAR(Tabela1[[#This Row],[data]])</f>
        <v>2026</v>
      </c>
    </row>
    <row r="10577" spans="1:9" x14ac:dyDescent="0.25">
      <c r="A10577" t="s">
        <v>6</v>
      </c>
      <c r="B10577" s="1">
        <v>46098</v>
      </c>
      <c r="C10577">
        <v>16</v>
      </c>
      <c r="D10577">
        <v>946.26</v>
      </c>
      <c r="E10577">
        <v>264.18</v>
      </c>
      <c r="F10577" t="s">
        <v>7</v>
      </c>
      <c r="G10577" t="s">
        <v>11</v>
      </c>
      <c r="H10577" s="5">
        <f>MONTH(Tabela1[[#This Row],[data]])</f>
        <v>3</v>
      </c>
      <c r="I10577">
        <f>YEAR(Tabela1[[#This Row],[data]])</f>
        <v>2026</v>
      </c>
    </row>
    <row r="10578" spans="1:9" x14ac:dyDescent="0.25">
      <c r="A10578" t="s">
        <v>6</v>
      </c>
      <c r="B10578" s="1">
        <v>46098</v>
      </c>
      <c r="C10578">
        <v>17</v>
      </c>
      <c r="D10578">
        <v>951.3</v>
      </c>
      <c r="E10578">
        <v>262.08</v>
      </c>
      <c r="F10578" t="s">
        <v>7</v>
      </c>
      <c r="G10578" t="s">
        <v>11</v>
      </c>
      <c r="H10578" s="5">
        <f>MONTH(Tabela1[[#This Row],[data]])</f>
        <v>3</v>
      </c>
      <c r="I10578">
        <f>YEAR(Tabela1[[#This Row],[data]])</f>
        <v>2026</v>
      </c>
    </row>
    <row r="10579" spans="1:9" x14ac:dyDescent="0.25">
      <c r="A10579" t="s">
        <v>6</v>
      </c>
      <c r="B10579" s="1">
        <v>46098</v>
      </c>
      <c r="C10579">
        <v>18</v>
      </c>
      <c r="D10579">
        <v>904.68</v>
      </c>
      <c r="E10579">
        <v>234.78</v>
      </c>
      <c r="F10579" t="s">
        <v>7</v>
      </c>
      <c r="G10579" t="s">
        <v>11</v>
      </c>
      <c r="H10579" s="5">
        <f>MONTH(Tabela1[[#This Row],[data]])</f>
        <v>3</v>
      </c>
      <c r="I10579">
        <f>YEAR(Tabela1[[#This Row],[data]])</f>
        <v>2026</v>
      </c>
    </row>
    <row r="10580" spans="1:9" x14ac:dyDescent="0.25">
      <c r="A10580" t="s">
        <v>6</v>
      </c>
      <c r="B10580" s="1">
        <v>46098</v>
      </c>
      <c r="C10580">
        <v>19</v>
      </c>
      <c r="D10580">
        <v>830.76</v>
      </c>
      <c r="E10580">
        <v>179.34</v>
      </c>
      <c r="F10580" t="s">
        <v>7</v>
      </c>
      <c r="G10580" t="s">
        <v>11</v>
      </c>
      <c r="H10580" s="5">
        <f>MONTH(Tabela1[[#This Row],[data]])</f>
        <v>3</v>
      </c>
      <c r="I10580">
        <f>YEAR(Tabela1[[#This Row],[data]])</f>
        <v>2026</v>
      </c>
    </row>
    <row r="10581" spans="1:9" x14ac:dyDescent="0.25">
      <c r="A10581" t="s">
        <v>6</v>
      </c>
      <c r="B10581" s="1">
        <v>46098</v>
      </c>
      <c r="C10581">
        <v>20</v>
      </c>
      <c r="D10581">
        <v>815.64</v>
      </c>
      <c r="E10581">
        <v>197.4</v>
      </c>
      <c r="F10581" t="s">
        <v>7</v>
      </c>
      <c r="G10581" t="s">
        <v>11</v>
      </c>
      <c r="H10581" s="5">
        <f>MONTH(Tabela1[[#This Row],[data]])</f>
        <v>3</v>
      </c>
      <c r="I10581">
        <f>YEAR(Tabela1[[#This Row],[data]])</f>
        <v>2026</v>
      </c>
    </row>
    <row r="10582" spans="1:9" x14ac:dyDescent="0.25">
      <c r="A10582" t="s">
        <v>6</v>
      </c>
      <c r="B10582" s="1">
        <v>46098</v>
      </c>
      <c r="C10582">
        <v>21</v>
      </c>
      <c r="D10582">
        <v>790.86</v>
      </c>
      <c r="E10582">
        <v>174.3</v>
      </c>
      <c r="F10582" t="s">
        <v>7</v>
      </c>
      <c r="G10582" t="s">
        <v>11</v>
      </c>
      <c r="H10582" s="5">
        <f>MONTH(Tabela1[[#This Row],[data]])</f>
        <v>3</v>
      </c>
      <c r="I10582">
        <f>YEAR(Tabela1[[#This Row],[data]])</f>
        <v>2026</v>
      </c>
    </row>
    <row r="10583" spans="1:9" x14ac:dyDescent="0.25">
      <c r="A10583" t="s">
        <v>6</v>
      </c>
      <c r="B10583" s="1">
        <v>46098</v>
      </c>
      <c r="C10583">
        <v>22</v>
      </c>
      <c r="D10583">
        <v>728.7</v>
      </c>
      <c r="E10583">
        <v>144.47999999999999</v>
      </c>
      <c r="F10583" t="s">
        <v>7</v>
      </c>
      <c r="G10583" t="s">
        <v>11</v>
      </c>
      <c r="H10583" s="5">
        <f>MONTH(Tabela1[[#This Row],[data]])</f>
        <v>3</v>
      </c>
      <c r="I10583">
        <f>YEAR(Tabela1[[#This Row],[data]])</f>
        <v>2026</v>
      </c>
    </row>
    <row r="10584" spans="1:9" x14ac:dyDescent="0.25">
      <c r="A10584" t="s">
        <v>6</v>
      </c>
      <c r="B10584" s="1">
        <v>46098</v>
      </c>
      <c r="C10584">
        <v>23</v>
      </c>
      <c r="D10584">
        <v>341.88</v>
      </c>
      <c r="E10584">
        <v>3.36</v>
      </c>
      <c r="F10584" t="s">
        <v>7</v>
      </c>
      <c r="G10584" t="s">
        <v>11</v>
      </c>
      <c r="H10584" s="5">
        <f>MONTH(Tabela1[[#This Row],[data]])</f>
        <v>3</v>
      </c>
      <c r="I10584">
        <f>YEAR(Tabela1[[#This Row],[data]])</f>
        <v>2026</v>
      </c>
    </row>
    <row r="10585" spans="1:9" x14ac:dyDescent="0.25">
      <c r="A10585" t="s">
        <v>6</v>
      </c>
      <c r="B10585" s="1">
        <v>46098</v>
      </c>
      <c r="C10585">
        <v>24</v>
      </c>
      <c r="D10585">
        <v>243.18</v>
      </c>
      <c r="E10585">
        <v>0</v>
      </c>
      <c r="F10585" t="s">
        <v>7</v>
      </c>
      <c r="G10585" t="s">
        <v>11</v>
      </c>
      <c r="H10585" s="5">
        <f>MONTH(Tabela1[[#This Row],[data]])</f>
        <v>3</v>
      </c>
      <c r="I10585">
        <f>YEAR(Tabela1[[#This Row],[data]])</f>
        <v>2026</v>
      </c>
    </row>
    <row r="10586" spans="1:9" x14ac:dyDescent="0.25">
      <c r="A10586" t="s">
        <v>6</v>
      </c>
      <c r="B10586" s="1">
        <v>46099</v>
      </c>
      <c r="C10586">
        <v>1</v>
      </c>
      <c r="D10586">
        <v>220.08</v>
      </c>
      <c r="E10586">
        <v>0</v>
      </c>
      <c r="F10586" t="s">
        <v>7</v>
      </c>
      <c r="G10586" t="s">
        <v>11</v>
      </c>
      <c r="H10586" s="5">
        <f>MONTH(Tabela1[[#This Row],[data]])</f>
        <v>3</v>
      </c>
      <c r="I10586">
        <f>YEAR(Tabela1[[#This Row],[data]])</f>
        <v>2026</v>
      </c>
    </row>
    <row r="10587" spans="1:9" x14ac:dyDescent="0.25">
      <c r="A10587" t="s">
        <v>6</v>
      </c>
      <c r="B10587" s="1">
        <v>46099</v>
      </c>
      <c r="C10587">
        <v>2</v>
      </c>
      <c r="D10587">
        <v>216.72</v>
      </c>
      <c r="E10587">
        <v>0</v>
      </c>
      <c r="F10587" t="s">
        <v>7</v>
      </c>
      <c r="G10587" t="s">
        <v>11</v>
      </c>
      <c r="H10587" s="5">
        <f>MONTH(Tabela1[[#This Row],[data]])</f>
        <v>3</v>
      </c>
      <c r="I10587">
        <f>YEAR(Tabela1[[#This Row],[data]])</f>
        <v>2026</v>
      </c>
    </row>
    <row r="10588" spans="1:9" x14ac:dyDescent="0.25">
      <c r="A10588" t="s">
        <v>6</v>
      </c>
      <c r="B10588" s="1">
        <v>46099</v>
      </c>
      <c r="C10588">
        <v>3</v>
      </c>
      <c r="D10588">
        <v>217.14</v>
      </c>
      <c r="E10588">
        <v>0</v>
      </c>
      <c r="F10588" t="s">
        <v>7</v>
      </c>
      <c r="G10588" t="s">
        <v>11</v>
      </c>
      <c r="H10588" s="5">
        <f>MONTH(Tabela1[[#This Row],[data]])</f>
        <v>3</v>
      </c>
      <c r="I10588">
        <f>YEAR(Tabela1[[#This Row],[data]])</f>
        <v>2026</v>
      </c>
    </row>
    <row r="10589" spans="1:9" x14ac:dyDescent="0.25">
      <c r="A10589" t="s">
        <v>6</v>
      </c>
      <c r="B10589" s="1">
        <v>46099</v>
      </c>
      <c r="C10589">
        <v>4</v>
      </c>
      <c r="D10589">
        <v>213.36</v>
      </c>
      <c r="E10589">
        <v>0</v>
      </c>
      <c r="F10589" t="s">
        <v>7</v>
      </c>
      <c r="G10589" t="s">
        <v>11</v>
      </c>
      <c r="H10589" s="5">
        <f>MONTH(Tabela1[[#This Row],[data]])</f>
        <v>3</v>
      </c>
      <c r="I10589">
        <f>YEAR(Tabela1[[#This Row],[data]])</f>
        <v>2026</v>
      </c>
    </row>
    <row r="10590" spans="1:9" x14ac:dyDescent="0.25">
      <c r="A10590" t="s">
        <v>6</v>
      </c>
      <c r="B10590" s="1">
        <v>46099</v>
      </c>
      <c r="C10590">
        <v>5</v>
      </c>
      <c r="D10590">
        <v>220.92</v>
      </c>
      <c r="E10590">
        <v>0</v>
      </c>
      <c r="F10590" t="s">
        <v>7</v>
      </c>
      <c r="G10590" t="s">
        <v>11</v>
      </c>
      <c r="H10590" s="5">
        <f>MONTH(Tabela1[[#This Row],[data]])</f>
        <v>3</v>
      </c>
      <c r="I10590">
        <f>YEAR(Tabela1[[#This Row],[data]])</f>
        <v>2026</v>
      </c>
    </row>
    <row r="10591" spans="1:9" x14ac:dyDescent="0.25">
      <c r="A10591" t="s">
        <v>6</v>
      </c>
      <c r="B10591" s="1">
        <v>46099</v>
      </c>
      <c r="C10591">
        <v>6</v>
      </c>
      <c r="D10591">
        <v>217.56</v>
      </c>
      <c r="E10591">
        <v>0</v>
      </c>
      <c r="F10591" t="s">
        <v>7</v>
      </c>
      <c r="G10591" t="s">
        <v>11</v>
      </c>
      <c r="H10591" s="5">
        <f>MONTH(Tabela1[[#This Row],[data]])</f>
        <v>3</v>
      </c>
      <c r="I10591">
        <f>YEAR(Tabela1[[#This Row],[data]])</f>
        <v>2026</v>
      </c>
    </row>
    <row r="10592" spans="1:9" x14ac:dyDescent="0.25">
      <c r="A10592" t="s">
        <v>6</v>
      </c>
      <c r="B10592" s="1">
        <v>46099</v>
      </c>
      <c r="C10592">
        <v>7</v>
      </c>
      <c r="D10592">
        <v>211.26</v>
      </c>
      <c r="E10592">
        <v>0</v>
      </c>
      <c r="F10592" t="s">
        <v>7</v>
      </c>
      <c r="G10592" t="s">
        <v>11</v>
      </c>
      <c r="H10592" s="5">
        <f>MONTH(Tabela1[[#This Row],[data]])</f>
        <v>3</v>
      </c>
      <c r="I10592">
        <f>YEAR(Tabela1[[#This Row],[data]])</f>
        <v>2026</v>
      </c>
    </row>
    <row r="10593" spans="1:9" x14ac:dyDescent="0.25">
      <c r="A10593" t="s">
        <v>6</v>
      </c>
      <c r="B10593" s="1">
        <v>46099</v>
      </c>
      <c r="C10593">
        <v>8</v>
      </c>
      <c r="D10593">
        <v>224.28</v>
      </c>
      <c r="E10593">
        <v>0</v>
      </c>
      <c r="F10593" t="s">
        <v>7</v>
      </c>
      <c r="G10593" t="s">
        <v>11</v>
      </c>
      <c r="H10593" s="5">
        <f>MONTH(Tabela1[[#This Row],[data]])</f>
        <v>3</v>
      </c>
      <c r="I10593">
        <f>YEAR(Tabela1[[#This Row],[data]])</f>
        <v>2026</v>
      </c>
    </row>
    <row r="10594" spans="1:9" x14ac:dyDescent="0.25">
      <c r="A10594" t="s">
        <v>6</v>
      </c>
      <c r="B10594" s="1">
        <v>46099</v>
      </c>
      <c r="C10594">
        <v>9</v>
      </c>
      <c r="D10594">
        <v>318.77999999999997</v>
      </c>
      <c r="E10594">
        <v>0</v>
      </c>
      <c r="F10594" t="s">
        <v>7</v>
      </c>
      <c r="G10594" t="s">
        <v>11</v>
      </c>
      <c r="H10594" s="5">
        <f>MONTH(Tabela1[[#This Row],[data]])</f>
        <v>3</v>
      </c>
      <c r="I10594">
        <f>YEAR(Tabela1[[#This Row],[data]])</f>
        <v>2026</v>
      </c>
    </row>
    <row r="10595" spans="1:9" x14ac:dyDescent="0.25">
      <c r="A10595" t="s">
        <v>6</v>
      </c>
      <c r="B10595" s="1">
        <v>46099</v>
      </c>
      <c r="C10595">
        <v>10</v>
      </c>
      <c r="D10595">
        <v>469.98</v>
      </c>
      <c r="E10595">
        <v>39.9</v>
      </c>
      <c r="F10595" t="s">
        <v>7</v>
      </c>
      <c r="G10595" t="s">
        <v>11</v>
      </c>
      <c r="H10595" s="5">
        <f>MONTH(Tabela1[[#This Row],[data]])</f>
        <v>3</v>
      </c>
      <c r="I10595">
        <f>YEAR(Tabela1[[#This Row],[data]])</f>
        <v>2026</v>
      </c>
    </row>
    <row r="10596" spans="1:9" x14ac:dyDescent="0.25">
      <c r="A10596" t="s">
        <v>6</v>
      </c>
      <c r="B10596" s="1">
        <v>46099</v>
      </c>
      <c r="C10596">
        <v>11</v>
      </c>
      <c r="D10596">
        <v>906.36</v>
      </c>
      <c r="E10596">
        <v>226.38</v>
      </c>
      <c r="F10596" t="s">
        <v>7</v>
      </c>
      <c r="G10596" t="s">
        <v>11</v>
      </c>
      <c r="H10596" s="5">
        <f>MONTH(Tabela1[[#This Row],[data]])</f>
        <v>3</v>
      </c>
      <c r="I10596">
        <f>YEAR(Tabela1[[#This Row],[data]])</f>
        <v>2026</v>
      </c>
    </row>
    <row r="10597" spans="1:9" x14ac:dyDescent="0.25">
      <c r="A10597" t="s">
        <v>6</v>
      </c>
      <c r="B10597" s="1">
        <v>46099</v>
      </c>
      <c r="C10597">
        <v>12</v>
      </c>
      <c r="D10597">
        <v>882.84</v>
      </c>
      <c r="E10597">
        <v>217.14</v>
      </c>
      <c r="F10597" t="s">
        <v>7</v>
      </c>
      <c r="G10597" t="s">
        <v>11</v>
      </c>
      <c r="H10597" s="5">
        <f>MONTH(Tabela1[[#This Row],[data]])</f>
        <v>3</v>
      </c>
      <c r="I10597">
        <f>YEAR(Tabela1[[#This Row],[data]])</f>
        <v>2026</v>
      </c>
    </row>
    <row r="10598" spans="1:9" x14ac:dyDescent="0.25">
      <c r="A10598" t="s">
        <v>6</v>
      </c>
      <c r="B10598" s="1">
        <v>46099</v>
      </c>
      <c r="C10598">
        <v>13</v>
      </c>
      <c r="D10598">
        <v>939.96</v>
      </c>
      <c r="E10598">
        <v>245.7</v>
      </c>
      <c r="F10598" t="s">
        <v>7</v>
      </c>
      <c r="G10598" t="s">
        <v>11</v>
      </c>
      <c r="H10598" s="5">
        <f>MONTH(Tabela1[[#This Row],[data]])</f>
        <v>3</v>
      </c>
      <c r="I10598">
        <f>YEAR(Tabela1[[#This Row],[data]])</f>
        <v>2026</v>
      </c>
    </row>
    <row r="10599" spans="1:9" x14ac:dyDescent="0.25">
      <c r="A10599" t="s">
        <v>6</v>
      </c>
      <c r="B10599" s="1">
        <v>46099</v>
      </c>
      <c r="C10599">
        <v>14</v>
      </c>
      <c r="D10599">
        <v>926.1</v>
      </c>
      <c r="E10599">
        <v>236.04</v>
      </c>
      <c r="F10599" t="s">
        <v>7</v>
      </c>
      <c r="G10599" t="s">
        <v>11</v>
      </c>
      <c r="H10599" s="5">
        <f>MONTH(Tabela1[[#This Row],[data]])</f>
        <v>3</v>
      </c>
      <c r="I10599">
        <f>YEAR(Tabela1[[#This Row],[data]])</f>
        <v>2026</v>
      </c>
    </row>
    <row r="10600" spans="1:9" x14ac:dyDescent="0.25">
      <c r="A10600" t="s">
        <v>6</v>
      </c>
      <c r="B10600" s="1">
        <v>46099</v>
      </c>
      <c r="C10600">
        <v>15</v>
      </c>
      <c r="D10600">
        <v>942.06</v>
      </c>
      <c r="E10600">
        <v>231</v>
      </c>
      <c r="F10600" t="s">
        <v>7</v>
      </c>
      <c r="G10600" t="s">
        <v>11</v>
      </c>
      <c r="H10600" s="5">
        <f>MONTH(Tabela1[[#This Row],[data]])</f>
        <v>3</v>
      </c>
      <c r="I10600">
        <f>YEAR(Tabela1[[#This Row],[data]])</f>
        <v>2026</v>
      </c>
    </row>
    <row r="10601" spans="1:9" x14ac:dyDescent="0.25">
      <c r="A10601" t="s">
        <v>6</v>
      </c>
      <c r="B10601" s="1">
        <v>46099</v>
      </c>
      <c r="C10601">
        <v>16</v>
      </c>
      <c r="D10601">
        <v>955.08</v>
      </c>
      <c r="E10601">
        <v>235.62</v>
      </c>
      <c r="F10601" t="s">
        <v>7</v>
      </c>
      <c r="G10601" t="s">
        <v>11</v>
      </c>
      <c r="H10601" s="5">
        <f>MONTH(Tabela1[[#This Row],[data]])</f>
        <v>3</v>
      </c>
      <c r="I10601">
        <f>YEAR(Tabela1[[#This Row],[data]])</f>
        <v>2026</v>
      </c>
    </row>
    <row r="10602" spans="1:9" x14ac:dyDescent="0.25">
      <c r="A10602" t="s">
        <v>6</v>
      </c>
      <c r="B10602" s="1">
        <v>46099</v>
      </c>
      <c r="C10602">
        <v>17</v>
      </c>
      <c r="D10602">
        <v>920.22</v>
      </c>
      <c r="E10602">
        <v>238.98</v>
      </c>
      <c r="F10602" t="s">
        <v>7</v>
      </c>
      <c r="G10602" t="s">
        <v>11</v>
      </c>
      <c r="H10602" s="5">
        <f>MONTH(Tabela1[[#This Row],[data]])</f>
        <v>3</v>
      </c>
      <c r="I10602">
        <f>YEAR(Tabela1[[#This Row],[data]])</f>
        <v>2026</v>
      </c>
    </row>
    <row r="10603" spans="1:9" x14ac:dyDescent="0.25">
      <c r="A10603" t="s">
        <v>6</v>
      </c>
      <c r="B10603" s="1">
        <v>46099</v>
      </c>
      <c r="C10603">
        <v>18</v>
      </c>
      <c r="D10603">
        <v>878.22</v>
      </c>
      <c r="E10603">
        <v>214.2</v>
      </c>
      <c r="F10603" t="s">
        <v>7</v>
      </c>
      <c r="G10603" t="s">
        <v>11</v>
      </c>
      <c r="H10603" s="5">
        <f>MONTH(Tabela1[[#This Row],[data]])</f>
        <v>3</v>
      </c>
      <c r="I10603">
        <f>YEAR(Tabela1[[#This Row],[data]])</f>
        <v>2026</v>
      </c>
    </row>
    <row r="10604" spans="1:9" x14ac:dyDescent="0.25">
      <c r="A10604" t="s">
        <v>6</v>
      </c>
      <c r="B10604" s="1">
        <v>46099</v>
      </c>
      <c r="C10604">
        <v>19</v>
      </c>
      <c r="D10604">
        <v>821.52</v>
      </c>
      <c r="E10604">
        <v>174.3</v>
      </c>
      <c r="F10604" t="s">
        <v>7</v>
      </c>
      <c r="G10604" t="s">
        <v>11</v>
      </c>
      <c r="H10604" s="5">
        <f>MONTH(Tabela1[[#This Row],[data]])</f>
        <v>3</v>
      </c>
      <c r="I10604">
        <f>YEAR(Tabela1[[#This Row],[data]])</f>
        <v>2026</v>
      </c>
    </row>
    <row r="10605" spans="1:9" x14ac:dyDescent="0.25">
      <c r="A10605" t="s">
        <v>6</v>
      </c>
      <c r="B10605" s="1">
        <v>46099</v>
      </c>
      <c r="C10605">
        <v>20</v>
      </c>
      <c r="D10605">
        <v>826.14</v>
      </c>
      <c r="E10605">
        <v>186.9</v>
      </c>
      <c r="F10605" t="s">
        <v>7</v>
      </c>
      <c r="G10605" t="s">
        <v>11</v>
      </c>
      <c r="H10605" s="5">
        <f>MONTH(Tabela1[[#This Row],[data]])</f>
        <v>3</v>
      </c>
      <c r="I10605">
        <f>YEAR(Tabela1[[#This Row],[data]])</f>
        <v>2026</v>
      </c>
    </row>
    <row r="10606" spans="1:9" x14ac:dyDescent="0.25">
      <c r="A10606" t="s">
        <v>6</v>
      </c>
      <c r="B10606" s="1">
        <v>46099</v>
      </c>
      <c r="C10606">
        <v>21</v>
      </c>
      <c r="D10606">
        <v>806.82</v>
      </c>
      <c r="E10606">
        <v>199.5</v>
      </c>
      <c r="F10606" t="s">
        <v>7</v>
      </c>
      <c r="G10606" t="s">
        <v>11</v>
      </c>
      <c r="H10606" s="5">
        <f>MONTH(Tabela1[[#This Row],[data]])</f>
        <v>3</v>
      </c>
      <c r="I10606">
        <f>YEAR(Tabela1[[#This Row],[data]])</f>
        <v>2026</v>
      </c>
    </row>
    <row r="10607" spans="1:9" x14ac:dyDescent="0.25">
      <c r="A10607" t="s">
        <v>6</v>
      </c>
      <c r="B10607" s="1">
        <v>46099</v>
      </c>
      <c r="C10607">
        <v>22</v>
      </c>
      <c r="D10607">
        <v>764.82</v>
      </c>
      <c r="E10607">
        <v>160.02000000000001</v>
      </c>
      <c r="F10607" t="s">
        <v>7</v>
      </c>
      <c r="G10607" t="s">
        <v>11</v>
      </c>
      <c r="H10607" s="5">
        <f>MONTH(Tabela1[[#This Row],[data]])</f>
        <v>3</v>
      </c>
      <c r="I10607">
        <f>YEAR(Tabela1[[#This Row],[data]])</f>
        <v>2026</v>
      </c>
    </row>
    <row r="10608" spans="1:9" x14ac:dyDescent="0.25">
      <c r="A10608" t="s">
        <v>6</v>
      </c>
      <c r="B10608" s="1">
        <v>46099</v>
      </c>
      <c r="C10608">
        <v>23</v>
      </c>
      <c r="D10608">
        <v>454.86</v>
      </c>
      <c r="E10608">
        <v>57.54</v>
      </c>
      <c r="F10608" t="s">
        <v>7</v>
      </c>
      <c r="G10608" t="s">
        <v>11</v>
      </c>
      <c r="H10608" s="5">
        <f>MONTH(Tabela1[[#This Row],[data]])</f>
        <v>3</v>
      </c>
      <c r="I10608">
        <f>YEAR(Tabela1[[#This Row],[data]])</f>
        <v>2026</v>
      </c>
    </row>
    <row r="10609" spans="1:9" x14ac:dyDescent="0.25">
      <c r="A10609" t="s">
        <v>6</v>
      </c>
      <c r="B10609" s="1">
        <v>46099</v>
      </c>
      <c r="C10609">
        <v>24</v>
      </c>
      <c r="D10609">
        <v>334.74</v>
      </c>
      <c r="E10609">
        <v>0</v>
      </c>
      <c r="F10609" t="s">
        <v>7</v>
      </c>
      <c r="G10609" t="s">
        <v>11</v>
      </c>
      <c r="H10609" s="5">
        <f>MONTH(Tabela1[[#This Row],[data]])</f>
        <v>3</v>
      </c>
      <c r="I10609">
        <f>YEAR(Tabela1[[#This Row],[data]])</f>
        <v>2026</v>
      </c>
    </row>
    <row r="10610" spans="1:9" x14ac:dyDescent="0.25">
      <c r="A10610" t="s">
        <v>6</v>
      </c>
      <c r="B10610" s="1">
        <v>46100</v>
      </c>
      <c r="C10610">
        <v>1</v>
      </c>
      <c r="D10610">
        <v>232.68</v>
      </c>
      <c r="E10610">
        <v>0</v>
      </c>
      <c r="F10610" t="s">
        <v>7</v>
      </c>
      <c r="G10610" t="s">
        <v>11</v>
      </c>
      <c r="H10610" s="5">
        <f>MONTH(Tabela1[[#This Row],[data]])</f>
        <v>3</v>
      </c>
      <c r="I10610">
        <f>YEAR(Tabela1[[#This Row],[data]])</f>
        <v>2026</v>
      </c>
    </row>
    <row r="10611" spans="1:9" x14ac:dyDescent="0.25">
      <c r="A10611" t="s">
        <v>6</v>
      </c>
      <c r="B10611" s="1">
        <v>46100</v>
      </c>
      <c r="C10611">
        <v>2</v>
      </c>
      <c r="D10611">
        <v>224.7</v>
      </c>
      <c r="E10611">
        <v>0</v>
      </c>
      <c r="F10611" t="s">
        <v>7</v>
      </c>
      <c r="G10611" t="s">
        <v>11</v>
      </c>
      <c r="H10611" s="5">
        <f>MONTH(Tabela1[[#This Row],[data]])</f>
        <v>3</v>
      </c>
      <c r="I10611">
        <f>YEAR(Tabela1[[#This Row],[data]])</f>
        <v>2026</v>
      </c>
    </row>
    <row r="10612" spans="1:9" x14ac:dyDescent="0.25">
      <c r="A10612" t="s">
        <v>6</v>
      </c>
      <c r="B10612" s="1">
        <v>46100</v>
      </c>
      <c r="C10612">
        <v>3</v>
      </c>
      <c r="D10612">
        <v>223.86</v>
      </c>
      <c r="E10612">
        <v>0</v>
      </c>
      <c r="F10612" t="s">
        <v>7</v>
      </c>
      <c r="G10612" t="s">
        <v>11</v>
      </c>
      <c r="H10612" s="5">
        <f>MONTH(Tabela1[[#This Row],[data]])</f>
        <v>3</v>
      </c>
      <c r="I10612">
        <f>YEAR(Tabela1[[#This Row],[data]])</f>
        <v>2026</v>
      </c>
    </row>
    <row r="10613" spans="1:9" x14ac:dyDescent="0.25">
      <c r="A10613" t="s">
        <v>6</v>
      </c>
      <c r="B10613" s="1">
        <v>46100</v>
      </c>
      <c r="C10613">
        <v>4</v>
      </c>
      <c r="D10613">
        <v>221.76</v>
      </c>
      <c r="E10613">
        <v>0</v>
      </c>
      <c r="F10613" t="s">
        <v>7</v>
      </c>
      <c r="G10613" t="s">
        <v>11</v>
      </c>
      <c r="H10613" s="5">
        <f>MONTH(Tabela1[[#This Row],[data]])</f>
        <v>3</v>
      </c>
      <c r="I10613">
        <f>YEAR(Tabela1[[#This Row],[data]])</f>
        <v>2026</v>
      </c>
    </row>
    <row r="10614" spans="1:9" x14ac:dyDescent="0.25">
      <c r="A10614" t="s">
        <v>6</v>
      </c>
      <c r="B10614" s="1">
        <v>46100</v>
      </c>
      <c r="C10614">
        <v>5</v>
      </c>
      <c r="D10614">
        <v>230.16</v>
      </c>
      <c r="E10614">
        <v>0</v>
      </c>
      <c r="F10614" t="s">
        <v>7</v>
      </c>
      <c r="G10614" t="s">
        <v>11</v>
      </c>
      <c r="H10614" s="5">
        <f>MONTH(Tabela1[[#This Row],[data]])</f>
        <v>3</v>
      </c>
      <c r="I10614">
        <f>YEAR(Tabela1[[#This Row],[data]])</f>
        <v>2026</v>
      </c>
    </row>
    <row r="10615" spans="1:9" x14ac:dyDescent="0.25">
      <c r="A10615" t="s">
        <v>6</v>
      </c>
      <c r="B10615" s="1">
        <v>46100</v>
      </c>
      <c r="C10615">
        <v>6</v>
      </c>
      <c r="D10615">
        <v>224.28</v>
      </c>
      <c r="E10615">
        <v>0</v>
      </c>
      <c r="F10615" t="s">
        <v>7</v>
      </c>
      <c r="G10615" t="s">
        <v>11</v>
      </c>
      <c r="H10615" s="5">
        <f>MONTH(Tabela1[[#This Row],[data]])</f>
        <v>3</v>
      </c>
      <c r="I10615">
        <f>YEAR(Tabela1[[#This Row],[data]])</f>
        <v>2026</v>
      </c>
    </row>
    <row r="10616" spans="1:9" x14ac:dyDescent="0.25">
      <c r="A10616" t="s">
        <v>6</v>
      </c>
      <c r="B10616" s="1">
        <v>46100</v>
      </c>
      <c r="C10616">
        <v>7</v>
      </c>
      <c r="D10616">
        <v>230.58</v>
      </c>
      <c r="E10616">
        <v>0</v>
      </c>
      <c r="F10616" t="s">
        <v>7</v>
      </c>
      <c r="G10616" t="s">
        <v>11</v>
      </c>
      <c r="H10616" s="5">
        <f>MONTH(Tabela1[[#This Row],[data]])</f>
        <v>3</v>
      </c>
      <c r="I10616">
        <f>YEAR(Tabela1[[#This Row],[data]])</f>
        <v>2026</v>
      </c>
    </row>
    <row r="10617" spans="1:9" x14ac:dyDescent="0.25">
      <c r="A10617" t="s">
        <v>6</v>
      </c>
      <c r="B10617" s="1">
        <v>46100</v>
      </c>
      <c r="C10617">
        <v>8</v>
      </c>
      <c r="D10617">
        <v>252.84</v>
      </c>
      <c r="E10617">
        <v>0</v>
      </c>
      <c r="F10617" t="s">
        <v>7</v>
      </c>
      <c r="G10617" t="s">
        <v>11</v>
      </c>
      <c r="H10617" s="5">
        <f>MONTH(Tabela1[[#This Row],[data]])</f>
        <v>3</v>
      </c>
      <c r="I10617">
        <f>YEAR(Tabela1[[#This Row],[data]])</f>
        <v>2026</v>
      </c>
    </row>
    <row r="10618" spans="1:9" x14ac:dyDescent="0.25">
      <c r="A10618" t="s">
        <v>6</v>
      </c>
      <c r="B10618" s="1">
        <v>46100</v>
      </c>
      <c r="C10618">
        <v>9</v>
      </c>
      <c r="D10618">
        <v>354.06</v>
      </c>
      <c r="E10618">
        <v>0.42</v>
      </c>
      <c r="F10618" t="s">
        <v>7</v>
      </c>
      <c r="G10618" t="s">
        <v>11</v>
      </c>
      <c r="H10618" s="5">
        <f>MONTH(Tabela1[[#This Row],[data]])</f>
        <v>3</v>
      </c>
      <c r="I10618">
        <f>YEAR(Tabela1[[#This Row],[data]])</f>
        <v>2026</v>
      </c>
    </row>
    <row r="10619" spans="1:9" x14ac:dyDescent="0.25">
      <c r="A10619" t="s">
        <v>6</v>
      </c>
      <c r="B10619" s="1">
        <v>46100</v>
      </c>
      <c r="C10619">
        <v>10</v>
      </c>
      <c r="D10619">
        <v>467.46</v>
      </c>
      <c r="E10619">
        <v>49.98</v>
      </c>
      <c r="F10619" t="s">
        <v>7</v>
      </c>
      <c r="G10619" t="s">
        <v>11</v>
      </c>
      <c r="H10619" s="5">
        <f>MONTH(Tabela1[[#This Row],[data]])</f>
        <v>3</v>
      </c>
      <c r="I10619">
        <f>YEAR(Tabela1[[#This Row],[data]])</f>
        <v>2026</v>
      </c>
    </row>
    <row r="10620" spans="1:9" x14ac:dyDescent="0.25">
      <c r="A10620" t="s">
        <v>6</v>
      </c>
      <c r="B10620" s="1">
        <v>46100</v>
      </c>
      <c r="C10620">
        <v>11</v>
      </c>
      <c r="D10620">
        <v>901.32</v>
      </c>
      <c r="E10620">
        <v>233.94</v>
      </c>
      <c r="F10620" t="s">
        <v>7</v>
      </c>
      <c r="G10620" t="s">
        <v>11</v>
      </c>
      <c r="H10620" s="5">
        <f>MONTH(Tabela1[[#This Row],[data]])</f>
        <v>3</v>
      </c>
      <c r="I10620">
        <f>YEAR(Tabela1[[#This Row],[data]])</f>
        <v>2026</v>
      </c>
    </row>
    <row r="10621" spans="1:9" x14ac:dyDescent="0.25">
      <c r="A10621" t="s">
        <v>6</v>
      </c>
      <c r="B10621" s="1">
        <v>46100</v>
      </c>
      <c r="C10621">
        <v>12</v>
      </c>
      <c r="D10621">
        <v>929.88</v>
      </c>
      <c r="E10621">
        <v>270.89999999999998</v>
      </c>
      <c r="F10621" t="s">
        <v>7</v>
      </c>
      <c r="G10621" t="s">
        <v>11</v>
      </c>
      <c r="H10621" s="5">
        <f>MONTH(Tabela1[[#This Row],[data]])</f>
        <v>3</v>
      </c>
      <c r="I10621">
        <f>YEAR(Tabela1[[#This Row],[data]])</f>
        <v>2026</v>
      </c>
    </row>
    <row r="10622" spans="1:9" x14ac:dyDescent="0.25">
      <c r="A10622" t="s">
        <v>6</v>
      </c>
      <c r="B10622" s="1">
        <v>46100</v>
      </c>
      <c r="C10622">
        <v>13</v>
      </c>
      <c r="D10622">
        <v>913.08</v>
      </c>
      <c r="E10622">
        <v>232.26</v>
      </c>
      <c r="F10622" t="s">
        <v>7</v>
      </c>
      <c r="G10622" t="s">
        <v>11</v>
      </c>
      <c r="H10622" s="5">
        <f>MONTH(Tabela1[[#This Row],[data]])</f>
        <v>3</v>
      </c>
      <c r="I10622">
        <f>YEAR(Tabela1[[#This Row],[data]])</f>
        <v>2026</v>
      </c>
    </row>
    <row r="10623" spans="1:9" x14ac:dyDescent="0.25">
      <c r="A10623" t="s">
        <v>6</v>
      </c>
      <c r="B10623" s="1">
        <v>46100</v>
      </c>
      <c r="C10623">
        <v>14</v>
      </c>
      <c r="D10623">
        <v>929.88</v>
      </c>
      <c r="E10623">
        <v>245.28</v>
      </c>
      <c r="F10623" t="s">
        <v>7</v>
      </c>
      <c r="G10623" t="s">
        <v>11</v>
      </c>
      <c r="H10623" s="5">
        <f>MONTH(Tabela1[[#This Row],[data]])</f>
        <v>3</v>
      </c>
      <c r="I10623">
        <f>YEAR(Tabela1[[#This Row],[data]])</f>
        <v>2026</v>
      </c>
    </row>
    <row r="10624" spans="1:9" x14ac:dyDescent="0.25">
      <c r="A10624" t="s">
        <v>6</v>
      </c>
      <c r="B10624" s="1">
        <v>46100</v>
      </c>
      <c r="C10624">
        <v>15</v>
      </c>
      <c r="D10624">
        <v>232.26</v>
      </c>
      <c r="E10624">
        <v>62.58</v>
      </c>
      <c r="F10624" t="s">
        <v>7</v>
      </c>
      <c r="G10624" t="s">
        <v>11</v>
      </c>
      <c r="H10624" s="5">
        <f>MONTH(Tabela1[[#This Row],[data]])</f>
        <v>3</v>
      </c>
      <c r="I10624">
        <f>YEAR(Tabela1[[#This Row],[data]])</f>
        <v>2026</v>
      </c>
    </row>
    <row r="10625" spans="1:9" x14ac:dyDescent="0.25">
      <c r="A10625" t="s">
        <v>6</v>
      </c>
      <c r="B10625" s="1">
        <v>46100</v>
      </c>
      <c r="C10625">
        <v>16</v>
      </c>
      <c r="D10625">
        <v>0</v>
      </c>
      <c r="E10625">
        <v>0</v>
      </c>
      <c r="F10625" t="s">
        <v>7</v>
      </c>
      <c r="G10625" t="s">
        <v>11</v>
      </c>
      <c r="H10625" s="5">
        <f>MONTH(Tabela1[[#This Row],[data]])</f>
        <v>3</v>
      </c>
      <c r="I10625">
        <f>YEAR(Tabela1[[#This Row],[data]])</f>
        <v>2026</v>
      </c>
    </row>
    <row r="10626" spans="1:9" x14ac:dyDescent="0.25">
      <c r="A10626" t="s">
        <v>6</v>
      </c>
      <c r="B10626" s="1">
        <v>46100</v>
      </c>
      <c r="C10626">
        <v>17</v>
      </c>
      <c r="D10626">
        <v>288.95999999999998</v>
      </c>
      <c r="E10626">
        <v>32.76</v>
      </c>
      <c r="F10626" t="s">
        <v>7</v>
      </c>
      <c r="G10626" t="s">
        <v>11</v>
      </c>
      <c r="H10626" s="5">
        <f>MONTH(Tabela1[[#This Row],[data]])</f>
        <v>3</v>
      </c>
      <c r="I10626">
        <f>YEAR(Tabela1[[#This Row],[data]])</f>
        <v>2026</v>
      </c>
    </row>
    <row r="10627" spans="1:9" x14ac:dyDescent="0.25">
      <c r="A10627" t="s">
        <v>6</v>
      </c>
      <c r="B10627" s="1">
        <v>46100</v>
      </c>
      <c r="C10627">
        <v>18</v>
      </c>
      <c r="D10627">
        <v>674.52</v>
      </c>
      <c r="E10627">
        <v>102.06</v>
      </c>
      <c r="F10627" t="s">
        <v>7</v>
      </c>
      <c r="G10627" t="s">
        <v>11</v>
      </c>
      <c r="H10627" s="5">
        <f>MONTH(Tabela1[[#This Row],[data]])</f>
        <v>3</v>
      </c>
      <c r="I10627">
        <f>YEAR(Tabela1[[#This Row],[data]])</f>
        <v>2026</v>
      </c>
    </row>
    <row r="10628" spans="1:9" x14ac:dyDescent="0.25">
      <c r="A10628" t="s">
        <v>6</v>
      </c>
      <c r="B10628" s="1">
        <v>46100</v>
      </c>
      <c r="C10628">
        <v>19</v>
      </c>
      <c r="D10628">
        <v>816.48</v>
      </c>
      <c r="E10628">
        <v>172.2</v>
      </c>
      <c r="F10628" t="s">
        <v>7</v>
      </c>
      <c r="G10628" t="s">
        <v>11</v>
      </c>
      <c r="H10628" s="5">
        <f>MONTH(Tabela1[[#This Row],[data]])</f>
        <v>3</v>
      </c>
      <c r="I10628">
        <f>YEAR(Tabela1[[#This Row],[data]])</f>
        <v>2026</v>
      </c>
    </row>
    <row r="10629" spans="1:9" x14ac:dyDescent="0.25">
      <c r="A10629" t="s">
        <v>6</v>
      </c>
      <c r="B10629" s="1">
        <v>46100</v>
      </c>
      <c r="C10629">
        <v>20</v>
      </c>
      <c r="D10629">
        <v>786.24</v>
      </c>
      <c r="E10629">
        <v>174.3</v>
      </c>
      <c r="F10629" t="s">
        <v>7</v>
      </c>
      <c r="G10629" t="s">
        <v>11</v>
      </c>
      <c r="H10629" s="5">
        <f>MONTH(Tabela1[[#This Row],[data]])</f>
        <v>3</v>
      </c>
      <c r="I10629">
        <f>YEAR(Tabela1[[#This Row],[data]])</f>
        <v>2026</v>
      </c>
    </row>
    <row r="10630" spans="1:9" x14ac:dyDescent="0.25">
      <c r="A10630" t="s">
        <v>6</v>
      </c>
      <c r="B10630" s="1">
        <v>46100</v>
      </c>
      <c r="C10630">
        <v>21</v>
      </c>
      <c r="D10630">
        <v>763.56</v>
      </c>
      <c r="E10630">
        <v>177.66</v>
      </c>
      <c r="F10630" t="s">
        <v>7</v>
      </c>
      <c r="G10630" t="s">
        <v>11</v>
      </c>
      <c r="H10630" s="5">
        <f>MONTH(Tabela1[[#This Row],[data]])</f>
        <v>3</v>
      </c>
      <c r="I10630">
        <f>YEAR(Tabela1[[#This Row],[data]])</f>
        <v>2026</v>
      </c>
    </row>
    <row r="10631" spans="1:9" x14ac:dyDescent="0.25">
      <c r="A10631" t="s">
        <v>6</v>
      </c>
      <c r="B10631" s="1">
        <v>46100</v>
      </c>
      <c r="C10631">
        <v>22</v>
      </c>
      <c r="D10631">
        <v>696.36</v>
      </c>
      <c r="E10631">
        <v>136.5</v>
      </c>
      <c r="F10631" t="s">
        <v>7</v>
      </c>
      <c r="G10631" t="s">
        <v>11</v>
      </c>
      <c r="H10631" s="5">
        <f>MONTH(Tabela1[[#This Row],[data]])</f>
        <v>3</v>
      </c>
      <c r="I10631">
        <f>YEAR(Tabela1[[#This Row],[data]])</f>
        <v>2026</v>
      </c>
    </row>
    <row r="10632" spans="1:9" x14ac:dyDescent="0.25">
      <c r="A10632" t="s">
        <v>6</v>
      </c>
      <c r="B10632" s="1">
        <v>46100</v>
      </c>
      <c r="C10632">
        <v>23</v>
      </c>
      <c r="D10632">
        <v>402.78</v>
      </c>
      <c r="E10632">
        <v>13.44</v>
      </c>
      <c r="F10632" t="s">
        <v>7</v>
      </c>
      <c r="G10632" t="s">
        <v>11</v>
      </c>
      <c r="H10632" s="5">
        <f>MONTH(Tabela1[[#This Row],[data]])</f>
        <v>3</v>
      </c>
      <c r="I10632">
        <f>YEAR(Tabela1[[#This Row],[data]])</f>
        <v>2026</v>
      </c>
    </row>
    <row r="10633" spans="1:9" x14ac:dyDescent="0.25">
      <c r="A10633" t="s">
        <v>6</v>
      </c>
      <c r="B10633" s="1">
        <v>46100</v>
      </c>
      <c r="C10633">
        <v>24</v>
      </c>
      <c r="D10633">
        <v>263.76</v>
      </c>
      <c r="E10633">
        <v>0</v>
      </c>
      <c r="F10633" t="s">
        <v>7</v>
      </c>
      <c r="G10633" t="s">
        <v>11</v>
      </c>
      <c r="H10633" s="5">
        <f>MONTH(Tabela1[[#This Row],[data]])</f>
        <v>3</v>
      </c>
      <c r="I10633">
        <f>YEAR(Tabela1[[#This Row],[data]])</f>
        <v>2026</v>
      </c>
    </row>
    <row r="10634" spans="1:9" x14ac:dyDescent="0.25">
      <c r="A10634" t="s">
        <v>6</v>
      </c>
      <c r="B10634" s="1">
        <v>46101</v>
      </c>
      <c r="C10634">
        <v>1</v>
      </c>
      <c r="D10634">
        <v>225.96</v>
      </c>
      <c r="E10634">
        <v>0</v>
      </c>
      <c r="F10634" t="s">
        <v>7</v>
      </c>
      <c r="G10634" t="s">
        <v>11</v>
      </c>
      <c r="H10634" s="5">
        <f>MONTH(Tabela1[[#This Row],[data]])</f>
        <v>3</v>
      </c>
      <c r="I10634">
        <f>YEAR(Tabela1[[#This Row],[data]])</f>
        <v>2026</v>
      </c>
    </row>
    <row r="10635" spans="1:9" x14ac:dyDescent="0.25">
      <c r="A10635" t="s">
        <v>6</v>
      </c>
      <c r="B10635" s="1">
        <v>46101</v>
      </c>
      <c r="C10635">
        <v>2</v>
      </c>
      <c r="D10635">
        <v>224.28</v>
      </c>
      <c r="E10635">
        <v>0</v>
      </c>
      <c r="F10635" t="s">
        <v>7</v>
      </c>
      <c r="G10635" t="s">
        <v>11</v>
      </c>
      <c r="H10635" s="5">
        <f>MONTH(Tabela1[[#This Row],[data]])</f>
        <v>3</v>
      </c>
      <c r="I10635">
        <f>YEAR(Tabela1[[#This Row],[data]])</f>
        <v>2026</v>
      </c>
    </row>
    <row r="10636" spans="1:9" x14ac:dyDescent="0.25">
      <c r="A10636" t="s">
        <v>6</v>
      </c>
      <c r="B10636" s="1">
        <v>46101</v>
      </c>
      <c r="C10636">
        <v>3</v>
      </c>
      <c r="D10636">
        <v>217.14</v>
      </c>
      <c r="E10636">
        <v>0</v>
      </c>
      <c r="F10636" t="s">
        <v>7</v>
      </c>
      <c r="G10636" t="s">
        <v>11</v>
      </c>
      <c r="H10636" s="5">
        <f>MONTH(Tabela1[[#This Row],[data]])</f>
        <v>3</v>
      </c>
      <c r="I10636">
        <f>YEAR(Tabela1[[#This Row],[data]])</f>
        <v>2026</v>
      </c>
    </row>
    <row r="10637" spans="1:9" x14ac:dyDescent="0.25">
      <c r="A10637" t="s">
        <v>6</v>
      </c>
      <c r="B10637" s="1">
        <v>46101</v>
      </c>
      <c r="C10637">
        <v>4</v>
      </c>
      <c r="D10637">
        <v>219.66</v>
      </c>
      <c r="E10637">
        <v>0</v>
      </c>
      <c r="F10637" t="s">
        <v>7</v>
      </c>
      <c r="G10637" t="s">
        <v>11</v>
      </c>
      <c r="H10637" s="5">
        <f>MONTH(Tabela1[[#This Row],[data]])</f>
        <v>3</v>
      </c>
      <c r="I10637">
        <f>YEAR(Tabela1[[#This Row],[data]])</f>
        <v>2026</v>
      </c>
    </row>
    <row r="10638" spans="1:9" x14ac:dyDescent="0.25">
      <c r="A10638" t="s">
        <v>6</v>
      </c>
      <c r="B10638" s="1">
        <v>46101</v>
      </c>
      <c r="C10638">
        <v>5</v>
      </c>
      <c r="D10638">
        <v>220.92</v>
      </c>
      <c r="E10638">
        <v>0</v>
      </c>
      <c r="F10638" t="s">
        <v>7</v>
      </c>
      <c r="G10638" t="s">
        <v>11</v>
      </c>
      <c r="H10638" s="5">
        <f>MONTH(Tabela1[[#This Row],[data]])</f>
        <v>3</v>
      </c>
      <c r="I10638">
        <f>YEAR(Tabela1[[#This Row],[data]])</f>
        <v>2026</v>
      </c>
    </row>
    <row r="10639" spans="1:9" x14ac:dyDescent="0.25">
      <c r="A10639" t="s">
        <v>6</v>
      </c>
      <c r="B10639" s="1">
        <v>46101</v>
      </c>
      <c r="C10639">
        <v>6</v>
      </c>
      <c r="D10639">
        <v>216.72</v>
      </c>
      <c r="E10639">
        <v>0</v>
      </c>
      <c r="F10639" t="s">
        <v>7</v>
      </c>
      <c r="G10639" t="s">
        <v>11</v>
      </c>
      <c r="H10639" s="5">
        <f>MONTH(Tabela1[[#This Row],[data]])</f>
        <v>3</v>
      </c>
      <c r="I10639">
        <f>YEAR(Tabela1[[#This Row],[data]])</f>
        <v>2026</v>
      </c>
    </row>
    <row r="10640" spans="1:9" x14ac:dyDescent="0.25">
      <c r="A10640" t="s">
        <v>6</v>
      </c>
      <c r="B10640" s="1">
        <v>46101</v>
      </c>
      <c r="C10640">
        <v>7</v>
      </c>
      <c r="D10640">
        <v>205.8</v>
      </c>
      <c r="E10640">
        <v>0</v>
      </c>
      <c r="F10640" t="s">
        <v>7</v>
      </c>
      <c r="G10640" t="s">
        <v>11</v>
      </c>
      <c r="H10640" s="5">
        <f>MONTH(Tabela1[[#This Row],[data]])</f>
        <v>3</v>
      </c>
      <c r="I10640">
        <f>YEAR(Tabela1[[#This Row],[data]])</f>
        <v>2026</v>
      </c>
    </row>
    <row r="10641" spans="1:9" x14ac:dyDescent="0.25">
      <c r="A10641" t="s">
        <v>6</v>
      </c>
      <c r="B10641" s="1">
        <v>46101</v>
      </c>
      <c r="C10641">
        <v>8</v>
      </c>
      <c r="D10641">
        <v>230.16</v>
      </c>
      <c r="E10641">
        <v>0</v>
      </c>
      <c r="F10641" t="s">
        <v>7</v>
      </c>
      <c r="G10641" t="s">
        <v>11</v>
      </c>
      <c r="H10641" s="5">
        <f>MONTH(Tabela1[[#This Row],[data]])</f>
        <v>3</v>
      </c>
      <c r="I10641">
        <f>YEAR(Tabela1[[#This Row],[data]])</f>
        <v>2026</v>
      </c>
    </row>
    <row r="10642" spans="1:9" x14ac:dyDescent="0.25">
      <c r="A10642" t="s">
        <v>6</v>
      </c>
      <c r="B10642" s="1">
        <v>46101</v>
      </c>
      <c r="C10642">
        <v>9</v>
      </c>
      <c r="D10642">
        <v>347.76</v>
      </c>
      <c r="E10642">
        <v>2.1</v>
      </c>
      <c r="F10642" t="s">
        <v>7</v>
      </c>
      <c r="G10642" t="s">
        <v>11</v>
      </c>
      <c r="H10642" s="5">
        <f>MONTH(Tabela1[[#This Row],[data]])</f>
        <v>3</v>
      </c>
      <c r="I10642">
        <f>YEAR(Tabela1[[#This Row],[data]])</f>
        <v>2026</v>
      </c>
    </row>
    <row r="10643" spans="1:9" x14ac:dyDescent="0.25">
      <c r="A10643" t="s">
        <v>6</v>
      </c>
      <c r="B10643" s="1">
        <v>46101</v>
      </c>
      <c r="C10643">
        <v>10</v>
      </c>
      <c r="D10643">
        <v>524.58000000000004</v>
      </c>
      <c r="E10643">
        <v>60.48</v>
      </c>
      <c r="F10643" t="s">
        <v>7</v>
      </c>
      <c r="G10643" t="s">
        <v>11</v>
      </c>
      <c r="H10643" s="5">
        <f>MONTH(Tabela1[[#This Row],[data]])</f>
        <v>3</v>
      </c>
      <c r="I10643">
        <f>YEAR(Tabela1[[#This Row],[data]])</f>
        <v>2026</v>
      </c>
    </row>
    <row r="10644" spans="1:9" x14ac:dyDescent="0.25">
      <c r="A10644" t="s">
        <v>6</v>
      </c>
      <c r="B10644" s="1">
        <v>46101</v>
      </c>
      <c r="C10644">
        <v>11</v>
      </c>
      <c r="D10644">
        <v>821.52</v>
      </c>
      <c r="E10644">
        <v>183.54</v>
      </c>
      <c r="F10644" t="s">
        <v>7</v>
      </c>
      <c r="G10644" t="s">
        <v>11</v>
      </c>
      <c r="H10644" s="5">
        <f>MONTH(Tabela1[[#This Row],[data]])</f>
        <v>3</v>
      </c>
      <c r="I10644">
        <f>YEAR(Tabela1[[#This Row],[data]])</f>
        <v>2026</v>
      </c>
    </row>
    <row r="10645" spans="1:9" x14ac:dyDescent="0.25">
      <c r="A10645" t="s">
        <v>6</v>
      </c>
      <c r="B10645" s="1">
        <v>46101</v>
      </c>
      <c r="C10645">
        <v>12</v>
      </c>
      <c r="D10645">
        <v>828.24</v>
      </c>
      <c r="E10645">
        <v>193.62</v>
      </c>
      <c r="F10645" t="s">
        <v>7</v>
      </c>
      <c r="G10645" t="s">
        <v>11</v>
      </c>
      <c r="H10645" s="5">
        <f>MONTH(Tabela1[[#This Row],[data]])</f>
        <v>3</v>
      </c>
      <c r="I10645">
        <f>YEAR(Tabela1[[#This Row],[data]])</f>
        <v>2026</v>
      </c>
    </row>
    <row r="10646" spans="1:9" x14ac:dyDescent="0.25">
      <c r="A10646" t="s">
        <v>6</v>
      </c>
      <c r="B10646" s="1">
        <v>46101</v>
      </c>
      <c r="C10646">
        <v>13</v>
      </c>
      <c r="D10646">
        <v>834.12</v>
      </c>
      <c r="E10646">
        <v>204.54</v>
      </c>
      <c r="F10646" t="s">
        <v>7</v>
      </c>
      <c r="G10646" t="s">
        <v>11</v>
      </c>
      <c r="H10646" s="5">
        <f>MONTH(Tabela1[[#This Row],[data]])</f>
        <v>3</v>
      </c>
      <c r="I10646">
        <f>YEAR(Tabela1[[#This Row],[data]])</f>
        <v>2026</v>
      </c>
    </row>
    <row r="10647" spans="1:9" x14ac:dyDescent="0.25">
      <c r="A10647" t="s">
        <v>6</v>
      </c>
      <c r="B10647" s="1">
        <v>46101</v>
      </c>
      <c r="C10647">
        <v>14</v>
      </c>
      <c r="D10647">
        <v>844.2</v>
      </c>
      <c r="E10647">
        <v>189.42</v>
      </c>
      <c r="F10647" t="s">
        <v>7</v>
      </c>
      <c r="G10647" t="s">
        <v>11</v>
      </c>
      <c r="H10647" s="5">
        <f>MONTH(Tabela1[[#This Row],[data]])</f>
        <v>3</v>
      </c>
      <c r="I10647">
        <f>YEAR(Tabela1[[#This Row],[data]])</f>
        <v>2026</v>
      </c>
    </row>
    <row r="10648" spans="1:9" x14ac:dyDescent="0.25">
      <c r="A10648" t="s">
        <v>6</v>
      </c>
      <c r="B10648" s="1">
        <v>46101</v>
      </c>
      <c r="C10648">
        <v>15</v>
      </c>
      <c r="D10648">
        <v>828.66</v>
      </c>
      <c r="E10648">
        <v>180.6</v>
      </c>
      <c r="F10648" t="s">
        <v>7</v>
      </c>
      <c r="G10648" t="s">
        <v>11</v>
      </c>
      <c r="H10648" s="5">
        <f>MONTH(Tabela1[[#This Row],[data]])</f>
        <v>3</v>
      </c>
      <c r="I10648">
        <f>YEAR(Tabela1[[#This Row],[data]])</f>
        <v>2026</v>
      </c>
    </row>
    <row r="10649" spans="1:9" x14ac:dyDescent="0.25">
      <c r="A10649" t="s">
        <v>6</v>
      </c>
      <c r="B10649" s="1">
        <v>46101</v>
      </c>
      <c r="C10649">
        <v>16</v>
      </c>
      <c r="D10649">
        <v>876.54</v>
      </c>
      <c r="E10649">
        <v>215.46</v>
      </c>
      <c r="F10649" t="s">
        <v>7</v>
      </c>
      <c r="G10649" t="s">
        <v>11</v>
      </c>
      <c r="H10649" s="5">
        <f>MONTH(Tabela1[[#This Row],[data]])</f>
        <v>3</v>
      </c>
      <c r="I10649">
        <f>YEAR(Tabela1[[#This Row],[data]])</f>
        <v>2026</v>
      </c>
    </row>
    <row r="10650" spans="1:9" x14ac:dyDescent="0.25">
      <c r="A10650" t="s">
        <v>6</v>
      </c>
      <c r="B10650" s="1">
        <v>46101</v>
      </c>
      <c r="C10650">
        <v>17</v>
      </c>
      <c r="D10650">
        <v>863.94</v>
      </c>
      <c r="E10650">
        <v>195.72</v>
      </c>
      <c r="F10650" t="s">
        <v>7</v>
      </c>
      <c r="G10650" t="s">
        <v>11</v>
      </c>
      <c r="H10650" s="5">
        <f>MONTH(Tabela1[[#This Row],[data]])</f>
        <v>3</v>
      </c>
      <c r="I10650">
        <f>YEAR(Tabela1[[#This Row],[data]])</f>
        <v>2026</v>
      </c>
    </row>
    <row r="10651" spans="1:9" x14ac:dyDescent="0.25">
      <c r="A10651" t="s">
        <v>6</v>
      </c>
      <c r="B10651" s="1">
        <v>46101</v>
      </c>
      <c r="C10651">
        <v>18</v>
      </c>
      <c r="D10651">
        <v>852.6</v>
      </c>
      <c r="E10651">
        <v>198.66</v>
      </c>
      <c r="F10651" t="s">
        <v>7</v>
      </c>
      <c r="G10651" t="s">
        <v>11</v>
      </c>
      <c r="H10651" s="5">
        <f>MONTH(Tabela1[[#This Row],[data]])</f>
        <v>3</v>
      </c>
      <c r="I10651">
        <f>YEAR(Tabela1[[#This Row],[data]])</f>
        <v>2026</v>
      </c>
    </row>
    <row r="10652" spans="1:9" x14ac:dyDescent="0.25">
      <c r="A10652" t="s">
        <v>6</v>
      </c>
      <c r="B10652" s="1">
        <v>46101</v>
      </c>
      <c r="C10652">
        <v>19</v>
      </c>
      <c r="D10652">
        <v>813.12</v>
      </c>
      <c r="E10652">
        <v>171.78</v>
      </c>
      <c r="F10652" t="s">
        <v>7</v>
      </c>
      <c r="G10652" t="s">
        <v>11</v>
      </c>
      <c r="H10652" s="5">
        <f>MONTH(Tabela1[[#This Row],[data]])</f>
        <v>3</v>
      </c>
      <c r="I10652">
        <f>YEAR(Tabela1[[#This Row],[data]])</f>
        <v>2026</v>
      </c>
    </row>
    <row r="10653" spans="1:9" x14ac:dyDescent="0.25">
      <c r="A10653" t="s">
        <v>6</v>
      </c>
      <c r="B10653" s="1">
        <v>46101</v>
      </c>
      <c r="C10653">
        <v>20</v>
      </c>
      <c r="D10653">
        <v>786.66</v>
      </c>
      <c r="E10653">
        <v>157.91999999999999</v>
      </c>
      <c r="F10653" t="s">
        <v>7</v>
      </c>
      <c r="G10653" t="s">
        <v>11</v>
      </c>
      <c r="H10653" s="5">
        <f>MONTH(Tabela1[[#This Row],[data]])</f>
        <v>3</v>
      </c>
      <c r="I10653">
        <f>YEAR(Tabela1[[#This Row],[data]])</f>
        <v>2026</v>
      </c>
    </row>
    <row r="10654" spans="1:9" x14ac:dyDescent="0.25">
      <c r="A10654" t="s">
        <v>6</v>
      </c>
      <c r="B10654" s="1">
        <v>46101</v>
      </c>
      <c r="C10654">
        <v>21</v>
      </c>
      <c r="D10654">
        <v>788.34</v>
      </c>
      <c r="E10654">
        <v>170.94</v>
      </c>
      <c r="F10654" t="s">
        <v>7</v>
      </c>
      <c r="G10654" t="s">
        <v>11</v>
      </c>
      <c r="H10654" s="5">
        <f>MONTH(Tabela1[[#This Row],[data]])</f>
        <v>3</v>
      </c>
      <c r="I10654">
        <f>YEAR(Tabela1[[#This Row],[data]])</f>
        <v>2026</v>
      </c>
    </row>
    <row r="10655" spans="1:9" x14ac:dyDescent="0.25">
      <c r="A10655" t="s">
        <v>6</v>
      </c>
      <c r="B10655" s="1">
        <v>46101</v>
      </c>
      <c r="C10655">
        <v>22</v>
      </c>
      <c r="D10655">
        <v>757.68</v>
      </c>
      <c r="E10655">
        <v>155.82</v>
      </c>
      <c r="F10655" t="s">
        <v>7</v>
      </c>
      <c r="G10655" t="s">
        <v>11</v>
      </c>
      <c r="H10655" s="5">
        <f>MONTH(Tabela1[[#This Row],[data]])</f>
        <v>3</v>
      </c>
      <c r="I10655">
        <f>YEAR(Tabela1[[#This Row],[data]])</f>
        <v>2026</v>
      </c>
    </row>
    <row r="10656" spans="1:9" x14ac:dyDescent="0.25">
      <c r="A10656" t="s">
        <v>6</v>
      </c>
      <c r="B10656" s="1">
        <v>46101</v>
      </c>
      <c r="C10656">
        <v>23</v>
      </c>
      <c r="D10656">
        <v>408.66</v>
      </c>
      <c r="E10656">
        <v>13.86</v>
      </c>
      <c r="F10656" t="s">
        <v>7</v>
      </c>
      <c r="G10656" t="s">
        <v>11</v>
      </c>
      <c r="H10656" s="5">
        <f>MONTH(Tabela1[[#This Row],[data]])</f>
        <v>3</v>
      </c>
      <c r="I10656">
        <f>YEAR(Tabela1[[#This Row],[data]])</f>
        <v>2026</v>
      </c>
    </row>
    <row r="10657" spans="1:9" x14ac:dyDescent="0.25">
      <c r="A10657" t="s">
        <v>6</v>
      </c>
      <c r="B10657" s="1">
        <v>46101</v>
      </c>
      <c r="C10657">
        <v>24</v>
      </c>
      <c r="D10657">
        <v>267.54000000000002</v>
      </c>
      <c r="E10657">
        <v>0</v>
      </c>
      <c r="F10657" t="s">
        <v>7</v>
      </c>
      <c r="G10657" t="s">
        <v>11</v>
      </c>
      <c r="H10657" s="5">
        <f>MONTH(Tabela1[[#This Row],[data]])</f>
        <v>3</v>
      </c>
      <c r="I10657">
        <f>YEAR(Tabela1[[#This Row],[data]])</f>
        <v>2026</v>
      </c>
    </row>
    <row r="10658" spans="1:9" x14ac:dyDescent="0.25">
      <c r="A10658" t="s">
        <v>6</v>
      </c>
      <c r="B10658" s="1">
        <v>46102</v>
      </c>
      <c r="C10658">
        <v>1</v>
      </c>
      <c r="D10658">
        <v>231.84</v>
      </c>
      <c r="E10658">
        <v>0</v>
      </c>
      <c r="F10658" t="s">
        <v>7</v>
      </c>
      <c r="G10658" t="s">
        <v>11</v>
      </c>
      <c r="H10658" s="5">
        <f>MONTH(Tabela1[[#This Row],[data]])</f>
        <v>3</v>
      </c>
      <c r="I10658">
        <f>YEAR(Tabela1[[#This Row],[data]])</f>
        <v>2026</v>
      </c>
    </row>
    <row r="10659" spans="1:9" x14ac:dyDescent="0.25">
      <c r="A10659" t="s">
        <v>6</v>
      </c>
      <c r="B10659" s="1">
        <v>46102</v>
      </c>
      <c r="C10659">
        <v>2</v>
      </c>
      <c r="D10659">
        <v>220.92</v>
      </c>
      <c r="E10659">
        <v>0</v>
      </c>
      <c r="F10659" t="s">
        <v>7</v>
      </c>
      <c r="G10659" t="s">
        <v>11</v>
      </c>
      <c r="H10659" s="5">
        <f>MONTH(Tabela1[[#This Row],[data]])</f>
        <v>3</v>
      </c>
      <c r="I10659">
        <f>YEAR(Tabela1[[#This Row],[data]])</f>
        <v>2026</v>
      </c>
    </row>
    <row r="10660" spans="1:9" x14ac:dyDescent="0.25">
      <c r="A10660" t="s">
        <v>6</v>
      </c>
      <c r="B10660" s="1">
        <v>46102</v>
      </c>
      <c r="C10660">
        <v>3</v>
      </c>
      <c r="D10660">
        <v>221.76</v>
      </c>
      <c r="E10660">
        <v>0</v>
      </c>
      <c r="F10660" t="s">
        <v>7</v>
      </c>
      <c r="G10660" t="s">
        <v>11</v>
      </c>
      <c r="H10660" s="5">
        <f>MONTH(Tabela1[[#This Row],[data]])</f>
        <v>3</v>
      </c>
      <c r="I10660">
        <f>YEAR(Tabela1[[#This Row],[data]])</f>
        <v>2026</v>
      </c>
    </row>
    <row r="10661" spans="1:9" x14ac:dyDescent="0.25">
      <c r="A10661" t="s">
        <v>6</v>
      </c>
      <c r="B10661" s="1">
        <v>46102</v>
      </c>
      <c r="C10661">
        <v>4</v>
      </c>
      <c r="D10661">
        <v>222.6</v>
      </c>
      <c r="E10661">
        <v>0</v>
      </c>
      <c r="F10661" t="s">
        <v>7</v>
      </c>
      <c r="G10661" t="s">
        <v>11</v>
      </c>
      <c r="H10661" s="5">
        <f>MONTH(Tabela1[[#This Row],[data]])</f>
        <v>3</v>
      </c>
      <c r="I10661">
        <f>YEAR(Tabela1[[#This Row],[data]])</f>
        <v>2026</v>
      </c>
    </row>
    <row r="10662" spans="1:9" x14ac:dyDescent="0.25">
      <c r="A10662" t="s">
        <v>6</v>
      </c>
      <c r="B10662" s="1">
        <v>46102</v>
      </c>
      <c r="C10662">
        <v>5</v>
      </c>
      <c r="D10662">
        <v>228.9</v>
      </c>
      <c r="E10662">
        <v>0</v>
      </c>
      <c r="F10662" t="s">
        <v>7</v>
      </c>
      <c r="G10662" t="s">
        <v>11</v>
      </c>
      <c r="H10662" s="5">
        <f>MONTH(Tabela1[[#This Row],[data]])</f>
        <v>3</v>
      </c>
      <c r="I10662">
        <f>YEAR(Tabela1[[#This Row],[data]])</f>
        <v>2026</v>
      </c>
    </row>
    <row r="10663" spans="1:9" x14ac:dyDescent="0.25">
      <c r="A10663" t="s">
        <v>6</v>
      </c>
      <c r="B10663" s="1">
        <v>46102</v>
      </c>
      <c r="C10663">
        <v>6</v>
      </c>
      <c r="D10663">
        <v>222.6</v>
      </c>
      <c r="E10663">
        <v>0</v>
      </c>
      <c r="F10663" t="s">
        <v>7</v>
      </c>
      <c r="G10663" t="s">
        <v>11</v>
      </c>
      <c r="H10663" s="5">
        <f>MONTH(Tabela1[[#This Row],[data]])</f>
        <v>3</v>
      </c>
      <c r="I10663">
        <f>YEAR(Tabela1[[#This Row],[data]])</f>
        <v>2026</v>
      </c>
    </row>
    <row r="10664" spans="1:9" x14ac:dyDescent="0.25">
      <c r="A10664" t="s">
        <v>6</v>
      </c>
      <c r="B10664" s="1">
        <v>46102</v>
      </c>
      <c r="C10664">
        <v>7</v>
      </c>
      <c r="D10664">
        <v>214.2</v>
      </c>
      <c r="E10664">
        <v>0</v>
      </c>
      <c r="F10664" t="s">
        <v>7</v>
      </c>
      <c r="G10664" t="s">
        <v>11</v>
      </c>
      <c r="H10664" s="5">
        <f>MONTH(Tabela1[[#This Row],[data]])</f>
        <v>3</v>
      </c>
      <c r="I10664">
        <f>YEAR(Tabela1[[#This Row],[data]])</f>
        <v>2026</v>
      </c>
    </row>
    <row r="10665" spans="1:9" x14ac:dyDescent="0.25">
      <c r="A10665" t="s">
        <v>6</v>
      </c>
      <c r="B10665" s="1">
        <v>46102</v>
      </c>
      <c r="C10665">
        <v>8</v>
      </c>
      <c r="D10665">
        <v>226.38</v>
      </c>
      <c r="E10665">
        <v>0</v>
      </c>
      <c r="F10665" t="s">
        <v>7</v>
      </c>
      <c r="G10665" t="s">
        <v>11</v>
      </c>
      <c r="H10665" s="5">
        <f>MONTH(Tabela1[[#This Row],[data]])</f>
        <v>3</v>
      </c>
      <c r="I10665">
        <f>YEAR(Tabela1[[#This Row],[data]])</f>
        <v>2026</v>
      </c>
    </row>
    <row r="10666" spans="1:9" x14ac:dyDescent="0.25">
      <c r="A10666" t="s">
        <v>6</v>
      </c>
      <c r="B10666" s="1">
        <v>46102</v>
      </c>
      <c r="C10666">
        <v>9</v>
      </c>
      <c r="D10666">
        <v>298.62</v>
      </c>
      <c r="E10666">
        <v>0</v>
      </c>
      <c r="F10666" t="s">
        <v>7</v>
      </c>
      <c r="G10666" t="s">
        <v>11</v>
      </c>
      <c r="H10666" s="5">
        <f>MONTH(Tabela1[[#This Row],[data]])</f>
        <v>3</v>
      </c>
      <c r="I10666">
        <f>YEAR(Tabela1[[#This Row],[data]])</f>
        <v>2026</v>
      </c>
    </row>
    <row r="10667" spans="1:9" x14ac:dyDescent="0.25">
      <c r="A10667" t="s">
        <v>6</v>
      </c>
      <c r="B10667" s="1">
        <v>46102</v>
      </c>
      <c r="C10667">
        <v>10</v>
      </c>
      <c r="D10667">
        <v>413.28</v>
      </c>
      <c r="E10667">
        <v>10.08</v>
      </c>
      <c r="F10667" t="s">
        <v>7</v>
      </c>
      <c r="G10667" t="s">
        <v>11</v>
      </c>
      <c r="H10667" s="5">
        <f>MONTH(Tabela1[[#This Row],[data]])</f>
        <v>3</v>
      </c>
      <c r="I10667">
        <f>YEAR(Tabela1[[#This Row],[data]])</f>
        <v>2026</v>
      </c>
    </row>
    <row r="10668" spans="1:9" x14ac:dyDescent="0.25">
      <c r="A10668" t="s">
        <v>6</v>
      </c>
      <c r="B10668" s="1">
        <v>46102</v>
      </c>
      <c r="C10668">
        <v>11</v>
      </c>
      <c r="D10668">
        <v>632.52</v>
      </c>
      <c r="E10668">
        <v>85.68</v>
      </c>
      <c r="F10668" t="s">
        <v>7</v>
      </c>
      <c r="G10668" t="s">
        <v>11</v>
      </c>
      <c r="H10668" s="5">
        <f>MONTH(Tabela1[[#This Row],[data]])</f>
        <v>3</v>
      </c>
      <c r="I10668">
        <f>YEAR(Tabela1[[#This Row],[data]])</f>
        <v>2026</v>
      </c>
    </row>
    <row r="10669" spans="1:9" x14ac:dyDescent="0.25">
      <c r="A10669" t="s">
        <v>6</v>
      </c>
      <c r="B10669" s="1">
        <v>46102</v>
      </c>
      <c r="C10669">
        <v>12</v>
      </c>
      <c r="D10669">
        <v>927.36</v>
      </c>
      <c r="E10669">
        <v>219.24</v>
      </c>
      <c r="F10669" t="s">
        <v>7</v>
      </c>
      <c r="G10669" t="s">
        <v>11</v>
      </c>
      <c r="H10669" s="5">
        <f>MONTH(Tabela1[[#This Row],[data]])</f>
        <v>3</v>
      </c>
      <c r="I10669">
        <f>YEAR(Tabela1[[#This Row],[data]])</f>
        <v>2026</v>
      </c>
    </row>
    <row r="10670" spans="1:9" x14ac:dyDescent="0.25">
      <c r="A10670" t="s">
        <v>6</v>
      </c>
      <c r="B10670" s="1">
        <v>46102</v>
      </c>
      <c r="C10670">
        <v>13</v>
      </c>
      <c r="D10670">
        <v>914.76</v>
      </c>
      <c r="E10670">
        <v>214.2</v>
      </c>
      <c r="F10670" t="s">
        <v>7</v>
      </c>
      <c r="G10670" t="s">
        <v>11</v>
      </c>
      <c r="H10670" s="5">
        <f>MONTH(Tabela1[[#This Row],[data]])</f>
        <v>3</v>
      </c>
      <c r="I10670">
        <f>YEAR(Tabela1[[#This Row],[data]])</f>
        <v>2026</v>
      </c>
    </row>
    <row r="10671" spans="1:9" x14ac:dyDescent="0.25">
      <c r="A10671" t="s">
        <v>6</v>
      </c>
      <c r="B10671" s="1">
        <v>46102</v>
      </c>
      <c r="C10671">
        <v>14</v>
      </c>
      <c r="D10671">
        <v>921.06</v>
      </c>
      <c r="E10671">
        <v>221.76</v>
      </c>
      <c r="F10671" t="s">
        <v>7</v>
      </c>
      <c r="G10671" t="s">
        <v>11</v>
      </c>
      <c r="H10671" s="5">
        <f>MONTH(Tabela1[[#This Row],[data]])</f>
        <v>3</v>
      </c>
      <c r="I10671">
        <f>YEAR(Tabela1[[#This Row],[data]])</f>
        <v>2026</v>
      </c>
    </row>
    <row r="10672" spans="1:9" x14ac:dyDescent="0.25">
      <c r="A10672" t="s">
        <v>6</v>
      </c>
      <c r="B10672" s="1">
        <v>46102</v>
      </c>
      <c r="C10672">
        <v>15</v>
      </c>
      <c r="D10672">
        <v>907.62</v>
      </c>
      <c r="E10672">
        <v>211.68</v>
      </c>
      <c r="F10672" t="s">
        <v>7</v>
      </c>
      <c r="G10672" t="s">
        <v>11</v>
      </c>
      <c r="H10672" s="5">
        <f>MONTH(Tabela1[[#This Row],[data]])</f>
        <v>3</v>
      </c>
      <c r="I10672">
        <f>YEAR(Tabela1[[#This Row],[data]])</f>
        <v>2026</v>
      </c>
    </row>
    <row r="10673" spans="1:9" x14ac:dyDescent="0.25">
      <c r="A10673" t="s">
        <v>6</v>
      </c>
      <c r="B10673" s="1">
        <v>46102</v>
      </c>
      <c r="C10673">
        <v>16</v>
      </c>
      <c r="D10673">
        <v>904.26</v>
      </c>
      <c r="E10673">
        <v>212.52</v>
      </c>
      <c r="F10673" t="s">
        <v>7</v>
      </c>
      <c r="G10673" t="s">
        <v>11</v>
      </c>
      <c r="H10673" s="5">
        <f>MONTH(Tabela1[[#This Row],[data]])</f>
        <v>3</v>
      </c>
      <c r="I10673">
        <f>YEAR(Tabela1[[#This Row],[data]])</f>
        <v>2026</v>
      </c>
    </row>
    <row r="10674" spans="1:9" x14ac:dyDescent="0.25">
      <c r="A10674" t="s">
        <v>6</v>
      </c>
      <c r="B10674" s="1">
        <v>46102</v>
      </c>
      <c r="C10674">
        <v>17</v>
      </c>
      <c r="D10674" s="2">
        <v>1015.14</v>
      </c>
      <c r="E10674">
        <v>290.64</v>
      </c>
      <c r="F10674" t="s">
        <v>7</v>
      </c>
      <c r="G10674" t="s">
        <v>11</v>
      </c>
      <c r="H10674" s="5">
        <f>MONTH(Tabela1[[#This Row],[data]])</f>
        <v>3</v>
      </c>
      <c r="I10674">
        <f>YEAR(Tabela1[[#This Row],[data]])</f>
        <v>2026</v>
      </c>
    </row>
    <row r="10675" spans="1:9" x14ac:dyDescent="0.25">
      <c r="A10675" t="s">
        <v>6</v>
      </c>
      <c r="B10675" s="1">
        <v>46102</v>
      </c>
      <c r="C10675">
        <v>18</v>
      </c>
      <c r="D10675">
        <v>958.02</v>
      </c>
      <c r="E10675">
        <v>275.94</v>
      </c>
      <c r="F10675" t="s">
        <v>7</v>
      </c>
      <c r="G10675" t="s">
        <v>11</v>
      </c>
      <c r="H10675" s="5">
        <f>MONTH(Tabela1[[#This Row],[data]])</f>
        <v>3</v>
      </c>
      <c r="I10675">
        <f>YEAR(Tabela1[[#This Row],[data]])</f>
        <v>2026</v>
      </c>
    </row>
    <row r="10676" spans="1:9" x14ac:dyDescent="0.25">
      <c r="A10676" t="s">
        <v>6</v>
      </c>
      <c r="B10676" s="1">
        <v>46102</v>
      </c>
      <c r="C10676">
        <v>19</v>
      </c>
      <c r="D10676">
        <v>934.92</v>
      </c>
      <c r="E10676">
        <v>235.2</v>
      </c>
      <c r="F10676" t="s">
        <v>7</v>
      </c>
      <c r="G10676" t="s">
        <v>11</v>
      </c>
      <c r="H10676" s="5">
        <f>MONTH(Tabela1[[#This Row],[data]])</f>
        <v>3</v>
      </c>
      <c r="I10676">
        <f>YEAR(Tabela1[[#This Row],[data]])</f>
        <v>2026</v>
      </c>
    </row>
    <row r="10677" spans="1:9" x14ac:dyDescent="0.25">
      <c r="A10677" t="s">
        <v>6</v>
      </c>
      <c r="B10677" s="1">
        <v>46102</v>
      </c>
      <c r="C10677">
        <v>20</v>
      </c>
      <c r="D10677">
        <v>940.38</v>
      </c>
      <c r="E10677">
        <v>232.26</v>
      </c>
      <c r="F10677" t="s">
        <v>7</v>
      </c>
      <c r="G10677" t="s">
        <v>11</v>
      </c>
      <c r="H10677" s="5">
        <f>MONTH(Tabela1[[#This Row],[data]])</f>
        <v>3</v>
      </c>
      <c r="I10677">
        <f>YEAR(Tabela1[[#This Row],[data]])</f>
        <v>2026</v>
      </c>
    </row>
    <row r="10678" spans="1:9" x14ac:dyDescent="0.25">
      <c r="A10678" t="s">
        <v>6</v>
      </c>
      <c r="B10678" s="1">
        <v>46102</v>
      </c>
      <c r="C10678">
        <v>21</v>
      </c>
      <c r="D10678">
        <v>942.9</v>
      </c>
      <c r="E10678">
        <v>231.42</v>
      </c>
      <c r="F10678" t="s">
        <v>7</v>
      </c>
      <c r="G10678" t="s">
        <v>11</v>
      </c>
      <c r="H10678" s="5">
        <f>MONTH(Tabela1[[#This Row],[data]])</f>
        <v>3</v>
      </c>
      <c r="I10678">
        <f>YEAR(Tabela1[[#This Row],[data]])</f>
        <v>2026</v>
      </c>
    </row>
    <row r="10679" spans="1:9" x14ac:dyDescent="0.25">
      <c r="A10679" t="s">
        <v>6</v>
      </c>
      <c r="B10679" s="1">
        <v>46102</v>
      </c>
      <c r="C10679">
        <v>22</v>
      </c>
      <c r="D10679">
        <v>863.94</v>
      </c>
      <c r="E10679">
        <v>185.64</v>
      </c>
      <c r="F10679" t="s">
        <v>7</v>
      </c>
      <c r="G10679" t="s">
        <v>11</v>
      </c>
      <c r="H10679" s="5">
        <f>MONTH(Tabela1[[#This Row],[data]])</f>
        <v>3</v>
      </c>
      <c r="I10679">
        <f>YEAR(Tabela1[[#This Row],[data]])</f>
        <v>2026</v>
      </c>
    </row>
    <row r="10680" spans="1:9" x14ac:dyDescent="0.25">
      <c r="A10680" t="s">
        <v>6</v>
      </c>
      <c r="B10680" s="1">
        <v>46102</v>
      </c>
      <c r="C10680">
        <v>23</v>
      </c>
      <c r="D10680">
        <v>461.58</v>
      </c>
      <c r="E10680">
        <v>33.18</v>
      </c>
      <c r="F10680" t="s">
        <v>7</v>
      </c>
      <c r="G10680" t="s">
        <v>11</v>
      </c>
      <c r="H10680" s="5">
        <f>MONTH(Tabela1[[#This Row],[data]])</f>
        <v>3</v>
      </c>
      <c r="I10680">
        <f>YEAR(Tabela1[[#This Row],[data]])</f>
        <v>2026</v>
      </c>
    </row>
    <row r="10681" spans="1:9" x14ac:dyDescent="0.25">
      <c r="A10681" t="s">
        <v>6</v>
      </c>
      <c r="B10681" s="1">
        <v>46102</v>
      </c>
      <c r="C10681">
        <v>24</v>
      </c>
      <c r="D10681">
        <v>278.45999999999998</v>
      </c>
      <c r="E10681">
        <v>0</v>
      </c>
      <c r="F10681" t="s">
        <v>7</v>
      </c>
      <c r="G10681" t="s">
        <v>11</v>
      </c>
      <c r="H10681" s="5">
        <f>MONTH(Tabela1[[#This Row],[data]])</f>
        <v>3</v>
      </c>
      <c r="I10681">
        <f>YEAR(Tabela1[[#This Row],[data]])</f>
        <v>2026</v>
      </c>
    </row>
    <row r="10682" spans="1:9" x14ac:dyDescent="0.25">
      <c r="A10682" t="s">
        <v>6</v>
      </c>
      <c r="B10682" s="1">
        <v>46103</v>
      </c>
      <c r="C10682">
        <v>1</v>
      </c>
      <c r="D10682">
        <v>244.86</v>
      </c>
      <c r="E10682">
        <v>0</v>
      </c>
      <c r="F10682" t="s">
        <v>7</v>
      </c>
      <c r="G10682" t="s">
        <v>11</v>
      </c>
      <c r="H10682" s="5">
        <f>MONTH(Tabela1[[#This Row],[data]])</f>
        <v>3</v>
      </c>
      <c r="I10682">
        <f>YEAR(Tabela1[[#This Row],[data]])</f>
        <v>2026</v>
      </c>
    </row>
    <row r="10683" spans="1:9" x14ac:dyDescent="0.25">
      <c r="A10683" t="s">
        <v>6</v>
      </c>
      <c r="B10683" s="1">
        <v>46103</v>
      </c>
      <c r="C10683">
        <v>2</v>
      </c>
      <c r="D10683">
        <v>226.38</v>
      </c>
      <c r="E10683">
        <v>0</v>
      </c>
      <c r="F10683" t="s">
        <v>7</v>
      </c>
      <c r="G10683" t="s">
        <v>11</v>
      </c>
      <c r="H10683" s="5">
        <f>MONTH(Tabela1[[#This Row],[data]])</f>
        <v>3</v>
      </c>
      <c r="I10683">
        <f>YEAR(Tabela1[[#This Row],[data]])</f>
        <v>2026</v>
      </c>
    </row>
    <row r="10684" spans="1:9" x14ac:dyDescent="0.25">
      <c r="A10684" t="s">
        <v>6</v>
      </c>
      <c r="B10684" s="1">
        <v>46103</v>
      </c>
      <c r="C10684">
        <v>3</v>
      </c>
      <c r="D10684">
        <v>217.56</v>
      </c>
      <c r="E10684">
        <v>0</v>
      </c>
      <c r="F10684" t="s">
        <v>7</v>
      </c>
      <c r="G10684" t="s">
        <v>11</v>
      </c>
      <c r="H10684" s="5">
        <f>MONTH(Tabela1[[#This Row],[data]])</f>
        <v>3</v>
      </c>
      <c r="I10684">
        <f>YEAR(Tabela1[[#This Row],[data]])</f>
        <v>2026</v>
      </c>
    </row>
    <row r="10685" spans="1:9" x14ac:dyDescent="0.25">
      <c r="A10685" t="s">
        <v>6</v>
      </c>
      <c r="B10685" s="1">
        <v>46103</v>
      </c>
      <c r="C10685">
        <v>4</v>
      </c>
      <c r="D10685">
        <v>214.2</v>
      </c>
      <c r="E10685">
        <v>0</v>
      </c>
      <c r="F10685" t="s">
        <v>7</v>
      </c>
      <c r="G10685" t="s">
        <v>11</v>
      </c>
      <c r="H10685" s="5">
        <f>MONTH(Tabela1[[#This Row],[data]])</f>
        <v>3</v>
      </c>
      <c r="I10685">
        <f>YEAR(Tabela1[[#This Row],[data]])</f>
        <v>2026</v>
      </c>
    </row>
    <row r="10686" spans="1:9" x14ac:dyDescent="0.25">
      <c r="A10686" t="s">
        <v>6</v>
      </c>
      <c r="B10686" s="1">
        <v>46103</v>
      </c>
      <c r="C10686">
        <v>5</v>
      </c>
      <c r="D10686">
        <v>215.04</v>
      </c>
      <c r="E10686">
        <v>0</v>
      </c>
      <c r="F10686" t="s">
        <v>7</v>
      </c>
      <c r="G10686" t="s">
        <v>11</v>
      </c>
      <c r="H10686" s="5">
        <f>MONTH(Tabela1[[#This Row],[data]])</f>
        <v>3</v>
      </c>
      <c r="I10686">
        <f>YEAR(Tabela1[[#This Row],[data]])</f>
        <v>2026</v>
      </c>
    </row>
    <row r="10687" spans="1:9" x14ac:dyDescent="0.25">
      <c r="A10687" t="s">
        <v>6</v>
      </c>
      <c r="B10687" s="1">
        <v>46103</v>
      </c>
      <c r="C10687">
        <v>6</v>
      </c>
      <c r="D10687">
        <v>211.26</v>
      </c>
      <c r="E10687">
        <v>0</v>
      </c>
      <c r="F10687" t="s">
        <v>7</v>
      </c>
      <c r="G10687" t="s">
        <v>11</v>
      </c>
      <c r="H10687" s="5">
        <f>MONTH(Tabela1[[#This Row],[data]])</f>
        <v>3</v>
      </c>
      <c r="I10687">
        <f>YEAR(Tabela1[[#This Row],[data]])</f>
        <v>2026</v>
      </c>
    </row>
    <row r="10688" spans="1:9" x14ac:dyDescent="0.25">
      <c r="A10688" t="s">
        <v>6</v>
      </c>
      <c r="B10688" s="1">
        <v>46103</v>
      </c>
      <c r="C10688">
        <v>7</v>
      </c>
      <c r="D10688">
        <v>191.1</v>
      </c>
      <c r="E10688">
        <v>0</v>
      </c>
      <c r="F10688" t="s">
        <v>7</v>
      </c>
      <c r="G10688" t="s">
        <v>11</v>
      </c>
      <c r="H10688" s="5">
        <f>MONTH(Tabela1[[#This Row],[data]])</f>
        <v>3</v>
      </c>
      <c r="I10688">
        <f>YEAR(Tabela1[[#This Row],[data]])</f>
        <v>2026</v>
      </c>
    </row>
    <row r="10689" spans="1:9" x14ac:dyDescent="0.25">
      <c r="A10689" t="s">
        <v>6</v>
      </c>
      <c r="B10689" s="1">
        <v>46103</v>
      </c>
      <c r="C10689">
        <v>8</v>
      </c>
      <c r="D10689">
        <v>194.88</v>
      </c>
      <c r="E10689">
        <v>0</v>
      </c>
      <c r="F10689" t="s">
        <v>7</v>
      </c>
      <c r="G10689" t="s">
        <v>11</v>
      </c>
      <c r="H10689" s="5">
        <f>MONTH(Tabela1[[#This Row],[data]])</f>
        <v>3</v>
      </c>
      <c r="I10689">
        <f>YEAR(Tabela1[[#This Row],[data]])</f>
        <v>2026</v>
      </c>
    </row>
    <row r="10690" spans="1:9" x14ac:dyDescent="0.25">
      <c r="A10690" t="s">
        <v>6</v>
      </c>
      <c r="B10690" s="1">
        <v>46103</v>
      </c>
      <c r="C10690">
        <v>9</v>
      </c>
      <c r="D10690">
        <v>269.64</v>
      </c>
      <c r="E10690">
        <v>0</v>
      </c>
      <c r="F10690" t="s">
        <v>7</v>
      </c>
      <c r="G10690" t="s">
        <v>11</v>
      </c>
      <c r="H10690" s="5">
        <f>MONTH(Tabela1[[#This Row],[data]])</f>
        <v>3</v>
      </c>
      <c r="I10690">
        <f>YEAR(Tabela1[[#This Row],[data]])</f>
        <v>2026</v>
      </c>
    </row>
    <row r="10691" spans="1:9" x14ac:dyDescent="0.25">
      <c r="A10691" t="s">
        <v>6</v>
      </c>
      <c r="B10691" s="1">
        <v>46103</v>
      </c>
      <c r="C10691">
        <v>10</v>
      </c>
      <c r="D10691">
        <v>307.02</v>
      </c>
      <c r="E10691">
        <v>0</v>
      </c>
      <c r="F10691" t="s">
        <v>7</v>
      </c>
      <c r="G10691" t="s">
        <v>11</v>
      </c>
      <c r="H10691" s="5">
        <f>MONTH(Tabela1[[#This Row],[data]])</f>
        <v>3</v>
      </c>
      <c r="I10691">
        <f>YEAR(Tabela1[[#This Row],[data]])</f>
        <v>2026</v>
      </c>
    </row>
    <row r="10692" spans="1:9" x14ac:dyDescent="0.25">
      <c r="A10692" t="s">
        <v>6</v>
      </c>
      <c r="B10692" s="1">
        <v>46103</v>
      </c>
      <c r="C10692">
        <v>11</v>
      </c>
      <c r="D10692">
        <v>442.26</v>
      </c>
      <c r="E10692">
        <v>32.76</v>
      </c>
      <c r="F10692" t="s">
        <v>7</v>
      </c>
      <c r="G10692" t="s">
        <v>11</v>
      </c>
      <c r="H10692" s="5">
        <f>MONTH(Tabela1[[#This Row],[data]])</f>
        <v>3</v>
      </c>
      <c r="I10692">
        <f>YEAR(Tabela1[[#This Row],[data]])</f>
        <v>2026</v>
      </c>
    </row>
    <row r="10693" spans="1:9" x14ac:dyDescent="0.25">
      <c r="A10693" t="s">
        <v>6</v>
      </c>
      <c r="B10693" s="1">
        <v>46103</v>
      </c>
      <c r="C10693">
        <v>12</v>
      </c>
      <c r="D10693">
        <v>740.46</v>
      </c>
      <c r="E10693">
        <v>156.24</v>
      </c>
      <c r="F10693" t="s">
        <v>7</v>
      </c>
      <c r="G10693" t="s">
        <v>11</v>
      </c>
      <c r="H10693" s="5">
        <f>MONTH(Tabela1[[#This Row],[data]])</f>
        <v>3</v>
      </c>
      <c r="I10693">
        <f>YEAR(Tabela1[[#This Row],[data]])</f>
        <v>2026</v>
      </c>
    </row>
    <row r="10694" spans="1:9" x14ac:dyDescent="0.25">
      <c r="A10694" t="s">
        <v>6</v>
      </c>
      <c r="B10694" s="1">
        <v>46103</v>
      </c>
      <c r="C10694">
        <v>13</v>
      </c>
      <c r="D10694">
        <v>749.28</v>
      </c>
      <c r="E10694">
        <v>152.04</v>
      </c>
      <c r="F10694" t="s">
        <v>7</v>
      </c>
      <c r="G10694" t="s">
        <v>11</v>
      </c>
      <c r="H10694" s="5">
        <f>MONTH(Tabela1[[#This Row],[data]])</f>
        <v>3</v>
      </c>
      <c r="I10694">
        <f>YEAR(Tabela1[[#This Row],[data]])</f>
        <v>2026</v>
      </c>
    </row>
    <row r="10695" spans="1:9" x14ac:dyDescent="0.25">
      <c r="A10695" t="s">
        <v>6</v>
      </c>
      <c r="B10695" s="1">
        <v>46103</v>
      </c>
      <c r="C10695">
        <v>14</v>
      </c>
      <c r="D10695">
        <v>785.4</v>
      </c>
      <c r="E10695">
        <v>158.76</v>
      </c>
      <c r="F10695" t="s">
        <v>7</v>
      </c>
      <c r="G10695" t="s">
        <v>11</v>
      </c>
      <c r="H10695" s="5">
        <f>MONTH(Tabela1[[#This Row],[data]])</f>
        <v>3</v>
      </c>
      <c r="I10695">
        <f>YEAR(Tabela1[[#This Row],[data]])</f>
        <v>2026</v>
      </c>
    </row>
    <row r="10696" spans="1:9" x14ac:dyDescent="0.25">
      <c r="A10696" t="s">
        <v>6</v>
      </c>
      <c r="B10696" s="1">
        <v>46103</v>
      </c>
      <c r="C10696">
        <v>15</v>
      </c>
      <c r="D10696">
        <v>837.06</v>
      </c>
      <c r="E10696">
        <v>181.02</v>
      </c>
      <c r="F10696" t="s">
        <v>7</v>
      </c>
      <c r="G10696" t="s">
        <v>11</v>
      </c>
      <c r="H10696" s="5">
        <f>MONTH(Tabela1[[#This Row],[data]])</f>
        <v>3</v>
      </c>
      <c r="I10696">
        <f>YEAR(Tabela1[[#This Row],[data]])</f>
        <v>2026</v>
      </c>
    </row>
    <row r="10697" spans="1:9" x14ac:dyDescent="0.25">
      <c r="A10697" t="s">
        <v>6</v>
      </c>
      <c r="B10697" s="1">
        <v>46103</v>
      </c>
      <c r="C10697">
        <v>16</v>
      </c>
      <c r="D10697">
        <v>850.92</v>
      </c>
      <c r="E10697">
        <v>185.22</v>
      </c>
      <c r="F10697" t="s">
        <v>7</v>
      </c>
      <c r="G10697" t="s">
        <v>11</v>
      </c>
      <c r="H10697" s="5">
        <f>MONTH(Tabela1[[#This Row],[data]])</f>
        <v>3</v>
      </c>
      <c r="I10697">
        <f>YEAR(Tabela1[[#This Row],[data]])</f>
        <v>2026</v>
      </c>
    </row>
    <row r="10698" spans="1:9" x14ac:dyDescent="0.25">
      <c r="A10698" t="s">
        <v>6</v>
      </c>
      <c r="B10698" s="1">
        <v>46103</v>
      </c>
      <c r="C10698">
        <v>17</v>
      </c>
      <c r="D10698">
        <v>837.9</v>
      </c>
      <c r="E10698">
        <v>182.7</v>
      </c>
      <c r="F10698" t="s">
        <v>7</v>
      </c>
      <c r="G10698" t="s">
        <v>11</v>
      </c>
      <c r="H10698" s="5">
        <f>MONTH(Tabela1[[#This Row],[data]])</f>
        <v>3</v>
      </c>
      <c r="I10698">
        <f>YEAR(Tabela1[[#This Row],[data]])</f>
        <v>2026</v>
      </c>
    </row>
    <row r="10699" spans="1:9" x14ac:dyDescent="0.25">
      <c r="A10699" t="s">
        <v>6</v>
      </c>
      <c r="B10699" s="1">
        <v>46103</v>
      </c>
      <c r="C10699">
        <v>18</v>
      </c>
      <c r="D10699">
        <v>829.92</v>
      </c>
      <c r="E10699">
        <v>182.28</v>
      </c>
      <c r="F10699" t="s">
        <v>7</v>
      </c>
      <c r="G10699" t="s">
        <v>11</v>
      </c>
      <c r="H10699" s="5">
        <f>MONTH(Tabela1[[#This Row],[data]])</f>
        <v>3</v>
      </c>
      <c r="I10699">
        <f>YEAR(Tabela1[[#This Row],[data]])</f>
        <v>2026</v>
      </c>
    </row>
    <row r="10700" spans="1:9" x14ac:dyDescent="0.25">
      <c r="A10700" t="s">
        <v>6</v>
      </c>
      <c r="B10700" s="1">
        <v>46103</v>
      </c>
      <c r="C10700">
        <v>19</v>
      </c>
      <c r="D10700">
        <v>828.66</v>
      </c>
      <c r="E10700">
        <v>177.66</v>
      </c>
      <c r="F10700" t="s">
        <v>7</v>
      </c>
      <c r="G10700" t="s">
        <v>11</v>
      </c>
      <c r="H10700" s="5">
        <f>MONTH(Tabela1[[#This Row],[data]])</f>
        <v>3</v>
      </c>
      <c r="I10700">
        <f>YEAR(Tabela1[[#This Row],[data]])</f>
        <v>2026</v>
      </c>
    </row>
    <row r="10701" spans="1:9" x14ac:dyDescent="0.25">
      <c r="A10701" t="s">
        <v>6</v>
      </c>
      <c r="B10701" s="1">
        <v>46103</v>
      </c>
      <c r="C10701">
        <v>20</v>
      </c>
      <c r="D10701">
        <v>814.8</v>
      </c>
      <c r="E10701">
        <v>170.52</v>
      </c>
      <c r="F10701" t="s">
        <v>7</v>
      </c>
      <c r="G10701" t="s">
        <v>11</v>
      </c>
      <c r="H10701" s="5">
        <f>MONTH(Tabela1[[#This Row],[data]])</f>
        <v>3</v>
      </c>
      <c r="I10701">
        <f>YEAR(Tabela1[[#This Row],[data]])</f>
        <v>2026</v>
      </c>
    </row>
    <row r="10702" spans="1:9" x14ac:dyDescent="0.25">
      <c r="A10702" t="s">
        <v>6</v>
      </c>
      <c r="B10702" s="1">
        <v>46103</v>
      </c>
      <c r="C10702">
        <v>21</v>
      </c>
      <c r="D10702">
        <v>748.86</v>
      </c>
      <c r="E10702">
        <v>172.62</v>
      </c>
      <c r="F10702" t="s">
        <v>7</v>
      </c>
      <c r="G10702" t="s">
        <v>11</v>
      </c>
      <c r="H10702" s="5">
        <f>MONTH(Tabela1[[#This Row],[data]])</f>
        <v>3</v>
      </c>
      <c r="I10702">
        <f>YEAR(Tabela1[[#This Row],[data]])</f>
        <v>2026</v>
      </c>
    </row>
    <row r="10703" spans="1:9" x14ac:dyDescent="0.25">
      <c r="A10703" t="s">
        <v>6</v>
      </c>
      <c r="B10703" s="1">
        <v>46103</v>
      </c>
      <c r="C10703">
        <v>22</v>
      </c>
      <c r="D10703">
        <v>614.88</v>
      </c>
      <c r="E10703">
        <v>130.19999999999999</v>
      </c>
      <c r="F10703" t="s">
        <v>7</v>
      </c>
      <c r="G10703" t="s">
        <v>11</v>
      </c>
      <c r="H10703" s="5">
        <f>MONTH(Tabela1[[#This Row],[data]])</f>
        <v>3</v>
      </c>
      <c r="I10703">
        <f>YEAR(Tabela1[[#This Row],[data]])</f>
        <v>2026</v>
      </c>
    </row>
    <row r="10704" spans="1:9" x14ac:dyDescent="0.25">
      <c r="A10704" t="s">
        <v>6</v>
      </c>
      <c r="B10704" s="1">
        <v>46103</v>
      </c>
      <c r="C10704">
        <v>23</v>
      </c>
      <c r="D10704">
        <v>338.1</v>
      </c>
      <c r="E10704">
        <v>8.82</v>
      </c>
      <c r="F10704" t="s">
        <v>7</v>
      </c>
      <c r="G10704" t="s">
        <v>11</v>
      </c>
      <c r="H10704" s="5">
        <f>MONTH(Tabela1[[#This Row],[data]])</f>
        <v>3</v>
      </c>
      <c r="I10704">
        <f>YEAR(Tabela1[[#This Row],[data]])</f>
        <v>2026</v>
      </c>
    </row>
    <row r="10705" spans="1:9" x14ac:dyDescent="0.25">
      <c r="A10705" t="s">
        <v>6</v>
      </c>
      <c r="B10705" s="1">
        <v>46103</v>
      </c>
      <c r="C10705">
        <v>24</v>
      </c>
      <c r="D10705">
        <v>249.06</v>
      </c>
      <c r="E10705">
        <v>0</v>
      </c>
      <c r="F10705" t="s">
        <v>7</v>
      </c>
      <c r="G10705" t="s">
        <v>11</v>
      </c>
      <c r="H10705" s="5">
        <f>MONTH(Tabela1[[#This Row],[data]])</f>
        <v>3</v>
      </c>
      <c r="I10705">
        <f>YEAR(Tabela1[[#This Row],[data]])</f>
        <v>2026</v>
      </c>
    </row>
    <row r="10706" spans="1:9" x14ac:dyDescent="0.25">
      <c r="A10706" t="s">
        <v>6</v>
      </c>
      <c r="B10706" s="1">
        <v>46104</v>
      </c>
      <c r="C10706">
        <v>1</v>
      </c>
      <c r="D10706">
        <v>223.02</v>
      </c>
      <c r="E10706">
        <v>0</v>
      </c>
      <c r="F10706" t="s">
        <v>7</v>
      </c>
      <c r="G10706" t="s">
        <v>11</v>
      </c>
      <c r="H10706" s="5">
        <f>MONTH(Tabela1[[#This Row],[data]])</f>
        <v>3</v>
      </c>
      <c r="I10706">
        <f>YEAR(Tabela1[[#This Row],[data]])</f>
        <v>2026</v>
      </c>
    </row>
    <row r="10707" spans="1:9" x14ac:dyDescent="0.25">
      <c r="A10707" t="s">
        <v>6</v>
      </c>
      <c r="B10707" s="1">
        <v>46104</v>
      </c>
      <c r="C10707">
        <v>2</v>
      </c>
      <c r="D10707">
        <v>222.6</v>
      </c>
      <c r="E10707">
        <v>0</v>
      </c>
      <c r="F10707" t="s">
        <v>7</v>
      </c>
      <c r="G10707" t="s">
        <v>11</v>
      </c>
      <c r="H10707" s="5">
        <f>MONTH(Tabela1[[#This Row],[data]])</f>
        <v>3</v>
      </c>
      <c r="I10707">
        <f>YEAR(Tabela1[[#This Row],[data]])</f>
        <v>2026</v>
      </c>
    </row>
    <row r="10708" spans="1:9" x14ac:dyDescent="0.25">
      <c r="A10708" t="s">
        <v>6</v>
      </c>
      <c r="B10708" s="1">
        <v>46104</v>
      </c>
      <c r="C10708">
        <v>3</v>
      </c>
      <c r="D10708">
        <v>218.4</v>
      </c>
      <c r="E10708">
        <v>0</v>
      </c>
      <c r="F10708" t="s">
        <v>7</v>
      </c>
      <c r="G10708" t="s">
        <v>11</v>
      </c>
      <c r="H10708" s="5">
        <f>MONTH(Tabela1[[#This Row],[data]])</f>
        <v>3</v>
      </c>
      <c r="I10708">
        <f>YEAR(Tabela1[[#This Row],[data]])</f>
        <v>2026</v>
      </c>
    </row>
    <row r="10709" spans="1:9" x14ac:dyDescent="0.25">
      <c r="A10709" t="s">
        <v>6</v>
      </c>
      <c r="B10709" s="1">
        <v>46104</v>
      </c>
      <c r="C10709">
        <v>4</v>
      </c>
      <c r="D10709">
        <v>216.72</v>
      </c>
      <c r="E10709">
        <v>0</v>
      </c>
      <c r="F10709" t="s">
        <v>7</v>
      </c>
      <c r="G10709" t="s">
        <v>11</v>
      </c>
      <c r="H10709" s="5">
        <f>MONTH(Tabela1[[#This Row],[data]])</f>
        <v>3</v>
      </c>
      <c r="I10709">
        <f>YEAR(Tabela1[[#This Row],[data]])</f>
        <v>2026</v>
      </c>
    </row>
    <row r="10710" spans="1:9" x14ac:dyDescent="0.25">
      <c r="A10710" t="s">
        <v>6</v>
      </c>
      <c r="B10710" s="1">
        <v>46104</v>
      </c>
      <c r="C10710">
        <v>5</v>
      </c>
      <c r="D10710">
        <v>224.7</v>
      </c>
      <c r="E10710">
        <v>0</v>
      </c>
      <c r="F10710" t="s">
        <v>7</v>
      </c>
      <c r="G10710" t="s">
        <v>11</v>
      </c>
      <c r="H10710" s="5">
        <f>MONTH(Tabela1[[#This Row],[data]])</f>
        <v>3</v>
      </c>
      <c r="I10710">
        <f>YEAR(Tabela1[[#This Row],[data]])</f>
        <v>2026</v>
      </c>
    </row>
    <row r="10711" spans="1:9" x14ac:dyDescent="0.25">
      <c r="A10711" t="s">
        <v>6</v>
      </c>
      <c r="B10711" s="1">
        <v>46104</v>
      </c>
      <c r="C10711">
        <v>6</v>
      </c>
      <c r="D10711">
        <v>220.08</v>
      </c>
      <c r="E10711">
        <v>0</v>
      </c>
      <c r="F10711" t="s">
        <v>7</v>
      </c>
      <c r="G10711" t="s">
        <v>11</v>
      </c>
      <c r="H10711" s="5">
        <f>MONTH(Tabela1[[#This Row],[data]])</f>
        <v>3</v>
      </c>
      <c r="I10711">
        <f>YEAR(Tabela1[[#This Row],[data]])</f>
        <v>2026</v>
      </c>
    </row>
    <row r="10712" spans="1:9" x14ac:dyDescent="0.25">
      <c r="A10712" t="s">
        <v>6</v>
      </c>
      <c r="B10712" s="1">
        <v>46104</v>
      </c>
      <c r="C10712">
        <v>7</v>
      </c>
      <c r="D10712">
        <v>238.56</v>
      </c>
      <c r="E10712">
        <v>0</v>
      </c>
      <c r="F10712" t="s">
        <v>7</v>
      </c>
      <c r="G10712" t="s">
        <v>11</v>
      </c>
      <c r="H10712" s="5">
        <f>MONTH(Tabela1[[#This Row],[data]])</f>
        <v>3</v>
      </c>
      <c r="I10712">
        <f>YEAR(Tabela1[[#This Row],[data]])</f>
        <v>2026</v>
      </c>
    </row>
    <row r="10713" spans="1:9" x14ac:dyDescent="0.25">
      <c r="A10713" t="s">
        <v>6</v>
      </c>
      <c r="B10713" s="1">
        <v>46104</v>
      </c>
      <c r="C10713">
        <v>8</v>
      </c>
      <c r="D10713">
        <v>252.42</v>
      </c>
      <c r="E10713">
        <v>0</v>
      </c>
      <c r="F10713" t="s">
        <v>7</v>
      </c>
      <c r="G10713" t="s">
        <v>11</v>
      </c>
      <c r="H10713" s="5">
        <f>MONTH(Tabela1[[#This Row],[data]])</f>
        <v>3</v>
      </c>
      <c r="I10713">
        <f>YEAR(Tabela1[[#This Row],[data]])</f>
        <v>2026</v>
      </c>
    </row>
    <row r="10714" spans="1:9" x14ac:dyDescent="0.25">
      <c r="A10714" t="s">
        <v>6</v>
      </c>
      <c r="B10714" s="1">
        <v>46104</v>
      </c>
      <c r="C10714">
        <v>9</v>
      </c>
      <c r="D10714">
        <v>344.82</v>
      </c>
      <c r="E10714">
        <v>0</v>
      </c>
      <c r="F10714" t="s">
        <v>7</v>
      </c>
      <c r="G10714" t="s">
        <v>11</v>
      </c>
      <c r="H10714" s="5">
        <f>MONTH(Tabela1[[#This Row],[data]])</f>
        <v>3</v>
      </c>
      <c r="I10714">
        <f>YEAR(Tabela1[[#This Row],[data]])</f>
        <v>2026</v>
      </c>
    </row>
    <row r="10715" spans="1:9" x14ac:dyDescent="0.25">
      <c r="A10715" t="s">
        <v>6</v>
      </c>
      <c r="B10715" s="1">
        <v>46104</v>
      </c>
      <c r="C10715">
        <v>10</v>
      </c>
      <c r="D10715">
        <v>446.88</v>
      </c>
      <c r="E10715">
        <v>18.059999999999999</v>
      </c>
      <c r="F10715" t="s">
        <v>7</v>
      </c>
      <c r="G10715" t="s">
        <v>11</v>
      </c>
      <c r="H10715" s="5">
        <f>MONTH(Tabela1[[#This Row],[data]])</f>
        <v>3</v>
      </c>
      <c r="I10715">
        <f>YEAR(Tabela1[[#This Row],[data]])</f>
        <v>2026</v>
      </c>
    </row>
    <row r="10716" spans="1:9" x14ac:dyDescent="0.25">
      <c r="A10716" t="s">
        <v>6</v>
      </c>
      <c r="B10716" s="1">
        <v>46104</v>
      </c>
      <c r="C10716">
        <v>11</v>
      </c>
      <c r="D10716">
        <v>839.58</v>
      </c>
      <c r="E10716">
        <v>183.12</v>
      </c>
      <c r="F10716" t="s">
        <v>7</v>
      </c>
      <c r="G10716" t="s">
        <v>11</v>
      </c>
      <c r="H10716" s="5">
        <f>MONTH(Tabela1[[#This Row],[data]])</f>
        <v>3</v>
      </c>
      <c r="I10716">
        <f>YEAR(Tabela1[[#This Row],[data]])</f>
        <v>2026</v>
      </c>
    </row>
    <row r="10717" spans="1:9" x14ac:dyDescent="0.25">
      <c r="A10717" t="s">
        <v>6</v>
      </c>
      <c r="B10717" s="1">
        <v>46104</v>
      </c>
      <c r="C10717">
        <v>12</v>
      </c>
      <c r="D10717">
        <v>851.76</v>
      </c>
      <c r="E10717">
        <v>188.58</v>
      </c>
      <c r="F10717" t="s">
        <v>7</v>
      </c>
      <c r="G10717" t="s">
        <v>11</v>
      </c>
      <c r="H10717" s="5">
        <f>MONTH(Tabela1[[#This Row],[data]])</f>
        <v>3</v>
      </c>
      <c r="I10717">
        <f>YEAR(Tabela1[[#This Row],[data]])</f>
        <v>2026</v>
      </c>
    </row>
    <row r="10718" spans="1:9" x14ac:dyDescent="0.25">
      <c r="A10718" t="s">
        <v>6</v>
      </c>
      <c r="B10718" s="1">
        <v>46104</v>
      </c>
      <c r="C10718">
        <v>13</v>
      </c>
      <c r="D10718">
        <v>848.82</v>
      </c>
      <c r="E10718">
        <v>205.38</v>
      </c>
      <c r="F10718" t="s">
        <v>7</v>
      </c>
      <c r="G10718" t="s">
        <v>11</v>
      </c>
      <c r="H10718" s="5">
        <f>MONTH(Tabela1[[#This Row],[data]])</f>
        <v>3</v>
      </c>
      <c r="I10718">
        <f>YEAR(Tabela1[[#This Row],[data]])</f>
        <v>2026</v>
      </c>
    </row>
    <row r="10719" spans="1:9" x14ac:dyDescent="0.25">
      <c r="A10719" t="s">
        <v>6</v>
      </c>
      <c r="B10719" s="1">
        <v>46104</v>
      </c>
      <c r="C10719">
        <v>14</v>
      </c>
      <c r="D10719">
        <v>842.52</v>
      </c>
      <c r="E10719">
        <v>173.88</v>
      </c>
      <c r="F10719" t="s">
        <v>7</v>
      </c>
      <c r="G10719" t="s">
        <v>11</v>
      </c>
      <c r="H10719" s="5">
        <f>MONTH(Tabela1[[#This Row],[data]])</f>
        <v>3</v>
      </c>
      <c r="I10719">
        <f>YEAR(Tabela1[[#This Row],[data]])</f>
        <v>2026</v>
      </c>
    </row>
    <row r="10720" spans="1:9" x14ac:dyDescent="0.25">
      <c r="A10720" t="s">
        <v>6</v>
      </c>
      <c r="B10720" s="1">
        <v>46104</v>
      </c>
      <c r="C10720">
        <v>15</v>
      </c>
      <c r="D10720">
        <v>878.22</v>
      </c>
      <c r="E10720">
        <v>191.52</v>
      </c>
      <c r="F10720" t="s">
        <v>7</v>
      </c>
      <c r="G10720" t="s">
        <v>11</v>
      </c>
      <c r="H10720" s="5">
        <f>MONTH(Tabela1[[#This Row],[data]])</f>
        <v>3</v>
      </c>
      <c r="I10720">
        <f>YEAR(Tabela1[[#This Row],[data]])</f>
        <v>2026</v>
      </c>
    </row>
    <row r="10721" spans="1:9" x14ac:dyDescent="0.25">
      <c r="A10721" t="s">
        <v>6</v>
      </c>
      <c r="B10721" s="1">
        <v>46104</v>
      </c>
      <c r="C10721">
        <v>16</v>
      </c>
      <c r="D10721">
        <v>865.2</v>
      </c>
      <c r="E10721">
        <v>211.26</v>
      </c>
      <c r="F10721" t="s">
        <v>7</v>
      </c>
      <c r="G10721" t="s">
        <v>11</v>
      </c>
      <c r="H10721" s="5">
        <f>MONTH(Tabela1[[#This Row],[data]])</f>
        <v>3</v>
      </c>
      <c r="I10721">
        <f>YEAR(Tabela1[[#This Row],[data]])</f>
        <v>2026</v>
      </c>
    </row>
    <row r="10722" spans="1:9" x14ac:dyDescent="0.25">
      <c r="A10722" t="s">
        <v>6</v>
      </c>
      <c r="B10722" s="1">
        <v>46104</v>
      </c>
      <c r="C10722">
        <v>17</v>
      </c>
      <c r="D10722">
        <v>877.38</v>
      </c>
      <c r="E10722">
        <v>223.44</v>
      </c>
      <c r="F10722" t="s">
        <v>7</v>
      </c>
      <c r="G10722" t="s">
        <v>11</v>
      </c>
      <c r="H10722" s="5">
        <f>MONTH(Tabela1[[#This Row],[data]])</f>
        <v>3</v>
      </c>
      <c r="I10722">
        <f>YEAR(Tabela1[[#This Row],[data]])</f>
        <v>2026</v>
      </c>
    </row>
    <row r="10723" spans="1:9" x14ac:dyDescent="0.25">
      <c r="A10723" t="s">
        <v>6</v>
      </c>
      <c r="B10723" s="1">
        <v>46104</v>
      </c>
      <c r="C10723">
        <v>18</v>
      </c>
      <c r="D10723">
        <v>855.12</v>
      </c>
      <c r="E10723">
        <v>200.76</v>
      </c>
      <c r="F10723" t="s">
        <v>7</v>
      </c>
      <c r="G10723" t="s">
        <v>11</v>
      </c>
      <c r="H10723" s="5">
        <f>MONTH(Tabela1[[#This Row],[data]])</f>
        <v>3</v>
      </c>
      <c r="I10723">
        <f>YEAR(Tabela1[[#This Row],[data]])</f>
        <v>2026</v>
      </c>
    </row>
    <row r="10724" spans="1:9" x14ac:dyDescent="0.25">
      <c r="A10724" t="s">
        <v>6</v>
      </c>
      <c r="B10724" s="1">
        <v>46104</v>
      </c>
      <c r="C10724">
        <v>19</v>
      </c>
      <c r="D10724">
        <v>799.68</v>
      </c>
      <c r="E10724">
        <v>157.5</v>
      </c>
      <c r="F10724" t="s">
        <v>7</v>
      </c>
      <c r="G10724" t="s">
        <v>11</v>
      </c>
      <c r="H10724" s="5">
        <f>MONTH(Tabela1[[#This Row],[data]])</f>
        <v>3</v>
      </c>
      <c r="I10724">
        <f>YEAR(Tabela1[[#This Row],[data]])</f>
        <v>2026</v>
      </c>
    </row>
    <row r="10725" spans="1:9" x14ac:dyDescent="0.25">
      <c r="A10725" t="s">
        <v>6</v>
      </c>
      <c r="B10725" s="1">
        <v>46104</v>
      </c>
      <c r="C10725">
        <v>20</v>
      </c>
      <c r="D10725">
        <v>785.82</v>
      </c>
      <c r="E10725">
        <v>173.88</v>
      </c>
      <c r="F10725" t="s">
        <v>7</v>
      </c>
      <c r="G10725" t="s">
        <v>11</v>
      </c>
      <c r="H10725" s="5">
        <f>MONTH(Tabela1[[#This Row],[data]])</f>
        <v>3</v>
      </c>
      <c r="I10725">
        <f>YEAR(Tabela1[[#This Row],[data]])</f>
        <v>2026</v>
      </c>
    </row>
    <row r="10726" spans="1:9" x14ac:dyDescent="0.25">
      <c r="A10726" t="s">
        <v>6</v>
      </c>
      <c r="B10726" s="1">
        <v>46104</v>
      </c>
      <c r="C10726">
        <v>21</v>
      </c>
      <c r="D10726">
        <v>771.54</v>
      </c>
      <c r="E10726">
        <v>155.82</v>
      </c>
      <c r="F10726" t="s">
        <v>7</v>
      </c>
      <c r="G10726" t="s">
        <v>11</v>
      </c>
      <c r="H10726" s="5">
        <f>MONTH(Tabela1[[#This Row],[data]])</f>
        <v>3</v>
      </c>
      <c r="I10726">
        <f>YEAR(Tabela1[[#This Row],[data]])</f>
        <v>2026</v>
      </c>
    </row>
    <row r="10727" spans="1:9" x14ac:dyDescent="0.25">
      <c r="A10727" t="s">
        <v>6</v>
      </c>
      <c r="B10727" s="1">
        <v>46104</v>
      </c>
      <c r="C10727">
        <v>22</v>
      </c>
      <c r="D10727">
        <v>721.98</v>
      </c>
      <c r="E10727">
        <v>126</v>
      </c>
      <c r="F10727" t="s">
        <v>7</v>
      </c>
      <c r="G10727" t="s">
        <v>11</v>
      </c>
      <c r="H10727" s="5">
        <f>MONTH(Tabela1[[#This Row],[data]])</f>
        <v>3</v>
      </c>
      <c r="I10727">
        <f>YEAR(Tabela1[[#This Row],[data]])</f>
        <v>2026</v>
      </c>
    </row>
    <row r="10728" spans="1:9" x14ac:dyDescent="0.25">
      <c r="A10728" t="s">
        <v>6</v>
      </c>
      <c r="B10728" s="1">
        <v>46104</v>
      </c>
      <c r="C10728">
        <v>23</v>
      </c>
      <c r="D10728">
        <v>344.4</v>
      </c>
      <c r="E10728">
        <v>0.42</v>
      </c>
      <c r="F10728" t="s">
        <v>7</v>
      </c>
      <c r="G10728" t="s">
        <v>11</v>
      </c>
      <c r="H10728" s="5">
        <f>MONTH(Tabela1[[#This Row],[data]])</f>
        <v>3</v>
      </c>
      <c r="I10728">
        <f>YEAR(Tabela1[[#This Row],[data]])</f>
        <v>2026</v>
      </c>
    </row>
    <row r="10729" spans="1:9" x14ac:dyDescent="0.25">
      <c r="A10729" t="s">
        <v>6</v>
      </c>
      <c r="B10729" s="1">
        <v>46104</v>
      </c>
      <c r="C10729">
        <v>24</v>
      </c>
      <c r="D10729">
        <v>266.27999999999997</v>
      </c>
      <c r="E10729">
        <v>0</v>
      </c>
      <c r="F10729" t="s">
        <v>7</v>
      </c>
      <c r="G10729" t="s">
        <v>11</v>
      </c>
      <c r="H10729" s="5">
        <f>MONTH(Tabela1[[#This Row],[data]])</f>
        <v>3</v>
      </c>
      <c r="I10729">
        <f>YEAR(Tabela1[[#This Row],[data]])</f>
        <v>2026</v>
      </c>
    </row>
    <row r="10730" spans="1:9" x14ac:dyDescent="0.25">
      <c r="A10730" t="s">
        <v>6</v>
      </c>
      <c r="B10730" s="1">
        <v>46105</v>
      </c>
      <c r="C10730">
        <v>1</v>
      </c>
      <c r="D10730">
        <v>229.74</v>
      </c>
      <c r="E10730">
        <v>0</v>
      </c>
      <c r="F10730" t="s">
        <v>7</v>
      </c>
      <c r="G10730" t="s">
        <v>12</v>
      </c>
      <c r="H10730" s="5">
        <f>MONTH(Tabela1[[#This Row],[data]])</f>
        <v>3</v>
      </c>
      <c r="I10730">
        <f>YEAR(Tabela1[[#This Row],[data]])</f>
        <v>2026</v>
      </c>
    </row>
    <row r="10731" spans="1:9" x14ac:dyDescent="0.25">
      <c r="A10731" t="s">
        <v>6</v>
      </c>
      <c r="B10731" s="1">
        <v>46105</v>
      </c>
      <c r="C10731">
        <v>2</v>
      </c>
      <c r="D10731">
        <v>225.96</v>
      </c>
      <c r="E10731">
        <v>0</v>
      </c>
      <c r="F10731" t="s">
        <v>7</v>
      </c>
      <c r="G10731" t="s">
        <v>12</v>
      </c>
      <c r="H10731" s="5">
        <f>MONTH(Tabela1[[#This Row],[data]])</f>
        <v>3</v>
      </c>
      <c r="I10731">
        <f>YEAR(Tabela1[[#This Row],[data]])</f>
        <v>2026</v>
      </c>
    </row>
    <row r="10732" spans="1:9" x14ac:dyDescent="0.25">
      <c r="A10732" t="s">
        <v>6</v>
      </c>
      <c r="B10732" s="1">
        <v>46105</v>
      </c>
      <c r="C10732">
        <v>3</v>
      </c>
      <c r="D10732">
        <v>221.76</v>
      </c>
      <c r="E10732">
        <v>0</v>
      </c>
      <c r="F10732" t="s">
        <v>7</v>
      </c>
      <c r="G10732" t="s">
        <v>12</v>
      </c>
      <c r="H10732" s="5">
        <f>MONTH(Tabela1[[#This Row],[data]])</f>
        <v>3</v>
      </c>
      <c r="I10732">
        <f>YEAR(Tabela1[[#This Row],[data]])</f>
        <v>2026</v>
      </c>
    </row>
    <row r="10733" spans="1:9" x14ac:dyDescent="0.25">
      <c r="A10733" t="s">
        <v>6</v>
      </c>
      <c r="B10733" s="1">
        <v>46105</v>
      </c>
      <c r="C10733">
        <v>4</v>
      </c>
      <c r="D10733">
        <v>208.74</v>
      </c>
      <c r="E10733">
        <v>0</v>
      </c>
      <c r="F10733" t="s">
        <v>7</v>
      </c>
      <c r="G10733" t="s">
        <v>12</v>
      </c>
      <c r="H10733" s="5">
        <f>MONTH(Tabela1[[#This Row],[data]])</f>
        <v>3</v>
      </c>
      <c r="I10733">
        <f>YEAR(Tabela1[[#This Row],[data]])</f>
        <v>2026</v>
      </c>
    </row>
    <row r="10734" spans="1:9" x14ac:dyDescent="0.25">
      <c r="A10734" t="s">
        <v>6</v>
      </c>
      <c r="B10734" s="1">
        <v>46105</v>
      </c>
      <c r="C10734">
        <v>5</v>
      </c>
      <c r="D10734">
        <v>212.94</v>
      </c>
      <c r="E10734">
        <v>0</v>
      </c>
      <c r="F10734" t="s">
        <v>7</v>
      </c>
      <c r="G10734" t="s">
        <v>12</v>
      </c>
      <c r="H10734" s="5">
        <f>MONTH(Tabela1[[#This Row],[data]])</f>
        <v>3</v>
      </c>
      <c r="I10734">
        <f>YEAR(Tabela1[[#This Row],[data]])</f>
        <v>2026</v>
      </c>
    </row>
    <row r="10735" spans="1:9" x14ac:dyDescent="0.25">
      <c r="A10735" t="s">
        <v>6</v>
      </c>
      <c r="B10735" s="1">
        <v>46105</v>
      </c>
      <c r="C10735">
        <v>6</v>
      </c>
      <c r="D10735">
        <v>209.58</v>
      </c>
      <c r="E10735">
        <v>0</v>
      </c>
      <c r="F10735" t="s">
        <v>7</v>
      </c>
      <c r="G10735" t="s">
        <v>12</v>
      </c>
      <c r="H10735" s="5">
        <f>MONTH(Tabela1[[#This Row],[data]])</f>
        <v>3</v>
      </c>
      <c r="I10735">
        <f>YEAR(Tabela1[[#This Row],[data]])</f>
        <v>2026</v>
      </c>
    </row>
    <row r="10736" spans="1:9" x14ac:dyDescent="0.25">
      <c r="A10736" t="s">
        <v>6</v>
      </c>
      <c r="B10736" s="1">
        <v>46105</v>
      </c>
      <c r="C10736">
        <v>7</v>
      </c>
      <c r="D10736">
        <v>203.28</v>
      </c>
      <c r="E10736">
        <v>0</v>
      </c>
      <c r="F10736" t="s">
        <v>7</v>
      </c>
      <c r="G10736" t="s">
        <v>12</v>
      </c>
      <c r="H10736" s="5">
        <f>MONTH(Tabela1[[#This Row],[data]])</f>
        <v>3</v>
      </c>
      <c r="I10736">
        <f>YEAR(Tabela1[[#This Row],[data]])</f>
        <v>2026</v>
      </c>
    </row>
    <row r="10737" spans="1:9" x14ac:dyDescent="0.25">
      <c r="A10737" t="s">
        <v>6</v>
      </c>
      <c r="B10737" s="1">
        <v>46105</v>
      </c>
      <c r="C10737">
        <v>8</v>
      </c>
      <c r="D10737">
        <v>233.52</v>
      </c>
      <c r="E10737">
        <v>0</v>
      </c>
      <c r="F10737" t="s">
        <v>7</v>
      </c>
      <c r="G10737" t="s">
        <v>12</v>
      </c>
      <c r="H10737" s="5">
        <f>MONTH(Tabela1[[#This Row],[data]])</f>
        <v>3</v>
      </c>
      <c r="I10737">
        <f>YEAR(Tabela1[[#This Row],[data]])</f>
        <v>2026</v>
      </c>
    </row>
    <row r="10738" spans="1:9" x14ac:dyDescent="0.25">
      <c r="A10738" t="s">
        <v>6</v>
      </c>
      <c r="B10738" s="1">
        <v>46105</v>
      </c>
      <c r="C10738">
        <v>9</v>
      </c>
      <c r="D10738">
        <v>341.46</v>
      </c>
      <c r="E10738">
        <v>0</v>
      </c>
      <c r="F10738" t="s">
        <v>7</v>
      </c>
      <c r="G10738" t="s">
        <v>12</v>
      </c>
      <c r="H10738" s="5">
        <f>MONTH(Tabela1[[#This Row],[data]])</f>
        <v>3</v>
      </c>
      <c r="I10738">
        <f>YEAR(Tabela1[[#This Row],[data]])</f>
        <v>2026</v>
      </c>
    </row>
    <row r="10739" spans="1:9" x14ac:dyDescent="0.25">
      <c r="A10739" t="s">
        <v>6</v>
      </c>
      <c r="B10739" s="1">
        <v>46105</v>
      </c>
      <c r="C10739">
        <v>10</v>
      </c>
      <c r="D10739">
        <v>524.58000000000004</v>
      </c>
      <c r="E10739">
        <v>54.6</v>
      </c>
      <c r="F10739" t="s">
        <v>7</v>
      </c>
      <c r="G10739" t="s">
        <v>12</v>
      </c>
      <c r="H10739" s="5">
        <f>MONTH(Tabela1[[#This Row],[data]])</f>
        <v>3</v>
      </c>
      <c r="I10739">
        <f>YEAR(Tabela1[[#This Row],[data]])</f>
        <v>2026</v>
      </c>
    </row>
    <row r="10740" spans="1:9" x14ac:dyDescent="0.25">
      <c r="A10740" t="s">
        <v>6</v>
      </c>
      <c r="B10740" s="1">
        <v>46105</v>
      </c>
      <c r="C10740">
        <v>11</v>
      </c>
      <c r="D10740">
        <v>891.24</v>
      </c>
      <c r="E10740">
        <v>207.06</v>
      </c>
      <c r="F10740" t="s">
        <v>7</v>
      </c>
      <c r="G10740" t="s">
        <v>12</v>
      </c>
      <c r="H10740" s="5">
        <f>MONTH(Tabela1[[#This Row],[data]])</f>
        <v>3</v>
      </c>
      <c r="I10740">
        <f>YEAR(Tabela1[[#This Row],[data]])</f>
        <v>2026</v>
      </c>
    </row>
    <row r="10741" spans="1:9" x14ac:dyDescent="0.25">
      <c r="A10741" t="s">
        <v>6</v>
      </c>
      <c r="B10741" s="1">
        <v>46105</v>
      </c>
      <c r="C10741">
        <v>12</v>
      </c>
      <c r="D10741">
        <v>929.04</v>
      </c>
      <c r="E10741">
        <v>226.38</v>
      </c>
      <c r="F10741" t="s">
        <v>7</v>
      </c>
      <c r="G10741" t="s">
        <v>12</v>
      </c>
      <c r="H10741" s="5">
        <f>MONTH(Tabela1[[#This Row],[data]])</f>
        <v>3</v>
      </c>
      <c r="I10741">
        <f>YEAR(Tabela1[[#This Row],[data]])</f>
        <v>2026</v>
      </c>
    </row>
    <row r="10742" spans="1:9" x14ac:dyDescent="0.25">
      <c r="A10742" t="s">
        <v>6</v>
      </c>
      <c r="B10742" s="1">
        <v>46105</v>
      </c>
      <c r="C10742">
        <v>13</v>
      </c>
      <c r="D10742">
        <v>940.38</v>
      </c>
      <c r="E10742">
        <v>258.3</v>
      </c>
      <c r="F10742" t="s">
        <v>7</v>
      </c>
      <c r="G10742" t="s">
        <v>12</v>
      </c>
      <c r="H10742" s="5">
        <f>MONTH(Tabela1[[#This Row],[data]])</f>
        <v>3</v>
      </c>
      <c r="I10742">
        <f>YEAR(Tabela1[[#This Row],[data]])</f>
        <v>2026</v>
      </c>
    </row>
    <row r="10743" spans="1:9" x14ac:dyDescent="0.25">
      <c r="A10743" t="s">
        <v>6</v>
      </c>
      <c r="B10743" s="1">
        <v>46105</v>
      </c>
      <c r="C10743">
        <v>14</v>
      </c>
      <c r="D10743">
        <v>954.24</v>
      </c>
      <c r="E10743">
        <v>263.76</v>
      </c>
      <c r="F10743" t="s">
        <v>7</v>
      </c>
      <c r="G10743" t="s">
        <v>12</v>
      </c>
      <c r="H10743" s="5">
        <f>MONTH(Tabela1[[#This Row],[data]])</f>
        <v>3</v>
      </c>
      <c r="I10743">
        <f>YEAR(Tabela1[[#This Row],[data]])</f>
        <v>2026</v>
      </c>
    </row>
    <row r="10744" spans="1:9" x14ac:dyDescent="0.25">
      <c r="A10744" t="s">
        <v>6</v>
      </c>
      <c r="B10744" s="1">
        <v>46105</v>
      </c>
      <c r="C10744">
        <v>15</v>
      </c>
      <c r="D10744">
        <v>990.36</v>
      </c>
      <c r="E10744">
        <v>280.56</v>
      </c>
      <c r="F10744" t="s">
        <v>7</v>
      </c>
      <c r="G10744" t="s">
        <v>12</v>
      </c>
      <c r="H10744" s="5">
        <f>MONTH(Tabela1[[#This Row],[data]])</f>
        <v>3</v>
      </c>
      <c r="I10744">
        <f>YEAR(Tabela1[[#This Row],[data]])</f>
        <v>2026</v>
      </c>
    </row>
    <row r="10745" spans="1:9" x14ac:dyDescent="0.25">
      <c r="A10745" t="s">
        <v>6</v>
      </c>
      <c r="B10745" s="1">
        <v>46105</v>
      </c>
      <c r="C10745">
        <v>16</v>
      </c>
      <c r="D10745">
        <v>996.66</v>
      </c>
      <c r="E10745">
        <v>285.18</v>
      </c>
      <c r="F10745" t="s">
        <v>7</v>
      </c>
      <c r="G10745" t="s">
        <v>12</v>
      </c>
      <c r="H10745" s="5">
        <f>MONTH(Tabela1[[#This Row],[data]])</f>
        <v>3</v>
      </c>
      <c r="I10745">
        <f>YEAR(Tabela1[[#This Row],[data]])</f>
        <v>2026</v>
      </c>
    </row>
    <row r="10746" spans="1:9" x14ac:dyDescent="0.25">
      <c r="A10746" t="s">
        <v>6</v>
      </c>
      <c r="B10746" s="1">
        <v>46105</v>
      </c>
      <c r="C10746">
        <v>17</v>
      </c>
      <c r="D10746">
        <v>999.18</v>
      </c>
      <c r="E10746">
        <v>313.32</v>
      </c>
      <c r="F10746" t="s">
        <v>7</v>
      </c>
      <c r="G10746" t="s">
        <v>12</v>
      </c>
      <c r="H10746" s="5">
        <f>MONTH(Tabela1[[#This Row],[data]])</f>
        <v>3</v>
      </c>
      <c r="I10746">
        <f>YEAR(Tabela1[[#This Row],[data]])</f>
        <v>2026</v>
      </c>
    </row>
    <row r="10747" spans="1:9" x14ac:dyDescent="0.25">
      <c r="A10747" t="s">
        <v>6</v>
      </c>
      <c r="B10747" s="1">
        <v>46105</v>
      </c>
      <c r="C10747">
        <v>18</v>
      </c>
      <c r="D10747">
        <v>945.84</v>
      </c>
      <c r="E10747">
        <v>277.62</v>
      </c>
      <c r="F10747" t="s">
        <v>7</v>
      </c>
      <c r="G10747" t="s">
        <v>12</v>
      </c>
      <c r="H10747" s="5">
        <f>MONTH(Tabela1[[#This Row],[data]])</f>
        <v>3</v>
      </c>
      <c r="I10747">
        <f>YEAR(Tabela1[[#This Row],[data]])</f>
        <v>2026</v>
      </c>
    </row>
    <row r="10748" spans="1:9" x14ac:dyDescent="0.25">
      <c r="A10748" t="s">
        <v>6</v>
      </c>
      <c r="B10748" s="1">
        <v>46105</v>
      </c>
      <c r="C10748">
        <v>19</v>
      </c>
      <c r="D10748">
        <v>902.58</v>
      </c>
      <c r="E10748">
        <v>215.88</v>
      </c>
      <c r="F10748" t="s">
        <v>7</v>
      </c>
      <c r="G10748" t="s">
        <v>12</v>
      </c>
      <c r="H10748" s="5">
        <f>MONTH(Tabela1[[#This Row],[data]])</f>
        <v>3</v>
      </c>
      <c r="I10748">
        <f>YEAR(Tabela1[[#This Row],[data]])</f>
        <v>2026</v>
      </c>
    </row>
    <row r="10749" spans="1:9" x14ac:dyDescent="0.25">
      <c r="A10749" t="s">
        <v>6</v>
      </c>
      <c r="B10749" s="1">
        <v>46105</v>
      </c>
      <c r="C10749">
        <v>20</v>
      </c>
      <c r="D10749">
        <v>886.62</v>
      </c>
      <c r="E10749">
        <v>232.26</v>
      </c>
      <c r="F10749" t="s">
        <v>7</v>
      </c>
      <c r="G10749" t="s">
        <v>12</v>
      </c>
      <c r="H10749" s="5">
        <f>MONTH(Tabela1[[#This Row],[data]])</f>
        <v>3</v>
      </c>
      <c r="I10749">
        <f>YEAR(Tabela1[[#This Row],[data]])</f>
        <v>2026</v>
      </c>
    </row>
    <row r="10750" spans="1:9" x14ac:dyDescent="0.25">
      <c r="A10750" t="s">
        <v>6</v>
      </c>
      <c r="B10750" s="1">
        <v>46105</v>
      </c>
      <c r="C10750">
        <v>21</v>
      </c>
      <c r="D10750">
        <v>882.42</v>
      </c>
      <c r="E10750">
        <v>208.74</v>
      </c>
      <c r="F10750" t="s">
        <v>7</v>
      </c>
      <c r="G10750" t="s">
        <v>12</v>
      </c>
      <c r="H10750" s="5">
        <f>MONTH(Tabela1[[#This Row],[data]])</f>
        <v>3</v>
      </c>
      <c r="I10750">
        <f>YEAR(Tabela1[[#This Row],[data]])</f>
        <v>2026</v>
      </c>
    </row>
    <row r="10751" spans="1:9" x14ac:dyDescent="0.25">
      <c r="A10751" t="s">
        <v>6</v>
      </c>
      <c r="B10751" s="1">
        <v>46105</v>
      </c>
      <c r="C10751">
        <v>22</v>
      </c>
      <c r="D10751">
        <v>800.94</v>
      </c>
      <c r="E10751">
        <v>159.18</v>
      </c>
      <c r="F10751" t="s">
        <v>7</v>
      </c>
      <c r="G10751" t="s">
        <v>12</v>
      </c>
      <c r="H10751" s="5">
        <f>MONTH(Tabela1[[#This Row],[data]])</f>
        <v>3</v>
      </c>
      <c r="I10751">
        <f>YEAR(Tabela1[[#This Row],[data]])</f>
        <v>2026</v>
      </c>
    </row>
    <row r="10752" spans="1:9" x14ac:dyDescent="0.25">
      <c r="A10752" t="s">
        <v>6</v>
      </c>
      <c r="B10752" s="1">
        <v>46105</v>
      </c>
      <c r="C10752">
        <v>23</v>
      </c>
      <c r="D10752">
        <v>432.6</v>
      </c>
      <c r="E10752">
        <v>19.32</v>
      </c>
      <c r="F10752" t="s">
        <v>7</v>
      </c>
      <c r="G10752" t="s">
        <v>12</v>
      </c>
      <c r="H10752" s="5">
        <f>MONTH(Tabela1[[#This Row],[data]])</f>
        <v>3</v>
      </c>
      <c r="I10752">
        <f>YEAR(Tabela1[[#This Row],[data]])</f>
        <v>2026</v>
      </c>
    </row>
    <row r="10753" spans="1:9" x14ac:dyDescent="0.25">
      <c r="A10753" t="s">
        <v>6</v>
      </c>
      <c r="B10753" s="1">
        <v>46105</v>
      </c>
      <c r="C10753">
        <v>24</v>
      </c>
      <c r="D10753">
        <v>265.02</v>
      </c>
      <c r="E10753">
        <v>0</v>
      </c>
      <c r="F10753" t="s">
        <v>7</v>
      </c>
      <c r="G10753" t="s">
        <v>12</v>
      </c>
      <c r="H10753" s="5">
        <f>MONTH(Tabela1[[#This Row],[data]])</f>
        <v>3</v>
      </c>
      <c r="I10753">
        <f>YEAR(Tabela1[[#This Row],[data]])</f>
        <v>2026</v>
      </c>
    </row>
    <row r="10754" spans="1:9" x14ac:dyDescent="0.25">
      <c r="A10754" t="s">
        <v>6</v>
      </c>
      <c r="B10754" s="1">
        <v>46106</v>
      </c>
      <c r="C10754">
        <v>1</v>
      </c>
      <c r="D10754">
        <v>232.68</v>
      </c>
      <c r="E10754">
        <v>0</v>
      </c>
      <c r="F10754" t="s">
        <v>7</v>
      </c>
      <c r="G10754" t="s">
        <v>11</v>
      </c>
      <c r="H10754" s="5">
        <f>MONTH(Tabela1[[#This Row],[data]])</f>
        <v>3</v>
      </c>
      <c r="I10754">
        <f>YEAR(Tabela1[[#This Row],[data]])</f>
        <v>2026</v>
      </c>
    </row>
    <row r="10755" spans="1:9" x14ac:dyDescent="0.25">
      <c r="A10755" t="s">
        <v>6</v>
      </c>
      <c r="B10755" s="1">
        <v>46106</v>
      </c>
      <c r="C10755">
        <v>2</v>
      </c>
      <c r="D10755">
        <v>228.06</v>
      </c>
      <c r="E10755">
        <v>0</v>
      </c>
      <c r="F10755" t="s">
        <v>7</v>
      </c>
      <c r="G10755" t="s">
        <v>11</v>
      </c>
      <c r="H10755" s="5">
        <f>MONTH(Tabela1[[#This Row],[data]])</f>
        <v>3</v>
      </c>
      <c r="I10755">
        <f>YEAR(Tabela1[[#This Row],[data]])</f>
        <v>2026</v>
      </c>
    </row>
    <row r="10756" spans="1:9" x14ac:dyDescent="0.25">
      <c r="A10756" t="s">
        <v>6</v>
      </c>
      <c r="B10756" s="1">
        <v>46106</v>
      </c>
      <c r="C10756">
        <v>3</v>
      </c>
      <c r="D10756">
        <v>221.34</v>
      </c>
      <c r="E10756">
        <v>0</v>
      </c>
      <c r="F10756" t="s">
        <v>7</v>
      </c>
      <c r="G10756" t="s">
        <v>11</v>
      </c>
      <c r="H10756" s="5">
        <f>MONTH(Tabela1[[#This Row],[data]])</f>
        <v>3</v>
      </c>
      <c r="I10756">
        <f>YEAR(Tabela1[[#This Row],[data]])</f>
        <v>2026</v>
      </c>
    </row>
    <row r="10757" spans="1:9" x14ac:dyDescent="0.25">
      <c r="A10757" t="s">
        <v>6</v>
      </c>
      <c r="B10757" s="1">
        <v>46106</v>
      </c>
      <c r="C10757">
        <v>4</v>
      </c>
      <c r="D10757">
        <v>219.24</v>
      </c>
      <c r="E10757">
        <v>0</v>
      </c>
      <c r="F10757" t="s">
        <v>7</v>
      </c>
      <c r="G10757" t="s">
        <v>11</v>
      </c>
      <c r="H10757" s="5">
        <f>MONTH(Tabela1[[#This Row],[data]])</f>
        <v>3</v>
      </c>
      <c r="I10757">
        <f>YEAR(Tabela1[[#This Row],[data]])</f>
        <v>2026</v>
      </c>
    </row>
    <row r="10758" spans="1:9" x14ac:dyDescent="0.25">
      <c r="A10758" t="s">
        <v>6</v>
      </c>
      <c r="B10758" s="1">
        <v>46106</v>
      </c>
      <c r="C10758">
        <v>5</v>
      </c>
      <c r="D10758">
        <v>222.18</v>
      </c>
      <c r="E10758">
        <v>0</v>
      </c>
      <c r="F10758" t="s">
        <v>7</v>
      </c>
      <c r="G10758" t="s">
        <v>11</v>
      </c>
      <c r="H10758" s="5">
        <f>MONTH(Tabela1[[#This Row],[data]])</f>
        <v>3</v>
      </c>
      <c r="I10758">
        <f>YEAR(Tabela1[[#This Row],[data]])</f>
        <v>2026</v>
      </c>
    </row>
    <row r="10759" spans="1:9" x14ac:dyDescent="0.25">
      <c r="A10759" t="s">
        <v>6</v>
      </c>
      <c r="B10759" s="1">
        <v>46106</v>
      </c>
      <c r="C10759">
        <v>6</v>
      </c>
      <c r="D10759">
        <v>221.34</v>
      </c>
      <c r="E10759">
        <v>0</v>
      </c>
      <c r="F10759" t="s">
        <v>7</v>
      </c>
      <c r="G10759" t="s">
        <v>11</v>
      </c>
      <c r="H10759" s="5">
        <f>MONTH(Tabela1[[#This Row],[data]])</f>
        <v>3</v>
      </c>
      <c r="I10759">
        <f>YEAR(Tabela1[[#This Row],[data]])</f>
        <v>2026</v>
      </c>
    </row>
    <row r="10760" spans="1:9" x14ac:dyDescent="0.25">
      <c r="A10760" t="s">
        <v>6</v>
      </c>
      <c r="B10760" s="1">
        <v>46106</v>
      </c>
      <c r="C10760">
        <v>7</v>
      </c>
      <c r="D10760">
        <v>214.2</v>
      </c>
      <c r="E10760">
        <v>0</v>
      </c>
      <c r="F10760" t="s">
        <v>7</v>
      </c>
      <c r="G10760" t="s">
        <v>11</v>
      </c>
      <c r="H10760" s="5">
        <f>MONTH(Tabela1[[#This Row],[data]])</f>
        <v>3</v>
      </c>
      <c r="I10760">
        <f>YEAR(Tabela1[[#This Row],[data]])</f>
        <v>2026</v>
      </c>
    </row>
    <row r="10761" spans="1:9" x14ac:dyDescent="0.25">
      <c r="A10761" t="s">
        <v>6</v>
      </c>
      <c r="B10761" s="1">
        <v>46106</v>
      </c>
      <c r="C10761">
        <v>8</v>
      </c>
      <c r="D10761">
        <v>228.48</v>
      </c>
      <c r="E10761">
        <v>0</v>
      </c>
      <c r="F10761" t="s">
        <v>7</v>
      </c>
      <c r="G10761" t="s">
        <v>11</v>
      </c>
      <c r="H10761" s="5">
        <f>MONTH(Tabela1[[#This Row],[data]])</f>
        <v>3</v>
      </c>
      <c r="I10761">
        <f>YEAR(Tabela1[[#This Row],[data]])</f>
        <v>2026</v>
      </c>
    </row>
    <row r="10762" spans="1:9" x14ac:dyDescent="0.25">
      <c r="A10762" t="s">
        <v>6</v>
      </c>
      <c r="B10762" s="1">
        <v>46106</v>
      </c>
      <c r="C10762">
        <v>9</v>
      </c>
      <c r="D10762">
        <v>369.18</v>
      </c>
      <c r="E10762">
        <v>0.84</v>
      </c>
      <c r="F10762" t="s">
        <v>7</v>
      </c>
      <c r="G10762" t="s">
        <v>11</v>
      </c>
      <c r="H10762" s="5">
        <f>MONTH(Tabela1[[#This Row],[data]])</f>
        <v>3</v>
      </c>
      <c r="I10762">
        <f>YEAR(Tabela1[[#This Row],[data]])</f>
        <v>2026</v>
      </c>
    </row>
    <row r="10763" spans="1:9" x14ac:dyDescent="0.25">
      <c r="A10763" t="s">
        <v>6</v>
      </c>
      <c r="B10763" s="1">
        <v>46106</v>
      </c>
      <c r="C10763">
        <v>10</v>
      </c>
      <c r="D10763">
        <v>688.8</v>
      </c>
      <c r="E10763">
        <v>130.62</v>
      </c>
      <c r="F10763" t="s">
        <v>7</v>
      </c>
      <c r="G10763" t="s">
        <v>11</v>
      </c>
      <c r="H10763" s="5">
        <f>MONTH(Tabela1[[#This Row],[data]])</f>
        <v>3</v>
      </c>
      <c r="I10763">
        <f>YEAR(Tabela1[[#This Row],[data]])</f>
        <v>2026</v>
      </c>
    </row>
    <row r="10764" spans="1:9" x14ac:dyDescent="0.25">
      <c r="A10764" t="s">
        <v>6</v>
      </c>
      <c r="B10764" s="1">
        <v>46106</v>
      </c>
      <c r="C10764">
        <v>11</v>
      </c>
      <c r="D10764">
        <v>945</v>
      </c>
      <c r="E10764">
        <v>288.95999999999998</v>
      </c>
      <c r="F10764" t="s">
        <v>7</v>
      </c>
      <c r="G10764" t="s">
        <v>11</v>
      </c>
      <c r="H10764" s="5">
        <f>MONTH(Tabela1[[#This Row],[data]])</f>
        <v>3</v>
      </c>
      <c r="I10764">
        <f>YEAR(Tabela1[[#This Row],[data]])</f>
        <v>2026</v>
      </c>
    </row>
    <row r="10765" spans="1:9" x14ac:dyDescent="0.25">
      <c r="A10765" t="s">
        <v>6</v>
      </c>
      <c r="B10765" s="1">
        <v>46106</v>
      </c>
      <c r="C10765">
        <v>12</v>
      </c>
      <c r="D10765">
        <v>981.96</v>
      </c>
      <c r="E10765">
        <v>292.32</v>
      </c>
      <c r="F10765" t="s">
        <v>7</v>
      </c>
      <c r="G10765" t="s">
        <v>11</v>
      </c>
      <c r="H10765" s="5">
        <f>MONTH(Tabela1[[#This Row],[data]])</f>
        <v>3</v>
      </c>
      <c r="I10765">
        <f>YEAR(Tabela1[[#This Row],[data]])</f>
        <v>2026</v>
      </c>
    </row>
    <row r="10766" spans="1:9" x14ac:dyDescent="0.25">
      <c r="A10766" t="s">
        <v>6</v>
      </c>
      <c r="B10766" s="1">
        <v>46106</v>
      </c>
      <c r="C10766">
        <v>13</v>
      </c>
      <c r="D10766">
        <v>961.38</v>
      </c>
      <c r="E10766">
        <v>297.77999999999997</v>
      </c>
      <c r="F10766" t="s">
        <v>7</v>
      </c>
      <c r="G10766" t="s">
        <v>11</v>
      </c>
      <c r="H10766" s="5">
        <f>MONTH(Tabela1[[#This Row],[data]])</f>
        <v>3</v>
      </c>
      <c r="I10766">
        <f>YEAR(Tabela1[[#This Row],[data]])</f>
        <v>2026</v>
      </c>
    </row>
    <row r="10767" spans="1:9" x14ac:dyDescent="0.25">
      <c r="A10767" t="s">
        <v>6</v>
      </c>
      <c r="B10767" s="1">
        <v>46106</v>
      </c>
      <c r="C10767">
        <v>14</v>
      </c>
      <c r="D10767">
        <v>989.94</v>
      </c>
      <c r="E10767">
        <v>282.66000000000003</v>
      </c>
      <c r="F10767" t="s">
        <v>7</v>
      </c>
      <c r="G10767" t="s">
        <v>11</v>
      </c>
      <c r="H10767" s="5">
        <f>MONTH(Tabela1[[#This Row],[data]])</f>
        <v>3</v>
      </c>
      <c r="I10767">
        <f>YEAR(Tabela1[[#This Row],[data]])</f>
        <v>2026</v>
      </c>
    </row>
    <row r="10768" spans="1:9" x14ac:dyDescent="0.25">
      <c r="A10768" t="s">
        <v>6</v>
      </c>
      <c r="B10768" s="1">
        <v>46106</v>
      </c>
      <c r="C10768">
        <v>15</v>
      </c>
      <c r="D10768">
        <v>997.5</v>
      </c>
      <c r="E10768">
        <v>291.89999999999998</v>
      </c>
      <c r="F10768" t="s">
        <v>7</v>
      </c>
      <c r="G10768" t="s">
        <v>11</v>
      </c>
      <c r="H10768" s="5">
        <f>MONTH(Tabela1[[#This Row],[data]])</f>
        <v>3</v>
      </c>
      <c r="I10768">
        <f>YEAR(Tabela1[[#This Row],[data]])</f>
        <v>2026</v>
      </c>
    </row>
    <row r="10769" spans="1:9" x14ac:dyDescent="0.25">
      <c r="A10769" t="s">
        <v>6</v>
      </c>
      <c r="B10769" s="1">
        <v>46106</v>
      </c>
      <c r="C10769">
        <v>16</v>
      </c>
      <c r="D10769">
        <v>971.88</v>
      </c>
      <c r="E10769">
        <v>292.32</v>
      </c>
      <c r="F10769" t="s">
        <v>7</v>
      </c>
      <c r="G10769" t="s">
        <v>11</v>
      </c>
      <c r="H10769" s="5">
        <f>MONTH(Tabela1[[#This Row],[data]])</f>
        <v>3</v>
      </c>
      <c r="I10769">
        <f>YEAR(Tabela1[[#This Row],[data]])</f>
        <v>2026</v>
      </c>
    </row>
    <row r="10770" spans="1:9" x14ac:dyDescent="0.25">
      <c r="A10770" t="s">
        <v>6</v>
      </c>
      <c r="B10770" s="1">
        <v>46106</v>
      </c>
      <c r="C10770">
        <v>17</v>
      </c>
      <c r="D10770">
        <v>964.74</v>
      </c>
      <c r="E10770">
        <v>312.06</v>
      </c>
      <c r="F10770" t="s">
        <v>7</v>
      </c>
      <c r="G10770" t="s">
        <v>11</v>
      </c>
      <c r="H10770" s="5">
        <f>MONTH(Tabela1[[#This Row],[data]])</f>
        <v>3</v>
      </c>
      <c r="I10770">
        <f>YEAR(Tabela1[[#This Row],[data]])</f>
        <v>2026</v>
      </c>
    </row>
    <row r="10771" spans="1:9" x14ac:dyDescent="0.25">
      <c r="A10771" t="s">
        <v>6</v>
      </c>
      <c r="B10771" s="1">
        <v>46106</v>
      </c>
      <c r="C10771">
        <v>18</v>
      </c>
      <c r="D10771">
        <v>936.18</v>
      </c>
      <c r="E10771">
        <v>269.64</v>
      </c>
      <c r="F10771" t="s">
        <v>7</v>
      </c>
      <c r="G10771" t="s">
        <v>11</v>
      </c>
      <c r="H10771" s="5">
        <f>MONTH(Tabela1[[#This Row],[data]])</f>
        <v>3</v>
      </c>
      <c r="I10771">
        <f>YEAR(Tabela1[[#This Row],[data]])</f>
        <v>2026</v>
      </c>
    </row>
    <row r="10772" spans="1:9" x14ac:dyDescent="0.25">
      <c r="A10772" t="s">
        <v>6</v>
      </c>
      <c r="B10772" s="1">
        <v>46106</v>
      </c>
      <c r="C10772">
        <v>19</v>
      </c>
      <c r="D10772">
        <v>921.06</v>
      </c>
      <c r="E10772">
        <v>247.38</v>
      </c>
      <c r="F10772" t="s">
        <v>7</v>
      </c>
      <c r="G10772" t="s">
        <v>11</v>
      </c>
      <c r="H10772" s="5">
        <f>MONTH(Tabela1[[#This Row],[data]])</f>
        <v>3</v>
      </c>
      <c r="I10772">
        <f>YEAR(Tabela1[[#This Row],[data]])</f>
        <v>2026</v>
      </c>
    </row>
    <row r="10773" spans="1:9" x14ac:dyDescent="0.25">
      <c r="A10773" t="s">
        <v>6</v>
      </c>
      <c r="B10773" s="1">
        <v>46106</v>
      </c>
      <c r="C10773">
        <v>20</v>
      </c>
      <c r="D10773">
        <v>896.7</v>
      </c>
      <c r="E10773">
        <v>241.92</v>
      </c>
      <c r="F10773" t="s">
        <v>7</v>
      </c>
      <c r="G10773" t="s">
        <v>11</v>
      </c>
      <c r="H10773" s="5">
        <f>MONTH(Tabela1[[#This Row],[data]])</f>
        <v>3</v>
      </c>
      <c r="I10773">
        <f>YEAR(Tabela1[[#This Row],[data]])</f>
        <v>2026</v>
      </c>
    </row>
    <row r="10774" spans="1:9" x14ac:dyDescent="0.25">
      <c r="A10774" t="s">
        <v>6</v>
      </c>
      <c r="B10774" s="1">
        <v>46106</v>
      </c>
      <c r="C10774">
        <v>21</v>
      </c>
      <c r="D10774">
        <v>851.34</v>
      </c>
      <c r="E10774">
        <v>189.42</v>
      </c>
      <c r="F10774" t="s">
        <v>7</v>
      </c>
      <c r="G10774" t="s">
        <v>11</v>
      </c>
      <c r="H10774" s="5">
        <f>MONTH(Tabela1[[#This Row],[data]])</f>
        <v>3</v>
      </c>
      <c r="I10774">
        <f>YEAR(Tabela1[[#This Row],[data]])</f>
        <v>2026</v>
      </c>
    </row>
    <row r="10775" spans="1:9" x14ac:dyDescent="0.25">
      <c r="A10775" t="s">
        <v>6</v>
      </c>
      <c r="B10775" s="1">
        <v>46106</v>
      </c>
      <c r="C10775">
        <v>22</v>
      </c>
      <c r="D10775">
        <v>773.64</v>
      </c>
      <c r="E10775">
        <v>142.38</v>
      </c>
      <c r="F10775" t="s">
        <v>7</v>
      </c>
      <c r="G10775" t="s">
        <v>11</v>
      </c>
      <c r="H10775" s="5">
        <f>MONTH(Tabela1[[#This Row],[data]])</f>
        <v>3</v>
      </c>
      <c r="I10775">
        <f>YEAR(Tabela1[[#This Row],[data]])</f>
        <v>2026</v>
      </c>
    </row>
    <row r="10776" spans="1:9" x14ac:dyDescent="0.25">
      <c r="A10776" t="s">
        <v>6</v>
      </c>
      <c r="B10776" s="1">
        <v>46106</v>
      </c>
      <c r="C10776">
        <v>23</v>
      </c>
      <c r="D10776">
        <v>354.9</v>
      </c>
      <c r="E10776">
        <v>0.84</v>
      </c>
      <c r="F10776" t="s">
        <v>7</v>
      </c>
      <c r="G10776" t="s">
        <v>11</v>
      </c>
      <c r="H10776" s="5">
        <f>MONTH(Tabela1[[#This Row],[data]])</f>
        <v>3</v>
      </c>
      <c r="I10776">
        <f>YEAR(Tabela1[[#This Row],[data]])</f>
        <v>2026</v>
      </c>
    </row>
    <row r="10777" spans="1:9" x14ac:dyDescent="0.25">
      <c r="A10777" t="s">
        <v>6</v>
      </c>
      <c r="B10777" s="1">
        <v>46106</v>
      </c>
      <c r="C10777">
        <v>24</v>
      </c>
      <c r="D10777">
        <v>259.56</v>
      </c>
      <c r="E10777">
        <v>0</v>
      </c>
      <c r="F10777" t="s">
        <v>7</v>
      </c>
      <c r="G10777" t="s">
        <v>11</v>
      </c>
      <c r="H10777" s="5">
        <f>MONTH(Tabela1[[#This Row],[data]])</f>
        <v>3</v>
      </c>
      <c r="I10777">
        <f>YEAR(Tabela1[[#This Row],[data]])</f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workbookViewId="0">
      <selection activeCell="C11" sqref="C11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46078</v>
      </c>
      <c r="B2">
        <f ca="1">SUMIFS(Tabela1[Ativa (kwh)],Tabela1[data],A2)</f>
        <v>15613.920000000004</v>
      </c>
      <c r="C2">
        <f ca="1">SUMIFS(Tabela1[Reativa (kvarh)],Tabela1[data],A2)</f>
        <v>3279.3599999999997</v>
      </c>
      <c r="D2">
        <f t="shared" ref="D2" ca="1" si="1">B2/1000</f>
        <v>15.613920000000004</v>
      </c>
      <c r="E2">
        <f t="shared" ref="E2" ca="1" si="2">C2/1000</f>
        <v>3.2793599999999996</v>
      </c>
    </row>
    <row r="3" spans="1:5" x14ac:dyDescent="0.25">
      <c r="A3" s="1">
        <f t="shared" ca="1" si="0"/>
        <v>46079</v>
      </c>
      <c r="B3">
        <f ca="1">SUMIFS(Tabela1[Ativa (kwh)],Tabela1[data],A3)</f>
        <v>14546.699999999999</v>
      </c>
      <c r="C3">
        <f ca="1">SUMIFS(Tabela1[Reativa (kvarh)],Tabela1[data],A3)</f>
        <v>2902.6199999999994</v>
      </c>
      <c r="D3">
        <f t="shared" ref="D3" ca="1" si="3">B3/1000</f>
        <v>14.5467</v>
      </c>
      <c r="E3">
        <f t="shared" ref="E3" ca="1" si="4">C3/1000</f>
        <v>2.9026199999999993</v>
      </c>
    </row>
    <row r="4" spans="1:5" x14ac:dyDescent="0.25">
      <c r="A4" s="1">
        <f t="shared" ca="1" si="0"/>
        <v>46080</v>
      </c>
      <c r="B4">
        <f ca="1">SUMIFS(Tabela1[Ativa (kwh)],Tabela1[data],A4)</f>
        <v>12985.980000000001</v>
      </c>
      <c r="C4">
        <f ca="1">SUMIFS(Tabela1[Reativa (kvarh)],Tabela1[data],A4)</f>
        <v>2105.04</v>
      </c>
      <c r="D4">
        <f t="shared" ref="D4:D20" ca="1" si="5">B4/1000</f>
        <v>12.985980000000001</v>
      </c>
      <c r="E4">
        <f t="shared" ref="E4:E20" ca="1" si="6">C4/1000</f>
        <v>2.1050399999999998</v>
      </c>
    </row>
    <row r="5" spans="1:5" x14ac:dyDescent="0.25">
      <c r="A5" s="1">
        <f t="shared" ca="1" si="0"/>
        <v>46081</v>
      </c>
      <c r="B5">
        <f ca="1">SUMIFS(Tabela1[Ativa (kwh)],Tabela1[data],A5)</f>
        <v>13784.82</v>
      </c>
      <c r="C5">
        <f ca="1">SUMIFS(Tabela1[Reativa (kvarh)],Tabela1[data],A5)</f>
        <v>2298.66</v>
      </c>
      <c r="D5">
        <f t="shared" ca="1" si="5"/>
        <v>13.78482</v>
      </c>
      <c r="E5">
        <f t="shared" ca="1" si="6"/>
        <v>2.2986599999999999</v>
      </c>
    </row>
    <row r="6" spans="1:5" x14ac:dyDescent="0.25">
      <c r="A6" s="1">
        <f t="shared" ca="1" si="0"/>
        <v>46082</v>
      </c>
      <c r="B6">
        <f ca="1">SUMIFS(Tabela1[Ativa (kwh)],Tabela1[data],A6)</f>
        <v>10425.660000000002</v>
      </c>
      <c r="C6">
        <f ca="1">SUMIFS(Tabela1[Reativa (kvarh)],Tabela1[data],A6)</f>
        <v>996.66</v>
      </c>
      <c r="D6">
        <f t="shared" ca="1" si="5"/>
        <v>10.425660000000002</v>
      </c>
      <c r="E6">
        <f t="shared" ca="1" si="6"/>
        <v>0.99665999999999999</v>
      </c>
    </row>
    <row r="7" spans="1:5" x14ac:dyDescent="0.25">
      <c r="A7" s="1">
        <f t="shared" ca="1" si="0"/>
        <v>46083</v>
      </c>
      <c r="B7">
        <f ca="1">SUMIFS(Tabela1[Ativa (kwh)],Tabela1[data],A7)</f>
        <v>13039.32</v>
      </c>
      <c r="C7">
        <f ca="1">SUMIFS(Tabela1[Reativa (kvarh)],Tabela1[data],A7)</f>
        <v>2385.6000000000004</v>
      </c>
      <c r="D7">
        <f t="shared" ca="1" si="5"/>
        <v>13.03932</v>
      </c>
      <c r="E7">
        <f t="shared" ca="1" si="6"/>
        <v>2.3856000000000002</v>
      </c>
    </row>
    <row r="8" spans="1:5" x14ac:dyDescent="0.25">
      <c r="A8" s="1">
        <f t="shared" ca="1" si="0"/>
        <v>46084</v>
      </c>
      <c r="B8">
        <f ca="1">SUMIFS(Tabela1[Ativa (kwh)],Tabela1[data],A8)</f>
        <v>13324.919999999998</v>
      </c>
      <c r="C8">
        <f ca="1">SUMIFS(Tabela1[Reativa (kvarh)],Tabela1[data],A8)</f>
        <v>2279.34</v>
      </c>
      <c r="D8">
        <f t="shared" ca="1" si="5"/>
        <v>13.324919999999999</v>
      </c>
      <c r="E8">
        <f t="shared" ca="1" si="6"/>
        <v>2.2793400000000004</v>
      </c>
    </row>
    <row r="9" spans="1:5" x14ac:dyDescent="0.25">
      <c r="A9" s="1">
        <f t="shared" ca="1" si="0"/>
        <v>46085</v>
      </c>
      <c r="B9">
        <f ca="1">SUMIFS(Tabela1[Ativa (kwh)],Tabela1[data],A9)</f>
        <v>12657.539999999999</v>
      </c>
      <c r="C9">
        <f ca="1">SUMIFS(Tabela1[Reativa (kvarh)],Tabela1[data],A9)</f>
        <v>1992.8999999999999</v>
      </c>
      <c r="D9">
        <f t="shared" ca="1" si="5"/>
        <v>12.657539999999999</v>
      </c>
      <c r="E9">
        <f t="shared" ca="1" si="6"/>
        <v>1.9928999999999999</v>
      </c>
    </row>
    <row r="10" spans="1:5" x14ac:dyDescent="0.25">
      <c r="A10" s="1">
        <f t="shared" ca="1" si="0"/>
        <v>46086</v>
      </c>
      <c r="B10">
        <f ca="1">SUMIFS(Tabela1[Ativa (kwh)],Tabela1[data],A10)</f>
        <v>13536.6</v>
      </c>
      <c r="C10">
        <f ca="1">SUMIFS(Tabela1[Reativa (kvarh)],Tabela1[data],A10)</f>
        <v>2356.6200000000003</v>
      </c>
      <c r="D10">
        <f t="shared" ca="1" si="5"/>
        <v>13.5366</v>
      </c>
      <c r="E10">
        <f t="shared" ca="1" si="6"/>
        <v>2.3566200000000004</v>
      </c>
    </row>
    <row r="11" spans="1:5" x14ac:dyDescent="0.25">
      <c r="A11" s="1">
        <f t="shared" ca="1" si="0"/>
        <v>46087</v>
      </c>
      <c r="B11">
        <f ca="1">SUMIFS(Tabela1[Ativa (kwh)],Tabela1[data],A11)</f>
        <v>14145.180000000002</v>
      </c>
      <c r="C11">
        <f ca="1">SUMIFS(Tabela1[Reativa (kvarh)],Tabela1[data],A11)</f>
        <v>2462.46</v>
      </c>
      <c r="D11">
        <f t="shared" ca="1" si="5"/>
        <v>14.145180000000002</v>
      </c>
      <c r="E11">
        <f t="shared" ca="1" si="6"/>
        <v>2.4624600000000001</v>
      </c>
    </row>
    <row r="12" spans="1:5" x14ac:dyDescent="0.25">
      <c r="A12" s="1">
        <f t="shared" ca="1" si="0"/>
        <v>46088</v>
      </c>
      <c r="B12">
        <f ca="1">SUMIFS(Tabela1[Ativa (kwh)],Tabela1[data],A12)</f>
        <v>14110.740000000002</v>
      </c>
      <c r="C12">
        <f ca="1">SUMIFS(Tabela1[Reativa (kvarh)],Tabela1[data],A12)</f>
        <v>2622.9000000000005</v>
      </c>
      <c r="D12">
        <f t="shared" ca="1" si="5"/>
        <v>14.110740000000002</v>
      </c>
      <c r="E12">
        <f t="shared" ca="1" si="6"/>
        <v>2.6229000000000005</v>
      </c>
    </row>
    <row r="13" spans="1:5" x14ac:dyDescent="0.25">
      <c r="A13" s="1">
        <f t="shared" ca="1" si="0"/>
        <v>46089</v>
      </c>
      <c r="B13">
        <f ca="1">SUMIFS(Tabela1[Ativa (kwh)],Tabela1[data],A13)</f>
        <v>12908.279999999999</v>
      </c>
      <c r="C13">
        <f ca="1">SUMIFS(Tabela1[Reativa (kvarh)],Tabela1[data],A13)</f>
        <v>2150.8199999999997</v>
      </c>
      <c r="D13">
        <f t="shared" ca="1" si="5"/>
        <v>12.90828</v>
      </c>
      <c r="E13">
        <f t="shared" ca="1" si="6"/>
        <v>2.1508199999999995</v>
      </c>
    </row>
    <row r="14" spans="1:5" x14ac:dyDescent="0.25">
      <c r="A14" s="1">
        <f t="shared" ref="A14:A20" ca="1" si="7">A15-1</f>
        <v>46090</v>
      </c>
      <c r="B14">
        <f ca="1">SUMIFS(Tabela1[Ativa (kwh)],Tabela1[data],A14)</f>
        <v>12229.140000000001</v>
      </c>
      <c r="C14">
        <f ca="1">SUMIFS(Tabela1[Reativa (kvarh)],Tabela1[data],A14)</f>
        <v>2013.4800000000002</v>
      </c>
      <c r="D14">
        <f t="shared" ca="1" si="5"/>
        <v>12.229140000000001</v>
      </c>
      <c r="E14">
        <f t="shared" ca="1" si="6"/>
        <v>2.0134800000000004</v>
      </c>
    </row>
    <row r="15" spans="1:5" x14ac:dyDescent="0.25">
      <c r="A15" s="1">
        <f t="shared" ca="1" si="7"/>
        <v>46091</v>
      </c>
      <c r="B15">
        <f ca="1">SUMIFS(Tabela1[Ativa (kwh)],Tabela1[data],A15)</f>
        <v>13219.5</v>
      </c>
      <c r="C15">
        <f ca="1">SUMIFS(Tabela1[Reativa (kvarh)],Tabela1[data],A15)</f>
        <v>2540.1599999999994</v>
      </c>
      <c r="D15">
        <f t="shared" ca="1" si="5"/>
        <v>13.2195</v>
      </c>
      <c r="E15">
        <f t="shared" ca="1" si="6"/>
        <v>2.5401599999999993</v>
      </c>
    </row>
    <row r="16" spans="1:5" x14ac:dyDescent="0.25">
      <c r="A16" s="1">
        <f t="shared" ca="1" si="7"/>
        <v>46092</v>
      </c>
      <c r="B16">
        <f ca="1">SUMIFS(Tabela1[Ativa (kwh)],Tabela1[data],A16)</f>
        <v>13353.480000000003</v>
      </c>
      <c r="C16">
        <f ca="1">SUMIFS(Tabela1[Reativa (kvarh)],Tabela1[data],A16)</f>
        <v>2596.8599999999997</v>
      </c>
      <c r="D16">
        <f t="shared" ca="1" si="5"/>
        <v>13.353480000000003</v>
      </c>
      <c r="E16">
        <f t="shared" ca="1" si="6"/>
        <v>2.5968599999999995</v>
      </c>
    </row>
    <row r="17" spans="1:5" x14ac:dyDescent="0.25">
      <c r="A17" s="1">
        <f t="shared" ca="1" si="7"/>
        <v>46093</v>
      </c>
      <c r="B17">
        <f ca="1">SUMIFS(Tabela1[Ativa (kwh)],Tabela1[data],A17)</f>
        <v>12832.679999999998</v>
      </c>
      <c r="C17">
        <f ca="1">SUMIFS(Tabela1[Reativa (kvarh)],Tabela1[data],A17)</f>
        <v>2279.7599999999998</v>
      </c>
      <c r="D17">
        <f t="shared" ca="1" si="5"/>
        <v>12.832679999999998</v>
      </c>
      <c r="E17">
        <f t="shared" ca="1" si="6"/>
        <v>2.2797599999999996</v>
      </c>
    </row>
    <row r="18" spans="1:5" x14ac:dyDescent="0.25">
      <c r="A18" s="1">
        <f t="shared" ca="1" si="7"/>
        <v>46094</v>
      </c>
      <c r="B18">
        <f ca="1">SUMIFS(Tabela1[Ativa (kwh)],Tabela1[data],A18)</f>
        <v>13338.36</v>
      </c>
      <c r="C18">
        <f ca="1">SUMIFS(Tabela1[Reativa (kvarh)],Tabela1[data],A18)</f>
        <v>2354.1</v>
      </c>
      <c r="D18">
        <f t="shared" ca="1" si="5"/>
        <v>13.33836</v>
      </c>
      <c r="E18">
        <f t="shared" ca="1" si="6"/>
        <v>2.3540999999999999</v>
      </c>
    </row>
    <row r="19" spans="1:5" x14ac:dyDescent="0.25">
      <c r="A19" s="1">
        <f t="shared" ca="1" si="7"/>
        <v>46095</v>
      </c>
      <c r="B19">
        <f ca="1">SUMIFS(Tabela1[Ativa (kwh)],Tabela1[data],A19)</f>
        <v>13318.200000000003</v>
      </c>
      <c r="C19">
        <f ca="1">SUMIFS(Tabela1[Reativa (kvarh)],Tabela1[data],A19)</f>
        <v>2328.48</v>
      </c>
      <c r="D19">
        <f t="shared" ca="1" si="5"/>
        <v>13.318200000000003</v>
      </c>
      <c r="E19">
        <f t="shared" ca="1" si="6"/>
        <v>2.3284799999999999</v>
      </c>
    </row>
    <row r="20" spans="1:5" x14ac:dyDescent="0.25">
      <c r="A20" s="1">
        <f t="shared" ca="1" si="7"/>
        <v>46096</v>
      </c>
      <c r="B20">
        <f ca="1">SUMIFS(Tabela1[Ativa (kwh)],Tabela1[data],A20)</f>
        <v>12865.86</v>
      </c>
      <c r="C20">
        <f ca="1">SUMIFS(Tabela1[Reativa (kvarh)],Tabela1[data],A20)</f>
        <v>2187.36</v>
      </c>
      <c r="D20">
        <f t="shared" ca="1" si="5"/>
        <v>12.865860000000001</v>
      </c>
      <c r="E20">
        <f t="shared" ca="1" si="6"/>
        <v>2.18736</v>
      </c>
    </row>
    <row r="21" spans="1:5" x14ac:dyDescent="0.25">
      <c r="A21" s="1">
        <f t="shared" ref="A21:A26" ca="1" si="8">A22-1</f>
        <v>46097</v>
      </c>
      <c r="B21">
        <f ca="1">SUMIFS(Tabela1[Ativa (kwh)],Tabela1[data],A21)</f>
        <v>13654.619999999999</v>
      </c>
      <c r="C21">
        <f ca="1">SUMIFS(Tabela1[Reativa (kvarh)],Tabela1[data],A21)</f>
        <v>2482.2000000000003</v>
      </c>
      <c r="D21">
        <f ca="1">B21/1000</f>
        <v>13.65462</v>
      </c>
      <c r="E21">
        <f ca="1">C21/1000</f>
        <v>2.4822000000000002</v>
      </c>
    </row>
    <row r="22" spans="1:5" x14ac:dyDescent="0.25">
      <c r="A22" s="1">
        <f t="shared" ca="1" si="8"/>
        <v>46098</v>
      </c>
      <c r="B22">
        <f ca="1">SUMIFS(Tabela1[Ativa (kwh)],Tabela1[data],A22)</f>
        <v>13872.6</v>
      </c>
      <c r="C22">
        <f ca="1">SUMIFS(Tabela1[Reativa (kvarh)],Tabela1[data],A22)</f>
        <v>2816.5200000000004</v>
      </c>
      <c r="D22">
        <f t="shared" ref="D22:D30" ca="1" si="9">B22/1000</f>
        <v>13.8726</v>
      </c>
      <c r="E22">
        <f t="shared" ref="E22:E30" ca="1" si="10">C22/1000</f>
        <v>2.8165200000000006</v>
      </c>
    </row>
    <row r="23" spans="1:5" x14ac:dyDescent="0.25">
      <c r="A23" s="1">
        <f t="shared" ca="1" si="8"/>
        <v>46099</v>
      </c>
      <c r="B23">
        <f ca="1">SUMIFS(Tabela1[Ativa (kwh)],Tabela1[data],A23)</f>
        <v>13889.819999999998</v>
      </c>
      <c r="C23">
        <f ca="1">SUMIFS(Tabela1[Reativa (kvarh)],Tabela1[data],A23)</f>
        <v>2663.22</v>
      </c>
      <c r="D23">
        <f t="shared" ca="1" si="9"/>
        <v>13.889819999999999</v>
      </c>
      <c r="E23">
        <f t="shared" ca="1" si="10"/>
        <v>2.6632199999999999</v>
      </c>
    </row>
    <row r="24" spans="1:5" x14ac:dyDescent="0.25">
      <c r="A24" s="1">
        <f t="shared" ca="1" si="8"/>
        <v>46100</v>
      </c>
      <c r="B24">
        <f ca="1">SUMIFS(Tabela1[Ativa (kwh)],Tabela1[data],A24)</f>
        <v>11261.460000000001</v>
      </c>
      <c r="C24">
        <f ca="1">SUMIFS(Tabela1[Reativa (kvarh)],Tabela1[data],A24)</f>
        <v>1904.28</v>
      </c>
      <c r="D24">
        <f t="shared" ca="1" si="9"/>
        <v>11.261460000000001</v>
      </c>
      <c r="E24">
        <f t="shared" ca="1" si="10"/>
        <v>1.90428</v>
      </c>
    </row>
    <row r="25" spans="1:5" x14ac:dyDescent="0.25">
      <c r="A25" s="1">
        <f t="shared" ca="1" si="8"/>
        <v>46101</v>
      </c>
      <c r="B25">
        <f ca="1">SUMIFS(Tabela1[Ativa (kwh)],Tabela1[data],A25)</f>
        <v>13204.800000000001</v>
      </c>
      <c r="C25">
        <f ca="1">SUMIFS(Tabela1[Reativa (kvarh)],Tabela1[data],A25)</f>
        <v>2294.4600000000005</v>
      </c>
      <c r="D25">
        <f t="shared" ca="1" si="9"/>
        <v>13.204800000000001</v>
      </c>
      <c r="E25">
        <f t="shared" ca="1" si="10"/>
        <v>2.2944600000000004</v>
      </c>
    </row>
    <row r="26" spans="1:5" x14ac:dyDescent="0.25">
      <c r="A26" s="1">
        <f t="shared" ca="1" si="8"/>
        <v>46102</v>
      </c>
      <c r="B26">
        <f ca="1">SUMIFS(Tabela1[Ativa (kwh)],Tabela1[data],A26)</f>
        <v>14104.019999999999</v>
      </c>
      <c r="C26">
        <f ca="1">SUMIFS(Tabela1[Reativa (kvarh)],Tabela1[data],A26)</f>
        <v>2659.44</v>
      </c>
      <c r="D26">
        <f t="shared" ca="1" si="9"/>
        <v>14.104019999999998</v>
      </c>
      <c r="E26">
        <f t="shared" ca="1" si="10"/>
        <v>2.65944</v>
      </c>
    </row>
    <row r="27" spans="1:5" x14ac:dyDescent="0.25">
      <c r="A27" s="1">
        <f ca="1">A28-1</f>
        <v>46103</v>
      </c>
      <c r="B27">
        <f ca="1">SUMIFS(Tabela1[Ativa (kwh)],Tabela1[data],A27)</f>
        <v>11959.499999999998</v>
      </c>
      <c r="C27">
        <f ca="1">SUMIFS(Tabela1[Reativa (kvarh)],Tabela1[data],A27)</f>
        <v>1890.8400000000001</v>
      </c>
      <c r="D27">
        <f t="shared" ca="1" si="9"/>
        <v>11.959499999999998</v>
      </c>
      <c r="E27">
        <f t="shared" ca="1" si="10"/>
        <v>1.8908400000000001</v>
      </c>
    </row>
    <row r="28" spans="1:5" x14ac:dyDescent="0.25">
      <c r="A28" s="1">
        <f ca="1">A29-1</f>
        <v>46104</v>
      </c>
      <c r="B28">
        <f ca="1">SUMIFS(Tabela1[Ativa (kwh)],Tabela1[data],A28)</f>
        <v>13156.5</v>
      </c>
      <c r="C28">
        <f ca="1">SUMIFS(Tabela1[Reativa (kvarh)],Tabela1[data],A28)</f>
        <v>2209.6200000000003</v>
      </c>
      <c r="D28">
        <f t="shared" ca="1" si="9"/>
        <v>13.156499999999999</v>
      </c>
      <c r="E28">
        <f t="shared" ca="1" si="10"/>
        <v>2.2096200000000001</v>
      </c>
    </row>
    <row r="29" spans="1:5" x14ac:dyDescent="0.25">
      <c r="A29" s="1">
        <f ca="1">A30-1</f>
        <v>46105</v>
      </c>
      <c r="B29">
        <f ca="1">SUMIFS(Tabela1[Ativa (kwh)],Tabela1[data],A29)</f>
        <v>14428.680000000002</v>
      </c>
      <c r="C29">
        <f ca="1">SUMIFS(Tabela1[Reativa (kvarh)],Tabela1[data],A29)</f>
        <v>3002.16</v>
      </c>
      <c r="D29">
        <f t="shared" ca="1" si="9"/>
        <v>14.428680000000002</v>
      </c>
      <c r="E29">
        <f t="shared" ca="1" si="10"/>
        <v>3.0021599999999999</v>
      </c>
    </row>
    <row r="30" spans="1:5" x14ac:dyDescent="0.25">
      <c r="A30" s="1">
        <f ca="1">TODAY()-1</f>
        <v>46106</v>
      </c>
      <c r="B30">
        <f ca="1">SUMIFS(Tabela1[Ativa (kwh)],Tabela1[data],A30)</f>
        <v>14651.279999999999</v>
      </c>
      <c r="C30">
        <f ca="1">SUMIFS(Tabela1[Reativa (kvarh)],Tabela1[data],A30)</f>
        <v>3281.0400000000004</v>
      </c>
      <c r="D30">
        <f t="shared" ca="1" si="9"/>
        <v>14.651279999999998</v>
      </c>
      <c r="E30">
        <f t="shared" ca="1" si="10"/>
        <v>3.2810400000000004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workbookViewId="0">
      <selection activeCell="F36" sqref="F36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46106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232.68</v>
      </c>
      <c r="D5" s="4">
        <f ca="1">C5/1000</f>
        <v>0.23268</v>
      </c>
    </row>
    <row r="6" spans="2:4" x14ac:dyDescent="0.25">
      <c r="B6" s="4">
        <v>2</v>
      </c>
      <c r="C6" s="4">
        <f ca="1">SUMIFS(Tabela1[Ativa (kwh)],Tabela1[data],$C$2,Tabela1[Hora],B6)</f>
        <v>228.06</v>
      </c>
      <c r="D6" s="4">
        <f t="shared" ref="D6:D28" ca="1" si="0">C6/1000</f>
        <v>0.22806000000000001</v>
      </c>
    </row>
    <row r="7" spans="2:4" x14ac:dyDescent="0.25">
      <c r="B7" s="4">
        <v>3</v>
      </c>
      <c r="C7" s="4">
        <f ca="1">SUMIFS(Tabela1[Ativa (kwh)],Tabela1[data],$C$2,Tabela1[Hora],B7)</f>
        <v>221.34</v>
      </c>
      <c r="D7" s="4">
        <f t="shared" ca="1" si="0"/>
        <v>0.22134000000000001</v>
      </c>
    </row>
    <row r="8" spans="2:4" x14ac:dyDescent="0.25">
      <c r="B8" s="4">
        <v>4</v>
      </c>
      <c r="C8" s="4">
        <f ca="1">SUMIFS(Tabela1[Ativa (kwh)],Tabela1[data],$C$2,Tabela1[Hora],B8)</f>
        <v>219.24</v>
      </c>
      <c r="D8" s="4">
        <f t="shared" ca="1" si="0"/>
        <v>0.21924000000000002</v>
      </c>
    </row>
    <row r="9" spans="2:4" x14ac:dyDescent="0.25">
      <c r="B9" s="4">
        <v>5</v>
      </c>
      <c r="C9" s="4">
        <f ca="1">SUMIFS(Tabela1[Ativa (kwh)],Tabela1[data],$C$2,Tabela1[Hora],B9)</f>
        <v>222.18</v>
      </c>
      <c r="D9" s="4">
        <f t="shared" ca="1" si="0"/>
        <v>0.22218000000000002</v>
      </c>
    </row>
    <row r="10" spans="2:4" x14ac:dyDescent="0.25">
      <c r="B10" s="4">
        <v>6</v>
      </c>
      <c r="C10" s="4">
        <f ca="1">SUMIFS(Tabela1[Ativa (kwh)],Tabela1[data],$C$2,Tabela1[Hora],B10)</f>
        <v>221.34</v>
      </c>
      <c r="D10" s="4">
        <f t="shared" ca="1" si="0"/>
        <v>0.22134000000000001</v>
      </c>
    </row>
    <row r="11" spans="2:4" x14ac:dyDescent="0.25">
      <c r="B11" s="4">
        <v>7</v>
      </c>
      <c r="C11" s="4">
        <f ca="1">SUMIFS(Tabela1[Ativa (kwh)],Tabela1[data],$C$2,Tabela1[Hora],B11)</f>
        <v>214.2</v>
      </c>
      <c r="D11" s="4">
        <f t="shared" ca="1" si="0"/>
        <v>0.2142</v>
      </c>
    </row>
    <row r="12" spans="2:4" x14ac:dyDescent="0.25">
      <c r="B12" s="4">
        <v>8</v>
      </c>
      <c r="C12" s="4">
        <f ca="1">SUMIFS(Tabela1[Ativa (kwh)],Tabela1[data],$C$2,Tabela1[Hora],B12)</f>
        <v>228.48</v>
      </c>
      <c r="D12" s="4">
        <f t="shared" ca="1" si="0"/>
        <v>0.22847999999999999</v>
      </c>
    </row>
    <row r="13" spans="2:4" x14ac:dyDescent="0.25">
      <c r="B13" s="4">
        <v>9</v>
      </c>
      <c r="C13" s="4">
        <f ca="1">SUMIFS(Tabela1[Ativa (kwh)],Tabela1[data],$C$2,Tabela1[Hora],B13)</f>
        <v>369.18</v>
      </c>
      <c r="D13" s="4">
        <f t="shared" ca="1" si="0"/>
        <v>0.36918000000000001</v>
      </c>
    </row>
    <row r="14" spans="2:4" x14ac:dyDescent="0.25">
      <c r="B14" s="4">
        <v>10</v>
      </c>
      <c r="C14" s="4">
        <f ca="1">SUMIFS(Tabela1[Ativa (kwh)],Tabela1[data],$C$2,Tabela1[Hora],B14)</f>
        <v>688.8</v>
      </c>
      <c r="D14" s="4">
        <f t="shared" ca="1" si="0"/>
        <v>0.68879999999999997</v>
      </c>
    </row>
    <row r="15" spans="2:4" x14ac:dyDescent="0.25">
      <c r="B15" s="4">
        <v>11</v>
      </c>
      <c r="C15" s="4">
        <f ca="1">SUMIFS(Tabela1[Ativa (kwh)],Tabela1[data],$C$2,Tabela1[Hora],B15)</f>
        <v>945</v>
      </c>
      <c r="D15" s="4">
        <f t="shared" ca="1" si="0"/>
        <v>0.94499999999999995</v>
      </c>
    </row>
    <row r="16" spans="2:4" x14ac:dyDescent="0.25">
      <c r="B16" s="4">
        <v>12</v>
      </c>
      <c r="C16" s="4">
        <f ca="1">SUMIFS(Tabela1[Ativa (kwh)],Tabela1[data],$C$2,Tabela1[Hora],B16)</f>
        <v>981.96</v>
      </c>
      <c r="D16" s="4">
        <f t="shared" ca="1" si="0"/>
        <v>0.98196000000000006</v>
      </c>
    </row>
    <row r="17" spans="2:4" x14ac:dyDescent="0.25">
      <c r="B17" s="4">
        <v>13</v>
      </c>
      <c r="C17" s="4">
        <f ca="1">SUMIFS(Tabela1[Ativa (kwh)],Tabela1[data],$C$2,Tabela1[Hora],B17)</f>
        <v>961.38</v>
      </c>
      <c r="D17" s="4">
        <f t="shared" ca="1" si="0"/>
        <v>0.96138000000000001</v>
      </c>
    </row>
    <row r="18" spans="2:4" x14ac:dyDescent="0.25">
      <c r="B18" s="4">
        <v>14</v>
      </c>
      <c r="C18" s="4">
        <f ca="1">SUMIFS(Tabela1[Ativa (kwh)],Tabela1[data],$C$2,Tabela1[Hora],B18)</f>
        <v>989.94</v>
      </c>
      <c r="D18" s="4">
        <f t="shared" ca="1" si="0"/>
        <v>0.98994000000000004</v>
      </c>
    </row>
    <row r="19" spans="2:4" x14ac:dyDescent="0.25">
      <c r="B19" s="4">
        <v>15</v>
      </c>
      <c r="C19" s="4">
        <f ca="1">SUMIFS(Tabela1[Ativa (kwh)],Tabela1[data],$C$2,Tabela1[Hora],B19)</f>
        <v>997.5</v>
      </c>
      <c r="D19" s="4">
        <f t="shared" ca="1" si="0"/>
        <v>0.99750000000000005</v>
      </c>
    </row>
    <row r="20" spans="2:4" x14ac:dyDescent="0.25">
      <c r="B20" s="4">
        <v>16</v>
      </c>
      <c r="C20" s="4">
        <f ca="1">SUMIFS(Tabela1[Ativa (kwh)],Tabela1[data],$C$2,Tabela1[Hora],B20)</f>
        <v>971.88</v>
      </c>
      <c r="D20" s="4">
        <f t="shared" ca="1" si="0"/>
        <v>0.97187999999999997</v>
      </c>
    </row>
    <row r="21" spans="2:4" x14ac:dyDescent="0.25">
      <c r="B21" s="4">
        <v>17</v>
      </c>
      <c r="C21" s="4">
        <f ca="1">SUMIFS(Tabela1[Ativa (kwh)],Tabela1[data],$C$2,Tabela1[Hora],B21)</f>
        <v>964.74</v>
      </c>
      <c r="D21" s="4">
        <f t="shared" ca="1" si="0"/>
        <v>0.96474000000000004</v>
      </c>
    </row>
    <row r="22" spans="2:4" x14ac:dyDescent="0.25">
      <c r="B22" s="4">
        <v>18</v>
      </c>
      <c r="C22" s="4">
        <f ca="1">SUMIFS(Tabela1[Ativa (kwh)],Tabela1[data],$C$2,Tabela1[Hora],B22)</f>
        <v>936.18</v>
      </c>
      <c r="D22" s="4">
        <f t="shared" ca="1" si="0"/>
        <v>0.9361799999999999</v>
      </c>
    </row>
    <row r="23" spans="2:4" x14ac:dyDescent="0.25">
      <c r="B23" s="4">
        <v>19</v>
      </c>
      <c r="C23" s="4">
        <f ca="1">SUMIFS(Tabela1[Ativa (kwh)],Tabela1[data],$C$2,Tabela1[Hora],B23)</f>
        <v>921.06</v>
      </c>
      <c r="D23" s="4">
        <f t="shared" ca="1" si="0"/>
        <v>0.92105999999999999</v>
      </c>
    </row>
    <row r="24" spans="2:4" x14ac:dyDescent="0.25">
      <c r="B24" s="4">
        <v>20</v>
      </c>
      <c r="C24" s="4">
        <f ca="1">SUMIFS(Tabela1[Ativa (kwh)],Tabela1[data],$C$2,Tabela1[Hora],B24)</f>
        <v>896.7</v>
      </c>
      <c r="D24" s="4">
        <f t="shared" ca="1" si="0"/>
        <v>0.89670000000000005</v>
      </c>
    </row>
    <row r="25" spans="2:4" x14ac:dyDescent="0.25">
      <c r="B25" s="4">
        <v>21</v>
      </c>
      <c r="C25" s="4">
        <f ca="1">SUMIFS(Tabela1[Ativa (kwh)],Tabela1[data],$C$2,Tabela1[Hora],B25)</f>
        <v>851.34</v>
      </c>
      <c r="D25" s="4">
        <f t="shared" ca="1" si="0"/>
        <v>0.85133999999999999</v>
      </c>
    </row>
    <row r="26" spans="2:4" x14ac:dyDescent="0.25">
      <c r="B26" s="4">
        <v>22</v>
      </c>
      <c r="C26" s="4">
        <f ca="1">SUMIFS(Tabela1[Ativa (kwh)],Tabela1[data],$C$2,Tabela1[Hora],B26)</f>
        <v>773.64</v>
      </c>
      <c r="D26" s="4">
        <f t="shared" ca="1" si="0"/>
        <v>0.77363999999999999</v>
      </c>
    </row>
    <row r="27" spans="2:4" x14ac:dyDescent="0.25">
      <c r="B27" s="4">
        <v>23</v>
      </c>
      <c r="C27" s="4">
        <f ca="1">SUMIFS(Tabela1[Ativa (kwh)],Tabela1[data],$C$2,Tabela1[Hora],B27)</f>
        <v>354.9</v>
      </c>
      <c r="D27" s="4">
        <f t="shared" ca="1" si="0"/>
        <v>0.35489999999999999</v>
      </c>
    </row>
    <row r="28" spans="2:4" x14ac:dyDescent="0.25">
      <c r="B28" s="4">
        <v>24</v>
      </c>
      <c r="C28" s="4">
        <f ca="1">SUMIFS(Tabela1[Ativa (kwh)],Tabela1[data],$C$2,Tabela1[Hora],B28)</f>
        <v>259.56</v>
      </c>
      <c r="D28" s="4">
        <f t="shared" ca="1" si="0"/>
        <v>0.25956000000000001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4"/>
  <sheetViews>
    <sheetView tabSelected="1" workbookViewId="0">
      <selection activeCell="I22" sqref="I22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45717</v>
      </c>
      <c r="B2" s="5">
        <f t="shared" ref="B2:B12" si="0">MONTH(A2)</f>
        <v>3</v>
      </c>
      <c r="C2" s="5">
        <f t="shared" ref="C2:C12" si="1">YEAR(A2)</f>
        <v>2025</v>
      </c>
      <c r="D2">
        <f>SUMIFS(Tabela1[Ativa (kwh)],Tabela1[Mês],B2,Tabela1[Ano],C2)</f>
        <v>431352.18000000052</v>
      </c>
      <c r="E2">
        <f t="shared" ref="E2:E10" si="2">D2/1000</f>
        <v>431.35218000000054</v>
      </c>
    </row>
    <row r="3" spans="1:10" x14ac:dyDescent="0.25">
      <c r="A3" s="1">
        <v>45748</v>
      </c>
      <c r="B3" s="5">
        <f t="shared" si="0"/>
        <v>4</v>
      </c>
      <c r="C3" s="5">
        <f t="shared" si="1"/>
        <v>2025</v>
      </c>
      <c r="D3">
        <f>SUMIFS(Tabela1[Ativa (kwh)],Tabela1[Mês],B3,Tabela1[Ano],C3)</f>
        <v>358837.07999999967</v>
      </c>
      <c r="E3">
        <f t="shared" si="2"/>
        <v>358.83707999999967</v>
      </c>
    </row>
    <row r="4" spans="1:10" x14ac:dyDescent="0.25">
      <c r="A4" s="1">
        <v>45778</v>
      </c>
      <c r="B4" s="5">
        <f t="shared" si="0"/>
        <v>5</v>
      </c>
      <c r="C4" s="5">
        <f t="shared" si="1"/>
        <v>2025</v>
      </c>
      <c r="D4">
        <f>SUMIFS(Tabela1[Ativa (kwh)],Tabela1[Mês],B4,Tabela1[Ano],C4)</f>
        <v>350009.52000000025</v>
      </c>
      <c r="E4">
        <f t="shared" si="2"/>
        <v>350.00952000000024</v>
      </c>
    </row>
    <row r="5" spans="1:10" x14ac:dyDescent="0.25">
      <c r="A5" s="1">
        <v>45809</v>
      </c>
      <c r="B5" s="5">
        <f t="shared" si="0"/>
        <v>6</v>
      </c>
      <c r="C5" s="5">
        <f t="shared" si="1"/>
        <v>2025</v>
      </c>
      <c r="D5">
        <f>SUMIFS(Tabela1[Ativa (kwh)],Tabela1[Mês],B5,Tabela1[Ano],C5)</f>
        <v>303693.18000000034</v>
      </c>
      <c r="E5">
        <f t="shared" si="2"/>
        <v>303.69318000000032</v>
      </c>
    </row>
    <row r="6" spans="1:10" x14ac:dyDescent="0.25">
      <c r="A6" s="1">
        <v>45839</v>
      </c>
      <c r="B6" s="5">
        <f t="shared" si="0"/>
        <v>7</v>
      </c>
      <c r="C6" s="5">
        <f t="shared" si="1"/>
        <v>2025</v>
      </c>
      <c r="D6">
        <f>SUMIFS(Tabela1[Ativa (kwh)],Tabela1[Mês],B6,Tabela1[Ano],C6)</f>
        <v>323105.1600000005</v>
      </c>
      <c r="E6">
        <f t="shared" si="2"/>
        <v>323.10516000000052</v>
      </c>
    </row>
    <row r="7" spans="1:10" x14ac:dyDescent="0.25">
      <c r="A7" s="1">
        <v>45870</v>
      </c>
      <c r="B7" s="5">
        <f t="shared" si="0"/>
        <v>8</v>
      </c>
      <c r="C7" s="5">
        <f t="shared" si="1"/>
        <v>2025</v>
      </c>
      <c r="D7">
        <f>SUMIFS(Tabela1[Ativa (kwh)],Tabela1[Mês],B7,Tabela1[Ano],C7)</f>
        <v>318037.01999999984</v>
      </c>
      <c r="E7">
        <f t="shared" si="2"/>
        <v>318.03701999999987</v>
      </c>
    </row>
    <row r="8" spans="1:10" x14ac:dyDescent="0.25">
      <c r="A8" s="1">
        <v>45901</v>
      </c>
      <c r="B8" s="5">
        <f t="shared" si="0"/>
        <v>9</v>
      </c>
      <c r="C8" s="5">
        <f t="shared" si="1"/>
        <v>2025</v>
      </c>
      <c r="D8">
        <f>SUMIFS(Tabela1[Ativa (kwh)],Tabela1[Mês],B8,Tabela1[Ano],C8)</f>
        <v>325728.06000000017</v>
      </c>
      <c r="E8">
        <f t="shared" si="2"/>
        <v>325.7280600000002</v>
      </c>
    </row>
    <row r="9" spans="1:10" x14ac:dyDescent="0.25">
      <c r="A9" s="1">
        <v>45931</v>
      </c>
      <c r="B9" s="5">
        <f t="shared" si="0"/>
        <v>10</v>
      </c>
      <c r="C9" s="5">
        <f t="shared" si="1"/>
        <v>2025</v>
      </c>
      <c r="D9">
        <f>SUMIFS(Tabela1[Ativa (kwh)],Tabela1[Mês],B9,Tabela1[Ano],C9)</f>
        <v>351357.72</v>
      </c>
      <c r="E9">
        <f t="shared" si="2"/>
        <v>351.35771999999997</v>
      </c>
      <c r="J9" s="4"/>
    </row>
    <row r="10" spans="1:10" x14ac:dyDescent="0.25">
      <c r="A10" s="1">
        <v>45962</v>
      </c>
      <c r="B10" s="5">
        <f t="shared" si="0"/>
        <v>11</v>
      </c>
      <c r="C10" s="5">
        <f t="shared" si="1"/>
        <v>2025</v>
      </c>
      <c r="D10">
        <f>SUMIFS(Tabela1[Ativa (kwh)],Tabela1[Mês],B10,Tabela1[Ano],C10)</f>
        <v>379097.45999999961</v>
      </c>
      <c r="E10">
        <f t="shared" si="2"/>
        <v>379.09745999999961</v>
      </c>
      <c r="J10" s="4"/>
    </row>
    <row r="11" spans="1:10" x14ac:dyDescent="0.25">
      <c r="A11" s="1">
        <v>45992</v>
      </c>
      <c r="B11" s="5">
        <f t="shared" si="0"/>
        <v>12</v>
      </c>
      <c r="C11" s="5">
        <f t="shared" si="1"/>
        <v>2025</v>
      </c>
      <c r="D11">
        <f>SUMIFS(Tabela1[Ativa (kwh)],Tabela1[Mês],B11,Tabela1[Ano],C11)</f>
        <v>468099.24000000081</v>
      </c>
      <c r="E11">
        <f>D11/1000</f>
        <v>468.0992400000008</v>
      </c>
    </row>
    <row r="12" spans="1:10" x14ac:dyDescent="0.25">
      <c r="A12" s="1">
        <v>46023</v>
      </c>
      <c r="B12" s="5">
        <f t="shared" si="0"/>
        <v>1</v>
      </c>
      <c r="C12" s="5">
        <f t="shared" si="1"/>
        <v>2026</v>
      </c>
      <c r="D12">
        <f>SUMIFS(Tabela1[Ativa (kwh)],Tabela1[Mês],B12,Tabela1[Ano],C12)</f>
        <v>434799.95999999973</v>
      </c>
      <c r="E12">
        <f>D12/1000</f>
        <v>434.79995999999971</v>
      </c>
    </row>
    <row r="13" spans="1:10" x14ac:dyDescent="0.25">
      <c r="A13" s="1">
        <v>46054</v>
      </c>
      <c r="B13" s="5">
        <f t="shared" ref="B13" si="3">MONTH(A13)</f>
        <v>2</v>
      </c>
      <c r="C13" s="5">
        <f t="shared" ref="C13" si="4">YEAR(A13)</f>
        <v>2026</v>
      </c>
      <c r="D13">
        <f>SUMIFS(Tabela1[Ativa (kwh)],Tabela1[Mês],B13,Tabela1[Ano],C13)</f>
        <v>398883.24000000028</v>
      </c>
      <c r="E13">
        <f>D13/1000</f>
        <v>398.88324000000028</v>
      </c>
    </row>
    <row r="14" spans="1:10" x14ac:dyDescent="0.25">
      <c r="A14" s="1">
        <v>46082</v>
      </c>
      <c r="B14" s="5">
        <f t="shared" ref="B14" si="5">MONTH(A14)</f>
        <v>3</v>
      </c>
      <c r="C14" s="5">
        <f t="shared" ref="C14" si="6">YEAR(A14)</f>
        <v>2026</v>
      </c>
      <c r="D14">
        <f>SUMIFS(Tabela1[Ativa (kwh)],Tabela1[Mês],B14,Tabela1[Ano],C14)</f>
        <v>329488.74000000028</v>
      </c>
      <c r="E14">
        <f>D14/1000</f>
        <v>329.48874000000029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customXml/itemProps3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2026-03-26T12:54:41Z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