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16" documentId="8_{8D12E28F-71B1-4F28-B6C5-4462CC8675C5}" xr6:coauthVersionLast="47" xr6:coauthVersionMax="47" xr10:uidLastSave="{0CF3B40C-6175-4F9E-959B-77E8BEDAB2FA}"/>
  <bookViews>
    <workbookView xWindow="-120" yWindow="-120" windowWidth="20730" windowHeight="11040" activeTab="2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2" l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A27" i="2"/>
  <c r="A26" i="2" s="1"/>
  <c r="A25" i="2" s="1"/>
  <c r="A24" i="2" s="1"/>
  <c r="A23" i="2" s="1"/>
  <c r="A22" i="2" s="1"/>
  <c r="A21" i="2" s="1"/>
  <c r="A20" i="2" s="1"/>
  <c r="A19" i="2" s="1"/>
  <c r="B19" i="2" s="1"/>
  <c r="D19" i="2" s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18" i="2"/>
  <c r="D14" i="4"/>
  <c r="E14" i="4" s="1"/>
  <c r="D13" i="4"/>
  <c r="E13" i="4" s="1"/>
  <c r="C2" i="3"/>
  <c r="C20" i="2"/>
  <c r="E20" i="2" s="1"/>
  <c r="C21" i="2"/>
  <c r="E21" i="2" s="1"/>
  <c r="C22" i="2"/>
  <c r="E22" i="2" s="1"/>
  <c r="C24" i="2"/>
  <c r="E24" i="2" s="1"/>
  <c r="C26" i="2"/>
  <c r="E26" i="2" s="1"/>
  <c r="C28" i="2"/>
  <c r="E28" i="2" s="1"/>
  <c r="C23" i="2"/>
  <c r="E23" i="2" s="1"/>
  <c r="C25" i="2"/>
  <c r="E25" i="2" s="1"/>
  <c r="C27" i="2"/>
  <c r="E27" i="2" s="1"/>
  <c r="C19" i="2"/>
  <c r="E19" i="2" s="1"/>
  <c r="B25" i="2"/>
  <c r="D25" i="2" s="1"/>
  <c r="B21" i="2"/>
  <c r="D21" i="2" s="1"/>
  <c r="B23" i="2"/>
  <c r="D23" i="2" s="1"/>
  <c r="B24" i="2"/>
  <c r="D24" i="2" s="1"/>
  <c r="B26" i="2"/>
  <c r="D26" i="2" s="1"/>
  <c r="B27" i="2"/>
  <c r="D27" i="2" s="1"/>
  <c r="B22" i="2"/>
  <c r="D22" i="2" s="1"/>
  <c r="B20" i="2"/>
  <c r="D20" i="2" s="1"/>
  <c r="B28" i="2"/>
  <c r="D28" i="2" s="1"/>
  <c r="A17" i="2" l="1"/>
  <c r="C18" i="2"/>
  <c r="E18" i="2" s="1"/>
  <c r="B18" i="2"/>
  <c r="D18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C11" i="2"/>
  <c r="E11" i="2" s="1"/>
  <c r="B11" i="2"/>
  <c r="D11" i="2" s="1"/>
  <c r="A9" i="2" l="1"/>
  <c r="C10" i="2"/>
  <c r="E10" i="2" s="1"/>
  <c r="B10" i="2"/>
  <c r="D10" i="2" s="1"/>
  <c r="A8" i="2" l="1"/>
  <c r="B9" i="2"/>
  <c r="D9" i="2" s="1"/>
  <c r="C9" i="2"/>
  <c r="E9" i="2" s="1"/>
  <c r="A7" i="2" l="1"/>
  <c r="C8" i="2"/>
  <c r="E8" i="2" s="1"/>
  <c r="B8" i="2"/>
  <c r="D8" i="2" s="1"/>
  <c r="A6" i="2" l="1"/>
  <c r="C7" i="2"/>
  <c r="E7" i="2" s="1"/>
  <c r="B7" i="2"/>
  <c r="D7" i="2" s="1"/>
  <c r="A5" i="2" l="1"/>
  <c r="C6" i="2"/>
  <c r="E6" i="2" s="1"/>
  <c r="B6" i="2"/>
  <c r="D6" i="2" s="1"/>
  <c r="A4" i="2" l="1"/>
  <c r="B5" i="2"/>
  <c r="D5" i="2" s="1"/>
  <c r="C5" i="2"/>
  <c r="E5" i="2" s="1"/>
  <c r="A3" i="2" l="1"/>
  <c r="C4" i="2"/>
  <c r="E4" i="2" s="1"/>
  <c r="B4" i="2"/>
  <c r="D4" i="2" s="1"/>
  <c r="A2" i="2" l="1"/>
  <c r="C3" i="2"/>
  <c r="E3" i="2" s="1"/>
  <c r="B3" i="2"/>
  <c r="D3" i="2" s="1"/>
  <c r="C2" i="2" l="1"/>
  <c r="E2" i="2" s="1"/>
  <c r="B2" i="2"/>
  <c r="D2" i="2" s="1"/>
</calcChain>
</file>

<file path=xl/sharedStrings.xml><?xml version="1.0" encoding="utf-8"?>
<sst xmlns="http://schemas.openxmlformats.org/spreadsheetml/2006/main" count="36191" uniqueCount="44">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</sst>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009" totalsRowShown="0">
  <autoFilter ref="A1:I100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009"/>
  <sheetViews>
    <sheetView workbookViewId="0">
      <selection activeCell="C16" sqref="C16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B9386" s="1"/>
      <c r="H9386" s="5"/>
    </row>
    <row r="9387" spans="1:9" x14ac:dyDescent="0.25">
      <c r="B9387" s="1"/>
      <c r="H9387" s="5"/>
    </row>
    <row r="9388" spans="1:9" x14ac:dyDescent="0.25">
      <c r="B9388" s="1"/>
      <c r="H9388" s="5"/>
    </row>
    <row r="9389" spans="1:9" x14ac:dyDescent="0.25">
      <c r="B9389" s="1"/>
      <c r="H9389" s="5"/>
    </row>
    <row r="9390" spans="1:9" x14ac:dyDescent="0.25">
      <c r="B9390" s="1"/>
      <c r="H9390" s="5"/>
    </row>
    <row r="9391" spans="1:9" x14ac:dyDescent="0.25">
      <c r="B9391" s="1"/>
      <c r="H9391" s="5"/>
    </row>
    <row r="9392" spans="1:9" x14ac:dyDescent="0.25">
      <c r="B9392" s="1"/>
      <c r="H9392" s="5"/>
    </row>
    <row r="9393" spans="2:8" x14ac:dyDescent="0.25">
      <c r="B9393" s="1"/>
      <c r="H9393" s="5"/>
    </row>
    <row r="9394" spans="2:8" x14ac:dyDescent="0.25">
      <c r="B9394" s="1"/>
      <c r="H9394" s="5"/>
    </row>
    <row r="9395" spans="2:8" x14ac:dyDescent="0.25">
      <c r="B9395" s="1"/>
      <c r="H9395" s="5"/>
    </row>
    <row r="9396" spans="2:8" x14ac:dyDescent="0.25">
      <c r="B9396" s="1"/>
      <c r="H9396" s="5"/>
    </row>
    <row r="9397" spans="2:8" x14ac:dyDescent="0.25">
      <c r="B9397" s="1"/>
      <c r="H9397" s="5"/>
    </row>
    <row r="9398" spans="2:8" x14ac:dyDescent="0.25">
      <c r="B9398" s="1"/>
      <c r="H9398" s="5"/>
    </row>
    <row r="9399" spans="2:8" x14ac:dyDescent="0.25">
      <c r="B9399" s="1"/>
      <c r="H9399" s="5"/>
    </row>
    <row r="9400" spans="2:8" x14ac:dyDescent="0.25">
      <c r="B9400" s="1"/>
      <c r="H9400" s="5"/>
    </row>
    <row r="9401" spans="2:8" x14ac:dyDescent="0.25">
      <c r="B9401" s="1"/>
      <c r="H9401" s="5"/>
    </row>
    <row r="9402" spans="2:8" x14ac:dyDescent="0.25">
      <c r="B9402" s="1"/>
      <c r="H9402" s="5"/>
    </row>
    <row r="9403" spans="2:8" x14ac:dyDescent="0.25">
      <c r="B9403" s="1"/>
      <c r="H9403" s="5"/>
    </row>
    <row r="9404" spans="2:8" x14ac:dyDescent="0.25">
      <c r="B9404" s="1"/>
      <c r="H9404" s="5"/>
    </row>
    <row r="9405" spans="2:8" x14ac:dyDescent="0.25">
      <c r="B9405" s="1"/>
      <c r="H9405" s="5"/>
    </row>
    <row r="9406" spans="2:8" x14ac:dyDescent="0.25">
      <c r="B9406" s="1"/>
      <c r="H9406" s="5"/>
    </row>
    <row r="9407" spans="2:8" x14ac:dyDescent="0.25">
      <c r="B9407" s="1"/>
      <c r="H9407" s="5"/>
    </row>
    <row r="9408" spans="2:8" x14ac:dyDescent="0.25">
      <c r="B9408" s="1"/>
      <c r="H9408" s="5"/>
    </row>
    <row r="9409" spans="2:8" x14ac:dyDescent="0.25">
      <c r="B9409" s="1"/>
      <c r="H9409" s="5"/>
    </row>
    <row r="9410" spans="2:8" x14ac:dyDescent="0.25">
      <c r="B9410" s="1"/>
      <c r="H9410" s="5"/>
    </row>
    <row r="9411" spans="2:8" x14ac:dyDescent="0.25">
      <c r="B9411" s="1"/>
      <c r="H9411" s="5"/>
    </row>
    <row r="9412" spans="2:8" x14ac:dyDescent="0.25">
      <c r="B9412" s="1"/>
      <c r="H9412" s="5"/>
    </row>
    <row r="9413" spans="2:8" x14ac:dyDescent="0.25">
      <c r="B9413" s="1"/>
      <c r="H9413" s="5"/>
    </row>
    <row r="9414" spans="2:8" x14ac:dyDescent="0.25">
      <c r="B9414" s="1"/>
      <c r="H9414" s="5"/>
    </row>
    <row r="9415" spans="2:8" x14ac:dyDescent="0.25">
      <c r="B9415" s="1"/>
      <c r="H9415" s="5"/>
    </row>
    <row r="9416" spans="2:8" x14ac:dyDescent="0.25">
      <c r="B9416" s="1"/>
      <c r="H9416" s="5"/>
    </row>
    <row r="9417" spans="2:8" x14ac:dyDescent="0.25">
      <c r="B9417" s="1"/>
      <c r="H9417" s="5"/>
    </row>
    <row r="9418" spans="2:8" x14ac:dyDescent="0.25">
      <c r="B9418" s="1"/>
      <c r="H9418" s="5"/>
    </row>
    <row r="9419" spans="2:8" x14ac:dyDescent="0.25">
      <c r="B9419" s="1"/>
      <c r="H9419" s="5"/>
    </row>
    <row r="9420" spans="2:8" x14ac:dyDescent="0.25">
      <c r="B9420" s="1"/>
      <c r="H9420" s="5"/>
    </row>
    <row r="9421" spans="2:8" x14ac:dyDescent="0.25">
      <c r="B9421" s="1"/>
      <c r="H9421" s="5"/>
    </row>
    <row r="9422" spans="2:8" x14ac:dyDescent="0.25">
      <c r="B9422" s="1"/>
      <c r="H9422" s="5"/>
    </row>
    <row r="9423" spans="2:8" x14ac:dyDescent="0.25">
      <c r="B9423" s="1"/>
      <c r="H9423" s="5"/>
    </row>
    <row r="9424" spans="2:8" x14ac:dyDescent="0.25">
      <c r="B9424" s="1"/>
      <c r="H9424" s="5"/>
    </row>
    <row r="9425" spans="2:8" x14ac:dyDescent="0.25">
      <c r="B9425" s="1"/>
      <c r="H9425" s="5"/>
    </row>
    <row r="9426" spans="2:8" x14ac:dyDescent="0.25">
      <c r="B9426" s="1"/>
      <c r="H9426" s="5"/>
    </row>
    <row r="9427" spans="2:8" x14ac:dyDescent="0.25">
      <c r="B9427" s="1"/>
      <c r="H9427" s="5"/>
    </row>
    <row r="9428" spans="2:8" x14ac:dyDescent="0.25">
      <c r="B9428" s="1"/>
      <c r="H9428" s="5"/>
    </row>
    <row r="9429" spans="2:8" x14ac:dyDescent="0.25">
      <c r="B9429" s="1"/>
      <c r="H9429" s="5"/>
    </row>
    <row r="9430" spans="2:8" x14ac:dyDescent="0.25">
      <c r="B9430" s="1"/>
      <c r="H9430" s="5"/>
    </row>
    <row r="9431" spans="2:8" x14ac:dyDescent="0.25">
      <c r="B9431" s="1"/>
      <c r="H9431" s="5"/>
    </row>
    <row r="9432" spans="2:8" x14ac:dyDescent="0.25">
      <c r="B9432" s="1"/>
      <c r="H9432" s="5"/>
    </row>
    <row r="9433" spans="2:8" x14ac:dyDescent="0.25">
      <c r="B9433" s="1"/>
      <c r="H9433" s="5"/>
    </row>
    <row r="9434" spans="2:8" x14ac:dyDescent="0.25">
      <c r="B9434" s="1"/>
      <c r="H9434" s="5"/>
    </row>
    <row r="9435" spans="2:8" x14ac:dyDescent="0.25">
      <c r="B9435" s="1"/>
      <c r="H9435" s="5"/>
    </row>
    <row r="9436" spans="2:8" x14ac:dyDescent="0.25">
      <c r="B9436" s="1"/>
      <c r="H9436" s="5"/>
    </row>
    <row r="9437" spans="2:8" x14ac:dyDescent="0.25">
      <c r="B9437" s="1"/>
      <c r="H9437" s="5"/>
    </row>
    <row r="9438" spans="2:8" x14ac:dyDescent="0.25">
      <c r="B9438" s="1"/>
      <c r="H9438" s="5"/>
    </row>
    <row r="9439" spans="2:8" x14ac:dyDescent="0.25">
      <c r="B9439" s="1"/>
      <c r="H9439" s="5"/>
    </row>
    <row r="9440" spans="2:8" x14ac:dyDescent="0.25">
      <c r="B9440" s="1"/>
      <c r="H9440" s="5"/>
    </row>
    <row r="9441" spans="2:8" x14ac:dyDescent="0.25">
      <c r="B9441" s="1"/>
      <c r="H9441" s="5"/>
    </row>
    <row r="9442" spans="2:8" x14ac:dyDescent="0.25">
      <c r="B9442" s="1"/>
      <c r="H9442" s="5"/>
    </row>
    <row r="9443" spans="2:8" x14ac:dyDescent="0.25">
      <c r="B9443" s="1"/>
      <c r="H9443" s="5"/>
    </row>
    <row r="9444" spans="2:8" x14ac:dyDescent="0.25">
      <c r="B9444" s="1"/>
      <c r="H9444" s="5"/>
    </row>
    <row r="9445" spans="2:8" x14ac:dyDescent="0.25">
      <c r="B9445" s="1"/>
      <c r="H9445" s="5"/>
    </row>
    <row r="9446" spans="2:8" x14ac:dyDescent="0.25">
      <c r="B9446" s="1"/>
      <c r="H9446" s="5"/>
    </row>
    <row r="9447" spans="2:8" x14ac:dyDescent="0.25">
      <c r="B9447" s="1"/>
      <c r="H9447" s="5"/>
    </row>
    <row r="9448" spans="2:8" x14ac:dyDescent="0.25">
      <c r="B9448" s="1"/>
      <c r="H9448" s="5"/>
    </row>
    <row r="9449" spans="2:8" x14ac:dyDescent="0.25">
      <c r="B9449" s="1"/>
      <c r="H9449" s="5"/>
    </row>
    <row r="9450" spans="2:8" x14ac:dyDescent="0.25">
      <c r="B9450" s="1"/>
      <c r="H9450" s="5"/>
    </row>
    <row r="9451" spans="2:8" x14ac:dyDescent="0.25">
      <c r="B9451" s="1"/>
      <c r="H9451" s="5"/>
    </row>
    <row r="9452" spans="2:8" x14ac:dyDescent="0.25">
      <c r="B9452" s="1"/>
      <c r="H9452" s="5"/>
    </row>
    <row r="9453" spans="2:8" x14ac:dyDescent="0.25">
      <c r="B9453" s="1"/>
      <c r="H9453" s="5"/>
    </row>
    <row r="9454" spans="2:8" x14ac:dyDescent="0.25">
      <c r="B9454" s="1"/>
      <c r="H9454" s="5"/>
    </row>
    <row r="9455" spans="2:8" x14ac:dyDescent="0.25">
      <c r="B9455" s="1"/>
      <c r="H9455" s="5"/>
    </row>
    <row r="9456" spans="2:8" x14ac:dyDescent="0.25">
      <c r="B9456" s="1"/>
      <c r="H9456" s="5"/>
    </row>
    <row r="9457" spans="2:8" x14ac:dyDescent="0.25">
      <c r="B9457" s="1"/>
      <c r="H9457" s="5"/>
    </row>
    <row r="9458" spans="2:8" x14ac:dyDescent="0.25">
      <c r="B9458" s="1"/>
      <c r="H9458" s="5"/>
    </row>
    <row r="9459" spans="2:8" x14ac:dyDescent="0.25">
      <c r="B9459" s="1"/>
      <c r="H9459" s="5"/>
    </row>
    <row r="9460" spans="2:8" x14ac:dyDescent="0.25">
      <c r="B9460" s="1"/>
      <c r="H9460" s="5"/>
    </row>
    <row r="9461" spans="2:8" x14ac:dyDescent="0.25">
      <c r="B9461" s="1"/>
      <c r="H9461" s="5"/>
    </row>
    <row r="9462" spans="2:8" x14ac:dyDescent="0.25">
      <c r="B9462" s="1"/>
      <c r="H9462" s="5"/>
    </row>
    <row r="9463" spans="2:8" x14ac:dyDescent="0.25">
      <c r="B9463" s="1"/>
      <c r="H9463" s="5"/>
    </row>
    <row r="9464" spans="2:8" x14ac:dyDescent="0.25">
      <c r="B9464" s="1"/>
      <c r="H9464" s="5"/>
    </row>
    <row r="9465" spans="2:8" x14ac:dyDescent="0.25">
      <c r="B9465" s="1"/>
      <c r="H9465" s="5"/>
    </row>
    <row r="9466" spans="2:8" x14ac:dyDescent="0.25">
      <c r="B9466" s="1"/>
      <c r="H9466" s="5"/>
    </row>
    <row r="9467" spans="2:8" x14ac:dyDescent="0.25">
      <c r="B9467" s="1"/>
      <c r="H9467" s="5"/>
    </row>
    <row r="9468" spans="2:8" x14ac:dyDescent="0.25">
      <c r="B9468" s="1"/>
      <c r="H9468" s="5"/>
    </row>
    <row r="9469" spans="2:8" x14ac:dyDescent="0.25">
      <c r="B9469" s="1"/>
      <c r="H9469" s="5"/>
    </row>
    <row r="9470" spans="2:8" x14ac:dyDescent="0.25">
      <c r="B9470" s="1"/>
      <c r="H9470" s="5"/>
    </row>
    <row r="9471" spans="2:8" x14ac:dyDescent="0.25">
      <c r="B9471" s="1"/>
      <c r="H9471" s="5"/>
    </row>
    <row r="9472" spans="2:8" x14ac:dyDescent="0.25">
      <c r="B9472" s="1"/>
      <c r="H9472" s="5"/>
    </row>
    <row r="9473" spans="2:8" x14ac:dyDescent="0.25">
      <c r="B9473" s="1"/>
      <c r="H9473" s="5"/>
    </row>
    <row r="9474" spans="2:8" x14ac:dyDescent="0.25">
      <c r="B9474" s="1"/>
      <c r="H9474" s="5"/>
    </row>
    <row r="9475" spans="2:8" x14ac:dyDescent="0.25">
      <c r="B9475" s="1"/>
      <c r="H9475" s="5"/>
    </row>
    <row r="9476" spans="2:8" x14ac:dyDescent="0.25">
      <c r="B9476" s="1"/>
      <c r="H9476" s="5"/>
    </row>
    <row r="9477" spans="2:8" x14ac:dyDescent="0.25">
      <c r="B9477" s="1"/>
      <c r="H9477" s="5"/>
    </row>
    <row r="9478" spans="2:8" x14ac:dyDescent="0.25">
      <c r="B9478" s="1"/>
      <c r="H9478" s="5"/>
    </row>
    <row r="9479" spans="2:8" x14ac:dyDescent="0.25">
      <c r="B9479" s="1"/>
      <c r="H9479" s="5"/>
    </row>
    <row r="9480" spans="2:8" x14ac:dyDescent="0.25">
      <c r="B9480" s="1"/>
      <c r="H9480" s="5"/>
    </row>
    <row r="9481" spans="2:8" x14ac:dyDescent="0.25">
      <c r="B9481" s="1"/>
      <c r="H9481" s="5"/>
    </row>
    <row r="9482" spans="2:8" x14ac:dyDescent="0.25">
      <c r="B9482" s="1"/>
      <c r="H9482" s="5"/>
    </row>
    <row r="9483" spans="2:8" x14ac:dyDescent="0.25">
      <c r="B9483" s="1"/>
      <c r="H9483" s="5"/>
    </row>
    <row r="9484" spans="2:8" x14ac:dyDescent="0.25">
      <c r="B9484" s="1"/>
      <c r="H9484" s="5"/>
    </row>
    <row r="9485" spans="2:8" x14ac:dyDescent="0.25">
      <c r="B9485" s="1"/>
      <c r="H9485" s="5"/>
    </row>
    <row r="9486" spans="2:8" x14ac:dyDescent="0.25">
      <c r="B9486" s="1"/>
      <c r="H9486" s="5"/>
    </row>
    <row r="9487" spans="2:8" x14ac:dyDescent="0.25">
      <c r="B9487" s="1"/>
      <c r="H9487" s="5"/>
    </row>
    <row r="9488" spans="2:8" x14ac:dyDescent="0.25">
      <c r="B9488" s="1"/>
      <c r="H9488" s="5"/>
    </row>
    <row r="9489" spans="2:8" x14ac:dyDescent="0.25">
      <c r="B9489" s="1"/>
      <c r="H9489" s="5"/>
    </row>
    <row r="9490" spans="2:8" x14ac:dyDescent="0.25">
      <c r="B9490" s="1"/>
      <c r="H9490" s="5"/>
    </row>
    <row r="9491" spans="2:8" x14ac:dyDescent="0.25">
      <c r="B9491" s="1"/>
      <c r="H9491" s="5"/>
    </row>
    <row r="9492" spans="2:8" x14ac:dyDescent="0.25">
      <c r="B9492" s="1"/>
      <c r="H9492" s="5"/>
    </row>
    <row r="9493" spans="2:8" x14ac:dyDescent="0.25">
      <c r="B9493" s="1"/>
      <c r="H9493" s="5"/>
    </row>
    <row r="9494" spans="2:8" x14ac:dyDescent="0.25">
      <c r="B9494" s="1"/>
      <c r="H9494" s="5"/>
    </row>
    <row r="9495" spans="2:8" x14ac:dyDescent="0.25">
      <c r="B9495" s="1"/>
      <c r="H9495" s="5"/>
    </row>
    <row r="9496" spans="2:8" x14ac:dyDescent="0.25">
      <c r="B9496" s="1"/>
      <c r="H9496" s="5"/>
    </row>
    <row r="9497" spans="2:8" x14ac:dyDescent="0.25">
      <c r="B9497" s="1"/>
      <c r="H9497" s="5"/>
    </row>
    <row r="9498" spans="2:8" x14ac:dyDescent="0.25">
      <c r="B9498" s="1"/>
      <c r="H9498" s="5"/>
    </row>
    <row r="9499" spans="2:8" x14ac:dyDescent="0.25">
      <c r="B9499" s="1"/>
      <c r="H9499" s="5"/>
    </row>
    <row r="9500" spans="2:8" x14ac:dyDescent="0.25">
      <c r="B9500" s="1"/>
      <c r="H9500" s="5"/>
    </row>
    <row r="9501" spans="2:8" x14ac:dyDescent="0.25">
      <c r="B9501" s="1"/>
      <c r="H9501" s="5"/>
    </row>
    <row r="9502" spans="2:8" x14ac:dyDescent="0.25">
      <c r="B9502" s="1"/>
      <c r="H9502" s="5"/>
    </row>
    <row r="9503" spans="2:8" x14ac:dyDescent="0.25">
      <c r="B9503" s="1"/>
      <c r="H9503" s="5"/>
    </row>
    <row r="9504" spans="2:8" x14ac:dyDescent="0.25">
      <c r="B9504" s="1"/>
      <c r="H9504" s="5"/>
    </row>
    <row r="9505" spans="2:8" x14ac:dyDescent="0.25">
      <c r="B9505" s="1"/>
      <c r="H9505" s="5"/>
    </row>
    <row r="9506" spans="2:8" x14ac:dyDescent="0.25">
      <c r="B9506" s="1"/>
      <c r="H9506" s="5"/>
    </row>
    <row r="9507" spans="2:8" x14ac:dyDescent="0.25">
      <c r="B9507" s="1"/>
      <c r="H9507" s="5"/>
    </row>
    <row r="9508" spans="2:8" x14ac:dyDescent="0.25">
      <c r="B9508" s="1"/>
      <c r="H9508" s="5"/>
    </row>
    <row r="9509" spans="2:8" x14ac:dyDescent="0.25">
      <c r="B9509" s="1"/>
      <c r="H9509" s="5"/>
    </row>
    <row r="9510" spans="2:8" x14ac:dyDescent="0.25">
      <c r="B9510" s="1"/>
      <c r="H9510" s="5"/>
    </row>
    <row r="9511" spans="2:8" x14ac:dyDescent="0.25">
      <c r="B9511" s="1"/>
      <c r="H9511" s="5"/>
    </row>
    <row r="9512" spans="2:8" x14ac:dyDescent="0.25">
      <c r="B9512" s="1"/>
      <c r="H9512" s="5"/>
    </row>
    <row r="9513" spans="2:8" x14ac:dyDescent="0.25">
      <c r="B9513" s="1"/>
      <c r="H9513" s="5"/>
    </row>
    <row r="9514" spans="2:8" x14ac:dyDescent="0.25">
      <c r="B9514" s="1"/>
      <c r="H9514" s="5"/>
    </row>
    <row r="9515" spans="2:8" x14ac:dyDescent="0.25">
      <c r="B9515" s="1"/>
      <c r="H9515" s="5"/>
    </row>
    <row r="9516" spans="2:8" x14ac:dyDescent="0.25">
      <c r="B9516" s="1"/>
      <c r="H9516" s="5"/>
    </row>
    <row r="9517" spans="2:8" x14ac:dyDescent="0.25">
      <c r="B9517" s="1"/>
      <c r="H9517" s="5"/>
    </row>
    <row r="9518" spans="2:8" x14ac:dyDescent="0.25">
      <c r="B9518" s="1"/>
      <c r="H9518" s="5"/>
    </row>
    <row r="9519" spans="2:8" x14ac:dyDescent="0.25">
      <c r="B9519" s="1"/>
      <c r="H9519" s="5"/>
    </row>
    <row r="9520" spans="2:8" x14ac:dyDescent="0.25">
      <c r="B9520" s="1"/>
      <c r="H9520" s="5"/>
    </row>
    <row r="9521" spans="2:8" x14ac:dyDescent="0.25">
      <c r="B9521" s="1"/>
      <c r="H9521" s="5"/>
    </row>
    <row r="9522" spans="2:8" x14ac:dyDescent="0.25">
      <c r="B9522" s="1"/>
      <c r="H9522" s="5"/>
    </row>
    <row r="9523" spans="2:8" x14ac:dyDescent="0.25">
      <c r="B9523" s="1"/>
      <c r="H9523" s="5"/>
    </row>
    <row r="9524" spans="2:8" x14ac:dyDescent="0.25">
      <c r="B9524" s="1"/>
      <c r="H9524" s="5"/>
    </row>
    <row r="9525" spans="2:8" x14ac:dyDescent="0.25">
      <c r="B9525" s="1"/>
      <c r="H9525" s="5"/>
    </row>
    <row r="9526" spans="2:8" x14ac:dyDescent="0.25">
      <c r="B9526" s="1"/>
      <c r="H9526" s="5"/>
    </row>
    <row r="9527" spans="2:8" x14ac:dyDescent="0.25">
      <c r="B9527" s="1"/>
      <c r="H9527" s="5"/>
    </row>
    <row r="9528" spans="2:8" x14ac:dyDescent="0.25">
      <c r="B9528" s="1"/>
      <c r="H9528" s="5"/>
    </row>
    <row r="9529" spans="2:8" x14ac:dyDescent="0.25">
      <c r="B9529" s="1"/>
      <c r="H9529" s="5"/>
    </row>
    <row r="9530" spans="2:8" x14ac:dyDescent="0.25">
      <c r="B9530" s="1"/>
      <c r="H9530" s="5"/>
    </row>
    <row r="9531" spans="2:8" x14ac:dyDescent="0.25">
      <c r="B9531" s="1"/>
      <c r="H9531" s="5"/>
    </row>
    <row r="9532" spans="2:8" x14ac:dyDescent="0.25">
      <c r="B9532" s="1"/>
      <c r="H9532" s="5"/>
    </row>
    <row r="9533" spans="2:8" x14ac:dyDescent="0.25">
      <c r="B9533" s="1"/>
      <c r="H9533" s="5"/>
    </row>
    <row r="9534" spans="2:8" x14ac:dyDescent="0.25">
      <c r="B9534" s="1"/>
      <c r="H9534" s="5"/>
    </row>
    <row r="9535" spans="2:8" x14ac:dyDescent="0.25">
      <c r="B9535" s="1"/>
      <c r="H9535" s="5"/>
    </row>
    <row r="9536" spans="2:8" x14ac:dyDescent="0.25">
      <c r="B9536" s="1"/>
      <c r="H9536" s="5"/>
    </row>
    <row r="9537" spans="2:8" x14ac:dyDescent="0.25">
      <c r="B9537" s="1"/>
      <c r="H9537" s="5"/>
    </row>
    <row r="9538" spans="2:8" x14ac:dyDescent="0.25">
      <c r="B9538" s="1"/>
      <c r="H9538" s="5"/>
    </row>
    <row r="9539" spans="2:8" x14ac:dyDescent="0.25">
      <c r="B9539" s="1"/>
      <c r="H9539" s="5"/>
    </row>
    <row r="9540" spans="2:8" x14ac:dyDescent="0.25">
      <c r="B9540" s="1"/>
      <c r="H9540" s="5"/>
    </row>
    <row r="9541" spans="2:8" x14ac:dyDescent="0.25">
      <c r="B9541" s="1"/>
      <c r="H9541" s="5"/>
    </row>
    <row r="9542" spans="2:8" x14ac:dyDescent="0.25">
      <c r="B9542" s="1"/>
      <c r="H9542" s="5"/>
    </row>
    <row r="9543" spans="2:8" x14ac:dyDescent="0.25">
      <c r="B9543" s="1"/>
      <c r="H9543" s="5"/>
    </row>
    <row r="9544" spans="2:8" x14ac:dyDescent="0.25">
      <c r="B9544" s="1"/>
      <c r="H9544" s="5"/>
    </row>
    <row r="9545" spans="2:8" x14ac:dyDescent="0.25">
      <c r="B9545" s="1"/>
      <c r="H9545" s="5"/>
    </row>
    <row r="9546" spans="2:8" x14ac:dyDescent="0.25">
      <c r="B9546" s="1"/>
      <c r="H9546" s="5"/>
    </row>
    <row r="9547" spans="2:8" x14ac:dyDescent="0.25">
      <c r="B9547" s="1"/>
      <c r="H9547" s="5"/>
    </row>
    <row r="9548" spans="2:8" x14ac:dyDescent="0.25">
      <c r="B9548" s="1"/>
      <c r="H9548" s="5"/>
    </row>
    <row r="9549" spans="2:8" x14ac:dyDescent="0.25">
      <c r="B9549" s="1"/>
      <c r="H9549" s="5"/>
    </row>
    <row r="9550" spans="2:8" x14ac:dyDescent="0.25">
      <c r="B9550" s="1"/>
      <c r="H9550" s="5"/>
    </row>
    <row r="9551" spans="2:8" x14ac:dyDescent="0.25">
      <c r="B9551" s="1"/>
      <c r="H9551" s="5"/>
    </row>
    <row r="9552" spans="2:8" x14ac:dyDescent="0.25">
      <c r="B9552" s="1"/>
      <c r="H9552" s="5"/>
    </row>
    <row r="9553" spans="2:8" x14ac:dyDescent="0.25">
      <c r="B9553" s="1"/>
      <c r="H9553" s="5"/>
    </row>
    <row r="9554" spans="2:8" x14ac:dyDescent="0.25">
      <c r="B9554" s="1"/>
      <c r="H9554" s="5"/>
    </row>
    <row r="9555" spans="2:8" x14ac:dyDescent="0.25">
      <c r="B9555" s="1"/>
      <c r="H9555" s="5"/>
    </row>
    <row r="9556" spans="2:8" x14ac:dyDescent="0.25">
      <c r="B9556" s="1"/>
      <c r="H9556" s="5"/>
    </row>
    <row r="9557" spans="2:8" x14ac:dyDescent="0.25">
      <c r="B9557" s="1"/>
      <c r="H9557" s="5"/>
    </row>
    <row r="9558" spans="2:8" x14ac:dyDescent="0.25">
      <c r="B9558" s="1"/>
      <c r="H9558" s="5"/>
    </row>
    <row r="9559" spans="2:8" x14ac:dyDescent="0.25">
      <c r="B9559" s="1"/>
      <c r="H9559" s="5"/>
    </row>
    <row r="9560" spans="2:8" x14ac:dyDescent="0.25">
      <c r="B9560" s="1"/>
      <c r="H9560" s="5"/>
    </row>
    <row r="9561" spans="2:8" x14ac:dyDescent="0.25">
      <c r="B9561" s="1"/>
      <c r="H9561" s="5"/>
    </row>
    <row r="9562" spans="2:8" x14ac:dyDescent="0.25">
      <c r="B9562" s="1"/>
      <c r="H9562" s="5"/>
    </row>
    <row r="9563" spans="2:8" x14ac:dyDescent="0.25">
      <c r="B9563" s="1"/>
      <c r="H9563" s="5"/>
    </row>
    <row r="9564" spans="2:8" x14ac:dyDescent="0.25">
      <c r="B9564" s="1"/>
      <c r="H9564" s="5"/>
    </row>
    <row r="9565" spans="2:8" x14ac:dyDescent="0.25">
      <c r="B9565" s="1"/>
      <c r="H9565" s="5"/>
    </row>
    <row r="9566" spans="2:8" x14ac:dyDescent="0.25">
      <c r="B9566" s="1"/>
      <c r="H9566" s="5"/>
    </row>
    <row r="9567" spans="2:8" x14ac:dyDescent="0.25">
      <c r="B9567" s="1"/>
      <c r="H9567" s="5"/>
    </row>
    <row r="9568" spans="2:8" x14ac:dyDescent="0.25">
      <c r="B9568" s="1"/>
      <c r="H9568" s="5"/>
    </row>
    <row r="9569" spans="2:8" x14ac:dyDescent="0.25">
      <c r="B9569" s="1"/>
      <c r="H9569" s="5"/>
    </row>
    <row r="9570" spans="2:8" x14ac:dyDescent="0.25">
      <c r="B9570" s="1"/>
      <c r="H9570" s="5"/>
    </row>
    <row r="9571" spans="2:8" x14ac:dyDescent="0.25">
      <c r="B9571" s="1"/>
      <c r="H9571" s="5"/>
    </row>
    <row r="9572" spans="2:8" x14ac:dyDescent="0.25">
      <c r="B9572" s="1"/>
      <c r="H9572" s="5"/>
    </row>
    <row r="9573" spans="2:8" x14ac:dyDescent="0.25">
      <c r="B9573" s="1"/>
      <c r="H9573" s="5"/>
    </row>
    <row r="9574" spans="2:8" x14ac:dyDescent="0.25">
      <c r="B9574" s="1"/>
      <c r="H9574" s="5"/>
    </row>
    <row r="9575" spans="2:8" x14ac:dyDescent="0.25">
      <c r="B9575" s="1"/>
      <c r="H9575" s="5"/>
    </row>
    <row r="9576" spans="2:8" x14ac:dyDescent="0.25">
      <c r="B9576" s="1"/>
      <c r="H9576" s="5"/>
    </row>
    <row r="9577" spans="2:8" x14ac:dyDescent="0.25">
      <c r="B9577" s="1"/>
      <c r="H9577" s="5"/>
    </row>
    <row r="9578" spans="2:8" x14ac:dyDescent="0.25">
      <c r="B9578" s="1"/>
      <c r="H9578" s="5"/>
    </row>
    <row r="9579" spans="2:8" x14ac:dyDescent="0.25">
      <c r="B9579" s="1"/>
      <c r="H9579" s="5"/>
    </row>
    <row r="9580" spans="2:8" x14ac:dyDescent="0.25">
      <c r="B9580" s="1"/>
      <c r="H9580" s="5"/>
    </row>
    <row r="9581" spans="2:8" x14ac:dyDescent="0.25">
      <c r="B9581" s="1"/>
      <c r="H9581" s="5"/>
    </row>
    <row r="9582" spans="2:8" x14ac:dyDescent="0.25">
      <c r="B9582" s="1"/>
      <c r="H9582" s="5"/>
    </row>
    <row r="9583" spans="2:8" x14ac:dyDescent="0.25">
      <c r="B9583" s="1"/>
      <c r="H9583" s="5"/>
    </row>
    <row r="9584" spans="2:8" x14ac:dyDescent="0.25">
      <c r="B9584" s="1"/>
      <c r="H9584" s="5"/>
    </row>
    <row r="9585" spans="2:8" x14ac:dyDescent="0.25">
      <c r="B9585" s="1"/>
      <c r="H9585" s="5"/>
    </row>
    <row r="9586" spans="2:8" x14ac:dyDescent="0.25">
      <c r="B9586" s="1"/>
      <c r="H9586" s="5"/>
    </row>
    <row r="9587" spans="2:8" x14ac:dyDescent="0.25">
      <c r="B9587" s="1"/>
      <c r="H9587" s="5"/>
    </row>
    <row r="9588" spans="2:8" x14ac:dyDescent="0.25">
      <c r="B9588" s="1"/>
      <c r="H9588" s="5"/>
    </row>
    <row r="9589" spans="2:8" x14ac:dyDescent="0.25">
      <c r="B9589" s="1"/>
      <c r="H9589" s="5"/>
    </row>
    <row r="9590" spans="2:8" x14ac:dyDescent="0.25">
      <c r="B9590" s="1"/>
      <c r="H9590" s="5"/>
    </row>
    <row r="9591" spans="2:8" x14ac:dyDescent="0.25">
      <c r="B9591" s="1"/>
      <c r="H9591" s="5"/>
    </row>
    <row r="9592" spans="2:8" x14ac:dyDescent="0.25">
      <c r="B9592" s="1"/>
      <c r="H9592" s="5"/>
    </row>
    <row r="9593" spans="2:8" x14ac:dyDescent="0.25">
      <c r="B9593" s="1"/>
      <c r="H9593" s="5"/>
    </row>
    <row r="9594" spans="2:8" x14ac:dyDescent="0.25">
      <c r="B9594" s="1"/>
      <c r="H9594" s="5"/>
    </row>
    <row r="9595" spans="2:8" x14ac:dyDescent="0.25">
      <c r="B9595" s="1"/>
      <c r="H9595" s="5"/>
    </row>
    <row r="9596" spans="2:8" x14ac:dyDescent="0.25">
      <c r="B9596" s="1"/>
      <c r="H9596" s="5"/>
    </row>
    <row r="9597" spans="2:8" x14ac:dyDescent="0.25">
      <c r="B9597" s="1"/>
      <c r="H9597" s="5"/>
    </row>
    <row r="9598" spans="2:8" x14ac:dyDescent="0.25">
      <c r="B9598" s="1"/>
      <c r="H9598" s="5"/>
    </row>
    <row r="9599" spans="2:8" x14ac:dyDescent="0.25">
      <c r="B9599" s="1"/>
      <c r="H9599" s="5"/>
    </row>
    <row r="9600" spans="2:8" x14ac:dyDescent="0.25">
      <c r="B9600" s="1"/>
      <c r="H9600" s="5"/>
    </row>
    <row r="9601" spans="2:8" x14ac:dyDescent="0.25">
      <c r="B9601" s="1"/>
      <c r="H9601" s="5"/>
    </row>
    <row r="9602" spans="2:8" x14ac:dyDescent="0.25">
      <c r="B9602" s="1"/>
      <c r="H9602" s="5"/>
    </row>
    <row r="9603" spans="2:8" x14ac:dyDescent="0.25">
      <c r="B9603" s="1"/>
      <c r="H9603" s="5"/>
    </row>
    <row r="9604" spans="2:8" x14ac:dyDescent="0.25">
      <c r="B9604" s="1"/>
      <c r="H9604" s="5"/>
    </row>
    <row r="9605" spans="2:8" x14ac:dyDescent="0.25">
      <c r="B9605" s="1"/>
      <c r="H9605" s="5"/>
    </row>
    <row r="9606" spans="2:8" x14ac:dyDescent="0.25">
      <c r="B9606" s="1"/>
      <c r="H9606" s="5"/>
    </row>
    <row r="9607" spans="2:8" x14ac:dyDescent="0.25">
      <c r="B9607" s="1"/>
      <c r="H9607" s="5"/>
    </row>
    <row r="9608" spans="2:8" x14ac:dyDescent="0.25">
      <c r="B9608" s="1"/>
      <c r="H9608" s="5"/>
    </row>
    <row r="9609" spans="2:8" x14ac:dyDescent="0.25">
      <c r="B9609" s="1"/>
      <c r="H9609" s="5"/>
    </row>
    <row r="9610" spans="2:8" x14ac:dyDescent="0.25">
      <c r="B9610" s="1"/>
      <c r="H9610" s="5"/>
    </row>
    <row r="9611" spans="2:8" x14ac:dyDescent="0.25">
      <c r="B9611" s="1"/>
      <c r="H9611" s="5"/>
    </row>
    <row r="9612" spans="2:8" x14ac:dyDescent="0.25">
      <c r="B9612" s="1"/>
      <c r="H9612" s="5"/>
    </row>
    <row r="9613" spans="2:8" x14ac:dyDescent="0.25">
      <c r="B9613" s="1"/>
      <c r="H9613" s="5"/>
    </row>
    <row r="9614" spans="2:8" x14ac:dyDescent="0.25">
      <c r="B9614" s="1"/>
      <c r="H9614" s="5"/>
    </row>
    <row r="9615" spans="2:8" x14ac:dyDescent="0.25">
      <c r="B9615" s="1"/>
      <c r="H9615" s="5"/>
    </row>
    <row r="9616" spans="2:8" x14ac:dyDescent="0.25">
      <c r="B9616" s="1"/>
      <c r="H9616" s="5"/>
    </row>
    <row r="9617" spans="2:8" x14ac:dyDescent="0.25">
      <c r="B9617" s="1"/>
      <c r="H9617" s="5"/>
    </row>
    <row r="9618" spans="2:8" x14ac:dyDescent="0.25">
      <c r="B9618" s="1"/>
      <c r="H9618" s="5"/>
    </row>
    <row r="9619" spans="2:8" x14ac:dyDescent="0.25">
      <c r="B9619" s="1"/>
      <c r="H9619" s="5"/>
    </row>
    <row r="9620" spans="2:8" x14ac:dyDescent="0.25">
      <c r="B9620" s="1"/>
      <c r="H9620" s="5"/>
    </row>
    <row r="9621" spans="2:8" x14ac:dyDescent="0.25">
      <c r="B9621" s="1"/>
      <c r="H9621" s="5"/>
    </row>
    <row r="9622" spans="2:8" x14ac:dyDescent="0.25">
      <c r="B9622" s="1"/>
      <c r="H9622" s="5"/>
    </row>
    <row r="9623" spans="2:8" x14ac:dyDescent="0.25">
      <c r="B9623" s="1"/>
      <c r="H9623" s="5"/>
    </row>
    <row r="9624" spans="2:8" x14ac:dyDescent="0.25">
      <c r="B9624" s="1"/>
      <c r="H9624" s="5"/>
    </row>
    <row r="9625" spans="2:8" x14ac:dyDescent="0.25">
      <c r="B9625" s="1"/>
      <c r="H9625" s="5"/>
    </row>
    <row r="9626" spans="2:8" x14ac:dyDescent="0.25">
      <c r="B9626" s="1"/>
      <c r="H9626" s="5"/>
    </row>
    <row r="9627" spans="2:8" x14ac:dyDescent="0.25">
      <c r="B9627" s="1"/>
      <c r="H9627" s="5"/>
    </row>
    <row r="9628" spans="2:8" x14ac:dyDescent="0.25">
      <c r="B9628" s="1"/>
      <c r="H9628" s="5"/>
    </row>
    <row r="9629" spans="2:8" x14ac:dyDescent="0.25">
      <c r="B9629" s="1"/>
      <c r="H9629" s="5"/>
    </row>
    <row r="9630" spans="2:8" x14ac:dyDescent="0.25">
      <c r="B9630" s="1"/>
      <c r="H9630" s="5"/>
    </row>
    <row r="9631" spans="2:8" x14ac:dyDescent="0.25">
      <c r="B9631" s="1"/>
      <c r="H9631" s="5"/>
    </row>
    <row r="9632" spans="2:8" x14ac:dyDescent="0.25">
      <c r="B9632" s="1"/>
      <c r="H9632" s="5"/>
    </row>
    <row r="9633" spans="2:8" x14ac:dyDescent="0.25">
      <c r="B9633" s="1"/>
      <c r="H9633" s="5"/>
    </row>
    <row r="9634" spans="2:8" x14ac:dyDescent="0.25">
      <c r="B9634" s="1"/>
      <c r="H9634" s="5"/>
    </row>
    <row r="9635" spans="2:8" x14ac:dyDescent="0.25">
      <c r="B9635" s="1"/>
      <c r="H9635" s="5"/>
    </row>
    <row r="9636" spans="2:8" x14ac:dyDescent="0.25">
      <c r="B9636" s="1"/>
      <c r="H9636" s="5"/>
    </row>
    <row r="9637" spans="2:8" x14ac:dyDescent="0.25">
      <c r="B9637" s="1"/>
      <c r="H9637" s="5"/>
    </row>
    <row r="9638" spans="2:8" x14ac:dyDescent="0.25">
      <c r="B9638" s="1"/>
      <c r="H9638" s="5"/>
    </row>
    <row r="9639" spans="2:8" x14ac:dyDescent="0.25">
      <c r="B9639" s="1"/>
      <c r="H9639" s="5"/>
    </row>
    <row r="9640" spans="2:8" x14ac:dyDescent="0.25">
      <c r="B9640" s="1"/>
      <c r="H9640" s="5"/>
    </row>
    <row r="9641" spans="2:8" x14ac:dyDescent="0.25">
      <c r="B9641" s="1"/>
      <c r="H9641" s="5"/>
    </row>
    <row r="9642" spans="2:8" x14ac:dyDescent="0.25">
      <c r="B9642" s="1"/>
      <c r="H9642" s="5"/>
    </row>
    <row r="9643" spans="2:8" x14ac:dyDescent="0.25">
      <c r="B9643" s="1"/>
      <c r="H9643" s="5"/>
    </row>
    <row r="9644" spans="2:8" x14ac:dyDescent="0.25">
      <c r="B9644" s="1"/>
      <c r="H9644" s="5"/>
    </row>
    <row r="9645" spans="2:8" x14ac:dyDescent="0.25">
      <c r="B9645" s="1"/>
      <c r="H9645" s="5"/>
    </row>
    <row r="9646" spans="2:8" x14ac:dyDescent="0.25">
      <c r="B9646" s="1"/>
      <c r="H9646" s="5"/>
    </row>
    <row r="9647" spans="2:8" x14ac:dyDescent="0.25">
      <c r="B9647" s="1"/>
      <c r="H9647" s="5"/>
    </row>
    <row r="9648" spans="2:8" x14ac:dyDescent="0.25">
      <c r="B9648" s="1"/>
      <c r="H9648" s="5"/>
    </row>
    <row r="9649" spans="2:8" x14ac:dyDescent="0.25">
      <c r="B9649" s="1"/>
      <c r="H9649" s="5"/>
    </row>
    <row r="9650" spans="2:8" x14ac:dyDescent="0.25">
      <c r="B9650" s="1"/>
      <c r="H9650" s="5"/>
    </row>
    <row r="9651" spans="2:8" x14ac:dyDescent="0.25">
      <c r="B9651" s="1"/>
      <c r="H9651" s="5"/>
    </row>
    <row r="9652" spans="2:8" x14ac:dyDescent="0.25">
      <c r="B9652" s="1"/>
      <c r="H9652" s="5"/>
    </row>
    <row r="9653" spans="2:8" x14ac:dyDescent="0.25">
      <c r="B9653" s="1"/>
      <c r="H9653" s="5"/>
    </row>
    <row r="9654" spans="2:8" x14ac:dyDescent="0.25">
      <c r="B9654" s="1"/>
      <c r="H9654" s="5"/>
    </row>
    <row r="9655" spans="2:8" x14ac:dyDescent="0.25">
      <c r="B9655" s="1"/>
      <c r="H9655" s="5"/>
    </row>
    <row r="9656" spans="2:8" x14ac:dyDescent="0.25">
      <c r="B9656" s="1"/>
      <c r="H9656" s="5"/>
    </row>
    <row r="9657" spans="2:8" x14ac:dyDescent="0.25">
      <c r="B9657" s="1"/>
      <c r="H9657" s="5"/>
    </row>
    <row r="9658" spans="2:8" x14ac:dyDescent="0.25">
      <c r="B9658" s="1"/>
      <c r="H9658" s="5"/>
    </row>
    <row r="9659" spans="2:8" x14ac:dyDescent="0.25">
      <c r="B9659" s="1"/>
      <c r="H9659" s="5"/>
    </row>
    <row r="9660" spans="2:8" x14ac:dyDescent="0.25">
      <c r="B9660" s="1"/>
      <c r="H9660" s="5"/>
    </row>
    <row r="9661" spans="2:8" x14ac:dyDescent="0.25">
      <c r="B9661" s="1"/>
      <c r="H9661" s="5"/>
    </row>
    <row r="9662" spans="2:8" x14ac:dyDescent="0.25">
      <c r="B9662" s="1"/>
      <c r="H9662" s="5"/>
    </row>
    <row r="9663" spans="2:8" x14ac:dyDescent="0.25">
      <c r="B9663" s="1"/>
      <c r="H9663" s="5"/>
    </row>
    <row r="9664" spans="2:8" x14ac:dyDescent="0.25">
      <c r="B9664" s="1"/>
      <c r="H9664" s="5"/>
    </row>
    <row r="9665" spans="2:8" x14ac:dyDescent="0.25">
      <c r="B9665" s="1"/>
      <c r="H9665" s="5"/>
    </row>
    <row r="9666" spans="2:8" x14ac:dyDescent="0.25">
      <c r="B9666" s="1"/>
      <c r="H9666" s="5"/>
    </row>
    <row r="9667" spans="2:8" x14ac:dyDescent="0.25">
      <c r="B9667" s="1"/>
      <c r="H9667" s="5"/>
    </row>
    <row r="9668" spans="2:8" x14ac:dyDescent="0.25">
      <c r="B9668" s="1"/>
      <c r="H9668" s="5"/>
    </row>
    <row r="9669" spans="2:8" x14ac:dyDescent="0.25">
      <c r="B9669" s="1"/>
      <c r="H9669" s="5"/>
    </row>
    <row r="9670" spans="2:8" x14ac:dyDescent="0.25">
      <c r="B9670" s="1"/>
      <c r="H9670" s="5"/>
    </row>
    <row r="9671" spans="2:8" x14ac:dyDescent="0.25">
      <c r="B9671" s="1"/>
      <c r="H9671" s="5"/>
    </row>
    <row r="9672" spans="2:8" x14ac:dyDescent="0.25">
      <c r="B9672" s="1"/>
      <c r="H9672" s="5"/>
    </row>
    <row r="9673" spans="2:8" x14ac:dyDescent="0.25">
      <c r="B9673" s="1"/>
      <c r="H9673" s="5"/>
    </row>
    <row r="9674" spans="2:8" x14ac:dyDescent="0.25">
      <c r="B9674" s="1"/>
      <c r="H9674" s="5"/>
    </row>
    <row r="9675" spans="2:8" x14ac:dyDescent="0.25">
      <c r="B9675" s="1"/>
      <c r="H9675" s="5"/>
    </row>
    <row r="9676" spans="2:8" x14ac:dyDescent="0.25">
      <c r="B9676" s="1"/>
      <c r="H9676" s="5"/>
    </row>
    <row r="9677" spans="2:8" x14ac:dyDescent="0.25">
      <c r="B9677" s="1"/>
      <c r="H9677" s="5"/>
    </row>
    <row r="9678" spans="2:8" x14ac:dyDescent="0.25">
      <c r="B9678" s="1"/>
      <c r="H9678" s="5"/>
    </row>
    <row r="9679" spans="2:8" x14ac:dyDescent="0.25">
      <c r="B9679" s="1"/>
      <c r="H9679" s="5"/>
    </row>
    <row r="9680" spans="2:8" x14ac:dyDescent="0.25">
      <c r="B9680" s="1"/>
      <c r="H9680" s="5"/>
    </row>
    <row r="9681" spans="2:8" x14ac:dyDescent="0.25">
      <c r="B9681" s="1"/>
      <c r="H9681" s="5"/>
    </row>
    <row r="9682" spans="2:8" x14ac:dyDescent="0.25">
      <c r="B9682" s="1"/>
      <c r="H9682" s="5"/>
    </row>
    <row r="9683" spans="2:8" x14ac:dyDescent="0.25">
      <c r="B9683" s="1"/>
      <c r="H9683" s="5"/>
    </row>
    <row r="9684" spans="2:8" x14ac:dyDescent="0.25">
      <c r="B9684" s="1"/>
      <c r="H9684" s="5"/>
    </row>
    <row r="9685" spans="2:8" x14ac:dyDescent="0.25">
      <c r="B9685" s="1"/>
      <c r="H9685" s="5"/>
    </row>
    <row r="9686" spans="2:8" x14ac:dyDescent="0.25">
      <c r="B9686" s="1"/>
      <c r="H9686" s="5"/>
    </row>
    <row r="9687" spans="2:8" x14ac:dyDescent="0.25">
      <c r="B9687" s="1"/>
      <c r="H9687" s="5"/>
    </row>
    <row r="9688" spans="2:8" x14ac:dyDescent="0.25">
      <c r="B9688" s="1"/>
      <c r="H9688" s="5"/>
    </row>
    <row r="9689" spans="2:8" x14ac:dyDescent="0.25">
      <c r="B9689" s="1"/>
      <c r="H9689" s="5"/>
    </row>
    <row r="9690" spans="2:8" x14ac:dyDescent="0.25">
      <c r="B9690" s="1"/>
      <c r="H9690" s="5"/>
    </row>
    <row r="9691" spans="2:8" x14ac:dyDescent="0.25">
      <c r="B9691" s="1"/>
      <c r="H9691" s="5"/>
    </row>
    <row r="9692" spans="2:8" x14ac:dyDescent="0.25">
      <c r="B9692" s="1"/>
      <c r="H9692" s="5"/>
    </row>
    <row r="9693" spans="2:8" x14ac:dyDescent="0.25">
      <c r="B9693" s="1"/>
      <c r="H9693" s="5"/>
    </row>
    <row r="9694" spans="2:8" x14ac:dyDescent="0.25">
      <c r="B9694" s="1"/>
      <c r="H9694" s="5"/>
    </row>
    <row r="9695" spans="2:8" x14ac:dyDescent="0.25">
      <c r="B9695" s="1"/>
      <c r="H9695" s="5"/>
    </row>
    <row r="9696" spans="2:8" x14ac:dyDescent="0.25">
      <c r="B9696" s="1"/>
      <c r="H9696" s="5"/>
    </row>
    <row r="9697" spans="2:8" x14ac:dyDescent="0.25">
      <c r="B9697" s="1"/>
      <c r="H9697" s="5"/>
    </row>
    <row r="9698" spans="2:8" x14ac:dyDescent="0.25">
      <c r="B9698" s="1"/>
      <c r="H9698" s="5"/>
    </row>
    <row r="9699" spans="2:8" x14ac:dyDescent="0.25">
      <c r="B9699" s="1"/>
      <c r="H9699" s="5"/>
    </row>
    <row r="9700" spans="2:8" x14ac:dyDescent="0.25">
      <c r="B9700" s="1"/>
      <c r="H9700" s="5"/>
    </row>
    <row r="9701" spans="2:8" x14ac:dyDescent="0.25">
      <c r="B9701" s="1"/>
      <c r="H9701" s="5"/>
    </row>
    <row r="9702" spans="2:8" x14ac:dyDescent="0.25">
      <c r="B9702" s="1"/>
      <c r="H9702" s="5"/>
    </row>
    <row r="9703" spans="2:8" x14ac:dyDescent="0.25">
      <c r="B9703" s="1"/>
      <c r="H9703" s="5"/>
    </row>
    <row r="9704" spans="2:8" x14ac:dyDescent="0.25">
      <c r="B9704" s="1"/>
      <c r="H9704" s="5"/>
    </row>
    <row r="9705" spans="2:8" x14ac:dyDescent="0.25">
      <c r="B9705" s="1"/>
      <c r="H9705" s="5"/>
    </row>
    <row r="9706" spans="2:8" x14ac:dyDescent="0.25">
      <c r="B9706" s="1"/>
      <c r="H9706" s="5"/>
    </row>
    <row r="9707" spans="2:8" x14ac:dyDescent="0.25">
      <c r="B9707" s="1"/>
      <c r="H9707" s="5"/>
    </row>
    <row r="9708" spans="2:8" x14ac:dyDescent="0.25">
      <c r="B9708" s="1"/>
      <c r="H9708" s="5"/>
    </row>
    <row r="9709" spans="2:8" x14ac:dyDescent="0.25">
      <c r="B9709" s="1"/>
      <c r="H9709" s="5"/>
    </row>
    <row r="9710" spans="2:8" x14ac:dyDescent="0.25">
      <c r="B9710" s="1"/>
      <c r="H9710" s="5"/>
    </row>
    <row r="9711" spans="2:8" x14ac:dyDescent="0.25">
      <c r="B9711" s="1"/>
      <c r="H9711" s="5"/>
    </row>
    <row r="9712" spans="2:8" x14ac:dyDescent="0.25">
      <c r="B9712" s="1"/>
      <c r="H9712" s="5"/>
    </row>
    <row r="9713" spans="2:8" x14ac:dyDescent="0.25">
      <c r="B9713" s="1"/>
      <c r="H9713" s="5"/>
    </row>
    <row r="9714" spans="2:8" x14ac:dyDescent="0.25">
      <c r="B9714" s="1"/>
      <c r="H9714" s="5"/>
    </row>
    <row r="9715" spans="2:8" x14ac:dyDescent="0.25">
      <c r="B9715" s="1"/>
      <c r="H9715" s="5"/>
    </row>
    <row r="9716" spans="2:8" x14ac:dyDescent="0.25">
      <c r="B9716" s="1"/>
      <c r="H9716" s="5"/>
    </row>
    <row r="9717" spans="2:8" x14ac:dyDescent="0.25">
      <c r="B9717" s="1"/>
      <c r="H9717" s="5"/>
    </row>
    <row r="9718" spans="2:8" x14ac:dyDescent="0.25">
      <c r="B9718" s="1"/>
      <c r="H9718" s="5"/>
    </row>
    <row r="9719" spans="2:8" x14ac:dyDescent="0.25">
      <c r="B9719" s="1"/>
      <c r="H9719" s="5"/>
    </row>
    <row r="9720" spans="2:8" x14ac:dyDescent="0.25">
      <c r="B9720" s="1"/>
      <c r="H9720" s="5"/>
    </row>
    <row r="9721" spans="2:8" x14ac:dyDescent="0.25">
      <c r="B9721" s="1"/>
      <c r="H9721" s="5"/>
    </row>
    <row r="9722" spans="2:8" x14ac:dyDescent="0.25">
      <c r="B9722" s="1"/>
      <c r="H9722" s="5"/>
    </row>
    <row r="9723" spans="2:8" x14ac:dyDescent="0.25">
      <c r="B9723" s="1"/>
      <c r="H9723" s="5"/>
    </row>
    <row r="9724" spans="2:8" x14ac:dyDescent="0.25">
      <c r="B9724" s="1"/>
      <c r="H9724" s="5"/>
    </row>
    <row r="9725" spans="2:8" x14ac:dyDescent="0.25">
      <c r="B9725" s="1"/>
      <c r="H9725" s="5"/>
    </row>
    <row r="9726" spans="2:8" x14ac:dyDescent="0.25">
      <c r="B9726" s="1"/>
      <c r="H9726" s="5"/>
    </row>
    <row r="9727" spans="2:8" x14ac:dyDescent="0.25">
      <c r="B9727" s="1"/>
      <c r="H9727" s="5"/>
    </row>
    <row r="9728" spans="2:8" x14ac:dyDescent="0.25">
      <c r="B9728" s="1"/>
      <c r="H9728" s="5"/>
    </row>
    <row r="9729" spans="2:8" x14ac:dyDescent="0.25">
      <c r="B9729" s="1"/>
      <c r="H9729" s="5"/>
    </row>
    <row r="9730" spans="2:8" x14ac:dyDescent="0.25">
      <c r="B9730" s="1"/>
      <c r="H9730" s="5"/>
    </row>
    <row r="9731" spans="2:8" x14ac:dyDescent="0.25">
      <c r="B9731" s="1"/>
      <c r="H9731" s="5"/>
    </row>
    <row r="9732" spans="2:8" x14ac:dyDescent="0.25">
      <c r="B9732" s="1"/>
      <c r="H9732" s="5"/>
    </row>
    <row r="9733" spans="2:8" x14ac:dyDescent="0.25">
      <c r="B9733" s="1"/>
      <c r="H9733" s="5"/>
    </row>
    <row r="9734" spans="2:8" x14ac:dyDescent="0.25">
      <c r="B9734" s="1"/>
      <c r="H9734" s="5"/>
    </row>
    <row r="9735" spans="2:8" x14ac:dyDescent="0.25">
      <c r="B9735" s="1"/>
      <c r="H9735" s="5"/>
    </row>
    <row r="9736" spans="2:8" x14ac:dyDescent="0.25">
      <c r="B9736" s="1"/>
      <c r="H9736" s="5"/>
    </row>
    <row r="9737" spans="2:8" x14ac:dyDescent="0.25">
      <c r="B9737" s="1"/>
      <c r="H9737" s="5"/>
    </row>
    <row r="9738" spans="2:8" x14ac:dyDescent="0.25">
      <c r="B9738" s="1"/>
      <c r="H9738" s="5"/>
    </row>
    <row r="9739" spans="2:8" x14ac:dyDescent="0.25">
      <c r="B9739" s="1"/>
      <c r="H9739" s="5"/>
    </row>
    <row r="9740" spans="2:8" x14ac:dyDescent="0.25">
      <c r="B9740" s="1"/>
      <c r="H9740" s="5"/>
    </row>
    <row r="9741" spans="2:8" x14ac:dyDescent="0.25">
      <c r="B9741" s="1"/>
      <c r="H9741" s="5"/>
    </row>
    <row r="9742" spans="2:8" x14ac:dyDescent="0.25">
      <c r="B9742" s="1"/>
      <c r="H9742" s="5"/>
    </row>
    <row r="9743" spans="2:8" x14ac:dyDescent="0.25">
      <c r="B9743" s="1"/>
      <c r="H9743" s="5"/>
    </row>
    <row r="9744" spans="2:8" x14ac:dyDescent="0.25">
      <c r="B9744" s="1"/>
      <c r="H9744" s="5"/>
    </row>
    <row r="9745" spans="2:8" x14ac:dyDescent="0.25">
      <c r="B9745" s="1"/>
      <c r="H9745" s="5"/>
    </row>
    <row r="9746" spans="2:8" x14ac:dyDescent="0.25">
      <c r="B9746" s="1"/>
      <c r="H9746" s="5"/>
    </row>
    <row r="9747" spans="2:8" x14ac:dyDescent="0.25">
      <c r="B9747" s="1"/>
      <c r="H9747" s="5"/>
    </row>
    <row r="9748" spans="2:8" x14ac:dyDescent="0.25">
      <c r="B9748" s="1"/>
      <c r="H9748" s="5"/>
    </row>
    <row r="9749" spans="2:8" x14ac:dyDescent="0.25">
      <c r="B9749" s="1"/>
      <c r="H9749" s="5"/>
    </row>
    <row r="9750" spans="2:8" x14ac:dyDescent="0.25">
      <c r="B9750" s="1"/>
      <c r="H9750" s="5"/>
    </row>
    <row r="9751" spans="2:8" x14ac:dyDescent="0.25">
      <c r="B9751" s="1"/>
      <c r="H9751" s="5"/>
    </row>
    <row r="9752" spans="2:8" x14ac:dyDescent="0.25">
      <c r="B9752" s="1"/>
      <c r="H9752" s="5"/>
    </row>
    <row r="9753" spans="2:8" x14ac:dyDescent="0.25">
      <c r="B9753" s="1"/>
      <c r="H9753" s="5"/>
    </row>
    <row r="9754" spans="2:8" x14ac:dyDescent="0.25">
      <c r="B9754" s="1"/>
      <c r="H9754" s="5"/>
    </row>
    <row r="9755" spans="2:8" x14ac:dyDescent="0.25">
      <c r="B9755" s="1"/>
      <c r="H9755" s="5"/>
    </row>
    <row r="9756" spans="2:8" x14ac:dyDescent="0.25">
      <c r="B9756" s="1"/>
      <c r="H9756" s="5"/>
    </row>
    <row r="9757" spans="2:8" x14ac:dyDescent="0.25">
      <c r="B9757" s="1"/>
      <c r="H9757" s="5"/>
    </row>
    <row r="9758" spans="2:8" x14ac:dyDescent="0.25">
      <c r="B9758" s="1"/>
      <c r="H9758" s="5"/>
    </row>
    <row r="9759" spans="2:8" x14ac:dyDescent="0.25">
      <c r="B9759" s="1"/>
      <c r="H9759" s="5"/>
    </row>
    <row r="9760" spans="2:8" x14ac:dyDescent="0.25">
      <c r="B9760" s="1"/>
      <c r="H9760" s="5"/>
    </row>
    <row r="9761" spans="2:8" x14ac:dyDescent="0.25">
      <c r="B9761" s="1"/>
      <c r="H9761" s="5"/>
    </row>
    <row r="9762" spans="2:8" x14ac:dyDescent="0.25">
      <c r="B9762" s="1"/>
      <c r="H9762" s="5"/>
    </row>
    <row r="9763" spans="2:8" x14ac:dyDescent="0.25">
      <c r="B9763" s="1"/>
      <c r="H9763" s="5"/>
    </row>
    <row r="9764" spans="2:8" x14ac:dyDescent="0.25">
      <c r="B9764" s="1"/>
      <c r="H9764" s="5"/>
    </row>
    <row r="9765" spans="2:8" x14ac:dyDescent="0.25">
      <c r="B9765" s="1"/>
      <c r="H9765" s="5"/>
    </row>
    <row r="9766" spans="2:8" x14ac:dyDescent="0.25">
      <c r="B9766" s="1"/>
      <c r="H9766" s="5"/>
    </row>
    <row r="9767" spans="2:8" x14ac:dyDescent="0.25">
      <c r="B9767" s="1"/>
      <c r="H9767" s="5"/>
    </row>
    <row r="9768" spans="2:8" x14ac:dyDescent="0.25">
      <c r="B9768" s="1"/>
      <c r="H9768" s="5"/>
    </row>
    <row r="9769" spans="2:8" x14ac:dyDescent="0.25">
      <c r="B9769" s="1"/>
      <c r="H9769" s="5"/>
    </row>
    <row r="9770" spans="2:8" x14ac:dyDescent="0.25">
      <c r="B9770" s="1"/>
      <c r="H9770" s="5"/>
    </row>
    <row r="9771" spans="2:8" x14ac:dyDescent="0.25">
      <c r="B9771" s="1"/>
      <c r="H9771" s="5"/>
    </row>
    <row r="9772" spans="2:8" x14ac:dyDescent="0.25">
      <c r="B9772" s="1"/>
      <c r="H9772" s="5"/>
    </row>
    <row r="9773" spans="2:8" x14ac:dyDescent="0.25">
      <c r="B9773" s="1"/>
      <c r="H9773" s="5"/>
    </row>
    <row r="9774" spans="2:8" x14ac:dyDescent="0.25">
      <c r="B9774" s="1"/>
      <c r="H9774" s="5"/>
    </row>
    <row r="9775" spans="2:8" x14ac:dyDescent="0.25">
      <c r="B9775" s="1"/>
      <c r="H9775" s="5"/>
    </row>
    <row r="9776" spans="2:8" x14ac:dyDescent="0.25">
      <c r="B9776" s="1"/>
      <c r="H9776" s="5"/>
    </row>
    <row r="9777" spans="2:8" x14ac:dyDescent="0.25">
      <c r="B9777" s="1"/>
      <c r="H9777" s="5"/>
    </row>
    <row r="9778" spans="2:8" x14ac:dyDescent="0.25">
      <c r="B9778" s="1"/>
      <c r="H9778" s="5"/>
    </row>
    <row r="9779" spans="2:8" x14ac:dyDescent="0.25">
      <c r="B9779" s="1"/>
      <c r="H9779" s="5"/>
    </row>
    <row r="9780" spans="2:8" x14ac:dyDescent="0.25">
      <c r="B9780" s="1"/>
      <c r="H9780" s="5"/>
    </row>
    <row r="9781" spans="2:8" x14ac:dyDescent="0.25">
      <c r="B9781" s="1"/>
      <c r="H9781" s="5"/>
    </row>
    <row r="9782" spans="2:8" x14ac:dyDescent="0.25">
      <c r="B9782" s="1"/>
      <c r="H9782" s="5"/>
    </row>
    <row r="9783" spans="2:8" x14ac:dyDescent="0.25">
      <c r="B9783" s="1"/>
      <c r="H9783" s="5"/>
    </row>
    <row r="9784" spans="2:8" x14ac:dyDescent="0.25">
      <c r="B9784" s="1"/>
      <c r="H9784" s="5"/>
    </row>
    <row r="9785" spans="2:8" x14ac:dyDescent="0.25">
      <c r="B9785" s="1"/>
      <c r="H9785" s="5"/>
    </row>
    <row r="9786" spans="2:8" x14ac:dyDescent="0.25">
      <c r="B9786" s="1"/>
      <c r="H9786" s="5"/>
    </row>
    <row r="9787" spans="2:8" x14ac:dyDescent="0.25">
      <c r="B9787" s="1"/>
      <c r="H9787" s="5"/>
    </row>
    <row r="9788" spans="2:8" x14ac:dyDescent="0.25">
      <c r="B9788" s="1"/>
      <c r="H9788" s="5"/>
    </row>
    <row r="9789" spans="2:8" x14ac:dyDescent="0.25">
      <c r="B9789" s="1"/>
      <c r="H9789" s="5"/>
    </row>
    <row r="9790" spans="2:8" x14ac:dyDescent="0.25">
      <c r="B9790" s="1"/>
      <c r="H9790" s="5"/>
    </row>
    <row r="9791" spans="2:8" x14ac:dyDescent="0.25">
      <c r="B9791" s="1"/>
      <c r="H9791" s="5"/>
    </row>
    <row r="9792" spans="2:8" x14ac:dyDescent="0.25">
      <c r="B9792" s="1"/>
      <c r="H9792" s="5"/>
    </row>
    <row r="9793" spans="2:8" x14ac:dyDescent="0.25">
      <c r="B9793" s="1"/>
      <c r="H9793" s="5"/>
    </row>
    <row r="9794" spans="2:8" x14ac:dyDescent="0.25">
      <c r="B9794" s="1"/>
      <c r="H9794" s="5"/>
    </row>
    <row r="9795" spans="2:8" x14ac:dyDescent="0.25">
      <c r="B9795" s="1"/>
      <c r="H9795" s="5"/>
    </row>
    <row r="9796" spans="2:8" x14ac:dyDescent="0.25">
      <c r="B9796" s="1"/>
      <c r="H9796" s="5"/>
    </row>
    <row r="9797" spans="2:8" x14ac:dyDescent="0.25">
      <c r="B9797" s="1"/>
      <c r="H9797" s="5"/>
    </row>
    <row r="9798" spans="2:8" x14ac:dyDescent="0.25">
      <c r="B9798" s="1"/>
      <c r="H9798" s="5"/>
    </row>
    <row r="9799" spans="2:8" x14ac:dyDescent="0.25">
      <c r="B9799" s="1"/>
      <c r="H9799" s="5"/>
    </row>
    <row r="9800" spans="2:8" x14ac:dyDescent="0.25">
      <c r="B9800" s="1"/>
      <c r="H9800" s="5"/>
    </row>
    <row r="9801" spans="2:8" x14ac:dyDescent="0.25">
      <c r="B9801" s="1"/>
      <c r="H9801" s="5"/>
    </row>
    <row r="9802" spans="2:8" x14ac:dyDescent="0.25">
      <c r="B9802" s="1"/>
      <c r="H9802" s="5"/>
    </row>
    <row r="9803" spans="2:8" x14ac:dyDescent="0.25">
      <c r="B9803" s="1"/>
      <c r="H9803" s="5"/>
    </row>
    <row r="9804" spans="2:8" x14ac:dyDescent="0.25">
      <c r="B9804" s="1"/>
      <c r="H9804" s="5"/>
    </row>
    <row r="9805" spans="2:8" x14ac:dyDescent="0.25">
      <c r="B9805" s="1"/>
      <c r="H9805" s="5"/>
    </row>
    <row r="9806" spans="2:8" x14ac:dyDescent="0.25">
      <c r="B9806" s="1"/>
      <c r="H9806" s="5"/>
    </row>
    <row r="9807" spans="2:8" x14ac:dyDescent="0.25">
      <c r="B9807" s="1"/>
      <c r="H9807" s="5"/>
    </row>
    <row r="9808" spans="2:8" x14ac:dyDescent="0.25">
      <c r="B9808" s="1"/>
      <c r="H9808" s="5"/>
    </row>
    <row r="9809" spans="2:8" x14ac:dyDescent="0.25">
      <c r="B9809" s="1"/>
      <c r="H9809" s="5"/>
    </row>
    <row r="9810" spans="2:8" x14ac:dyDescent="0.25">
      <c r="B9810" s="1"/>
      <c r="H9810" s="5"/>
    </row>
    <row r="9811" spans="2:8" x14ac:dyDescent="0.25">
      <c r="B9811" s="1"/>
      <c r="H9811" s="5"/>
    </row>
    <row r="9812" spans="2:8" x14ac:dyDescent="0.25">
      <c r="B9812" s="1"/>
      <c r="H9812" s="5"/>
    </row>
    <row r="9813" spans="2:8" x14ac:dyDescent="0.25">
      <c r="B9813" s="1"/>
      <c r="H9813" s="5"/>
    </row>
    <row r="9814" spans="2:8" x14ac:dyDescent="0.25">
      <c r="B9814" s="1"/>
      <c r="H9814" s="5"/>
    </row>
    <row r="9815" spans="2:8" x14ac:dyDescent="0.25">
      <c r="B9815" s="1"/>
      <c r="H9815" s="5"/>
    </row>
    <row r="9816" spans="2:8" x14ac:dyDescent="0.25">
      <c r="B9816" s="1"/>
      <c r="H9816" s="5"/>
    </row>
    <row r="9817" spans="2:8" x14ac:dyDescent="0.25">
      <c r="B9817" s="1"/>
      <c r="H9817" s="5"/>
    </row>
    <row r="9818" spans="2:8" x14ac:dyDescent="0.25">
      <c r="B9818" s="1"/>
      <c r="H9818" s="5"/>
    </row>
    <row r="9819" spans="2:8" x14ac:dyDescent="0.25">
      <c r="B9819" s="1"/>
      <c r="H9819" s="5"/>
    </row>
    <row r="9820" spans="2:8" x14ac:dyDescent="0.25">
      <c r="B9820" s="1"/>
      <c r="H9820" s="5"/>
    </row>
    <row r="9821" spans="2:8" x14ac:dyDescent="0.25">
      <c r="B9821" s="1"/>
      <c r="H9821" s="5"/>
    </row>
    <row r="9822" spans="2:8" x14ac:dyDescent="0.25">
      <c r="B9822" s="1"/>
      <c r="H9822" s="5"/>
    </row>
    <row r="9823" spans="2:8" x14ac:dyDescent="0.25">
      <c r="B9823" s="1"/>
      <c r="H9823" s="5"/>
    </row>
    <row r="9824" spans="2:8" x14ac:dyDescent="0.25">
      <c r="B9824" s="1"/>
      <c r="H9824" s="5"/>
    </row>
    <row r="9825" spans="2:8" x14ac:dyDescent="0.25">
      <c r="B9825" s="1"/>
      <c r="H9825" s="5"/>
    </row>
    <row r="9826" spans="2:8" x14ac:dyDescent="0.25">
      <c r="B9826" s="1"/>
      <c r="H9826" s="5"/>
    </row>
    <row r="9827" spans="2:8" x14ac:dyDescent="0.25">
      <c r="B9827" s="1"/>
      <c r="H9827" s="5"/>
    </row>
    <row r="9828" spans="2:8" x14ac:dyDescent="0.25">
      <c r="B9828" s="1"/>
      <c r="H9828" s="5"/>
    </row>
    <row r="9829" spans="2:8" x14ac:dyDescent="0.25">
      <c r="B9829" s="1"/>
      <c r="H9829" s="5"/>
    </row>
    <row r="9830" spans="2:8" x14ac:dyDescent="0.25">
      <c r="B9830" s="1"/>
      <c r="H9830" s="5"/>
    </row>
    <row r="9831" spans="2:8" x14ac:dyDescent="0.25">
      <c r="B9831" s="1"/>
      <c r="H9831" s="5"/>
    </row>
    <row r="9832" spans="2:8" x14ac:dyDescent="0.25">
      <c r="B9832" s="1"/>
      <c r="H9832" s="5"/>
    </row>
    <row r="9833" spans="2:8" x14ac:dyDescent="0.25">
      <c r="B9833" s="1"/>
      <c r="H9833" s="5"/>
    </row>
    <row r="9834" spans="2:8" x14ac:dyDescent="0.25">
      <c r="B9834" s="1"/>
      <c r="H9834" s="5"/>
    </row>
    <row r="9835" spans="2:8" x14ac:dyDescent="0.25">
      <c r="B9835" s="1"/>
      <c r="H9835" s="5"/>
    </row>
    <row r="9836" spans="2:8" x14ac:dyDescent="0.25">
      <c r="B9836" s="1"/>
      <c r="H9836" s="5"/>
    </row>
    <row r="9837" spans="2:8" x14ac:dyDescent="0.25">
      <c r="B9837" s="1"/>
      <c r="H9837" s="5"/>
    </row>
    <row r="9838" spans="2:8" x14ac:dyDescent="0.25">
      <c r="B9838" s="1"/>
      <c r="H9838" s="5"/>
    </row>
    <row r="9839" spans="2:8" x14ac:dyDescent="0.25">
      <c r="B9839" s="1"/>
      <c r="H9839" s="5"/>
    </row>
    <row r="9840" spans="2:8" x14ac:dyDescent="0.25">
      <c r="B9840" s="1"/>
      <c r="H9840" s="5"/>
    </row>
    <row r="9841" spans="2:8" x14ac:dyDescent="0.25">
      <c r="B9841" s="1"/>
      <c r="H9841" s="5"/>
    </row>
    <row r="9842" spans="2:8" x14ac:dyDescent="0.25">
      <c r="B9842" s="1"/>
      <c r="H9842" s="5"/>
    </row>
    <row r="9843" spans="2:8" x14ac:dyDescent="0.25">
      <c r="B9843" s="1"/>
      <c r="H9843" s="5"/>
    </row>
    <row r="9844" spans="2:8" x14ac:dyDescent="0.25">
      <c r="B9844" s="1"/>
      <c r="H9844" s="5"/>
    </row>
    <row r="9845" spans="2:8" x14ac:dyDescent="0.25">
      <c r="B9845" s="1"/>
      <c r="H9845" s="5"/>
    </row>
    <row r="9846" spans="2:8" x14ac:dyDescent="0.25">
      <c r="B9846" s="1"/>
      <c r="H9846" s="5"/>
    </row>
    <row r="9847" spans="2:8" x14ac:dyDescent="0.25">
      <c r="B9847" s="1"/>
      <c r="H9847" s="5"/>
    </row>
    <row r="9848" spans="2:8" x14ac:dyDescent="0.25">
      <c r="B9848" s="1"/>
      <c r="H9848" s="5"/>
    </row>
    <row r="9849" spans="2:8" x14ac:dyDescent="0.25">
      <c r="B9849" s="1"/>
      <c r="H9849" s="5"/>
    </row>
    <row r="9850" spans="2:8" x14ac:dyDescent="0.25">
      <c r="B9850" s="1"/>
      <c r="H9850" s="5"/>
    </row>
    <row r="9851" spans="2:8" x14ac:dyDescent="0.25">
      <c r="B9851" s="1"/>
      <c r="H9851" s="5"/>
    </row>
    <row r="9852" spans="2:8" x14ac:dyDescent="0.25">
      <c r="B9852" s="1"/>
      <c r="H9852" s="5"/>
    </row>
    <row r="9853" spans="2:8" x14ac:dyDescent="0.25">
      <c r="B9853" s="1"/>
      <c r="H9853" s="5"/>
    </row>
    <row r="9854" spans="2:8" x14ac:dyDescent="0.25">
      <c r="B9854" s="1"/>
      <c r="H9854" s="5"/>
    </row>
    <row r="9855" spans="2:8" x14ac:dyDescent="0.25">
      <c r="B9855" s="1"/>
      <c r="H9855" s="5"/>
    </row>
    <row r="9856" spans="2:8" x14ac:dyDescent="0.25">
      <c r="B9856" s="1"/>
      <c r="H9856" s="5"/>
    </row>
    <row r="9857" spans="2:8" x14ac:dyDescent="0.25">
      <c r="B9857" s="1"/>
      <c r="H9857" s="5"/>
    </row>
    <row r="9858" spans="2:8" x14ac:dyDescent="0.25">
      <c r="B9858" s="1"/>
      <c r="H9858" s="5"/>
    </row>
    <row r="9859" spans="2:8" x14ac:dyDescent="0.25">
      <c r="B9859" s="1"/>
      <c r="H9859" s="5"/>
    </row>
    <row r="9860" spans="2:8" x14ac:dyDescent="0.25">
      <c r="B9860" s="1"/>
      <c r="H9860" s="5"/>
    </row>
    <row r="9861" spans="2:8" x14ac:dyDescent="0.25">
      <c r="B9861" s="1"/>
      <c r="H9861" s="5"/>
    </row>
    <row r="9862" spans="2:8" x14ac:dyDescent="0.25">
      <c r="B9862" s="1"/>
      <c r="H9862" s="5"/>
    </row>
    <row r="9863" spans="2:8" x14ac:dyDescent="0.25">
      <c r="B9863" s="1"/>
      <c r="H9863" s="5"/>
    </row>
    <row r="9864" spans="2:8" x14ac:dyDescent="0.25">
      <c r="B9864" s="1"/>
      <c r="H9864" s="5"/>
    </row>
    <row r="9865" spans="2:8" x14ac:dyDescent="0.25">
      <c r="B9865" s="1"/>
      <c r="H9865" s="5"/>
    </row>
    <row r="9866" spans="2:8" x14ac:dyDescent="0.25">
      <c r="B9866" s="1"/>
      <c r="H9866" s="5"/>
    </row>
    <row r="9867" spans="2:8" x14ac:dyDescent="0.25">
      <c r="B9867" s="1"/>
      <c r="H9867" s="5"/>
    </row>
    <row r="9868" spans="2:8" x14ac:dyDescent="0.25">
      <c r="B9868" s="1"/>
      <c r="H9868" s="5"/>
    </row>
    <row r="9869" spans="2:8" x14ac:dyDescent="0.25">
      <c r="B9869" s="1"/>
      <c r="H9869" s="5"/>
    </row>
    <row r="9870" spans="2:8" x14ac:dyDescent="0.25">
      <c r="B9870" s="1"/>
      <c r="H9870" s="5"/>
    </row>
    <row r="9871" spans="2:8" x14ac:dyDescent="0.25">
      <c r="B9871" s="1"/>
      <c r="H9871" s="5"/>
    </row>
    <row r="9872" spans="2:8" x14ac:dyDescent="0.25">
      <c r="B9872" s="1"/>
      <c r="H9872" s="5"/>
    </row>
    <row r="9873" spans="2:8" x14ac:dyDescent="0.25">
      <c r="B9873" s="1"/>
      <c r="H9873" s="5"/>
    </row>
    <row r="9874" spans="2:8" x14ac:dyDescent="0.25">
      <c r="B9874" s="1"/>
      <c r="H9874" s="5"/>
    </row>
    <row r="9875" spans="2:8" x14ac:dyDescent="0.25">
      <c r="B9875" s="1"/>
      <c r="H9875" s="5"/>
    </row>
    <row r="9876" spans="2:8" x14ac:dyDescent="0.25">
      <c r="B9876" s="1"/>
      <c r="H9876" s="5"/>
    </row>
    <row r="9877" spans="2:8" x14ac:dyDescent="0.25">
      <c r="B9877" s="1"/>
      <c r="H9877" s="5"/>
    </row>
    <row r="9878" spans="2:8" x14ac:dyDescent="0.25">
      <c r="B9878" s="1"/>
      <c r="H9878" s="5"/>
    </row>
    <row r="9879" spans="2:8" x14ac:dyDescent="0.25">
      <c r="B9879" s="1"/>
      <c r="H9879" s="5"/>
    </row>
    <row r="9880" spans="2:8" x14ac:dyDescent="0.25">
      <c r="B9880" s="1"/>
      <c r="H9880" s="5"/>
    </row>
    <row r="9881" spans="2:8" x14ac:dyDescent="0.25">
      <c r="B9881" s="1"/>
      <c r="H9881" s="5"/>
    </row>
    <row r="9882" spans="2:8" x14ac:dyDescent="0.25">
      <c r="B9882" s="1"/>
      <c r="H9882" s="5"/>
    </row>
    <row r="9883" spans="2:8" x14ac:dyDescent="0.25">
      <c r="B9883" s="1"/>
      <c r="H9883" s="5"/>
    </row>
    <row r="9884" spans="2:8" x14ac:dyDescent="0.25">
      <c r="B9884" s="1"/>
      <c r="H9884" s="5"/>
    </row>
    <row r="9885" spans="2:8" x14ac:dyDescent="0.25">
      <c r="B9885" s="1"/>
      <c r="H9885" s="5"/>
    </row>
    <row r="9886" spans="2:8" x14ac:dyDescent="0.25">
      <c r="B9886" s="1"/>
      <c r="H9886" s="5"/>
    </row>
    <row r="9887" spans="2:8" x14ac:dyDescent="0.25">
      <c r="B9887" s="1"/>
      <c r="H9887" s="5"/>
    </row>
    <row r="9888" spans="2:8" x14ac:dyDescent="0.25">
      <c r="B9888" s="1"/>
      <c r="H9888" s="5"/>
    </row>
    <row r="9889" spans="2:8" x14ac:dyDescent="0.25">
      <c r="B9889" s="1"/>
      <c r="H9889" s="5"/>
    </row>
    <row r="9890" spans="2:8" x14ac:dyDescent="0.25">
      <c r="B9890" s="1"/>
      <c r="H9890" s="5"/>
    </row>
    <row r="9891" spans="2:8" x14ac:dyDescent="0.25">
      <c r="B9891" s="1"/>
      <c r="H9891" s="5"/>
    </row>
    <row r="9892" spans="2:8" x14ac:dyDescent="0.25">
      <c r="B9892" s="1"/>
      <c r="H9892" s="5"/>
    </row>
    <row r="9893" spans="2:8" x14ac:dyDescent="0.25">
      <c r="B9893" s="1"/>
      <c r="H9893" s="5"/>
    </row>
    <row r="9894" spans="2:8" x14ac:dyDescent="0.25">
      <c r="B9894" s="1"/>
      <c r="H9894" s="5"/>
    </row>
    <row r="9895" spans="2:8" x14ac:dyDescent="0.25">
      <c r="B9895" s="1"/>
      <c r="H9895" s="5"/>
    </row>
    <row r="9896" spans="2:8" x14ac:dyDescent="0.25">
      <c r="B9896" s="1"/>
      <c r="H9896" s="5"/>
    </row>
    <row r="9897" spans="2:8" x14ac:dyDescent="0.25">
      <c r="B9897" s="1"/>
      <c r="H9897" s="5"/>
    </row>
    <row r="9898" spans="2:8" x14ac:dyDescent="0.25">
      <c r="B9898" s="1"/>
      <c r="H9898" s="5"/>
    </row>
    <row r="9899" spans="2:8" x14ac:dyDescent="0.25">
      <c r="B9899" s="1"/>
      <c r="H9899" s="5"/>
    </row>
    <row r="9900" spans="2:8" x14ac:dyDescent="0.25">
      <c r="B9900" s="1"/>
      <c r="H9900" s="5"/>
    </row>
    <row r="9901" spans="2:8" x14ac:dyDescent="0.25">
      <c r="B9901" s="1"/>
      <c r="H9901" s="5"/>
    </row>
    <row r="9902" spans="2:8" x14ac:dyDescent="0.25">
      <c r="B9902" s="1"/>
      <c r="H9902" s="5"/>
    </row>
    <row r="9903" spans="2:8" x14ac:dyDescent="0.25">
      <c r="B9903" s="1"/>
      <c r="H9903" s="5"/>
    </row>
    <row r="9904" spans="2:8" x14ac:dyDescent="0.25">
      <c r="B9904" s="1"/>
      <c r="H9904" s="5"/>
    </row>
    <row r="9905" spans="2:8" x14ac:dyDescent="0.25">
      <c r="B9905" s="1"/>
      <c r="H9905" s="5"/>
    </row>
    <row r="9906" spans="2:8" x14ac:dyDescent="0.25">
      <c r="B9906" s="1"/>
      <c r="H9906" s="5"/>
    </row>
    <row r="9907" spans="2:8" x14ac:dyDescent="0.25">
      <c r="B9907" s="1"/>
      <c r="H9907" s="5"/>
    </row>
    <row r="9908" spans="2:8" x14ac:dyDescent="0.25">
      <c r="B9908" s="1"/>
      <c r="H9908" s="5"/>
    </row>
    <row r="9909" spans="2:8" x14ac:dyDescent="0.25">
      <c r="B9909" s="1"/>
      <c r="H9909" s="5"/>
    </row>
    <row r="9910" spans="2:8" x14ac:dyDescent="0.25">
      <c r="B9910" s="1"/>
      <c r="H9910" s="5"/>
    </row>
    <row r="9911" spans="2:8" x14ac:dyDescent="0.25">
      <c r="B9911" s="1"/>
      <c r="H9911" s="5"/>
    </row>
    <row r="9912" spans="2:8" x14ac:dyDescent="0.25">
      <c r="B9912" s="1"/>
      <c r="H9912" s="5"/>
    </row>
    <row r="9913" spans="2:8" x14ac:dyDescent="0.25">
      <c r="B9913" s="1"/>
      <c r="H9913" s="5"/>
    </row>
    <row r="9914" spans="2:8" x14ac:dyDescent="0.25">
      <c r="B9914" s="1"/>
      <c r="H9914" s="5"/>
    </row>
    <row r="9915" spans="2:8" x14ac:dyDescent="0.25">
      <c r="B9915" s="1"/>
      <c r="H9915" s="5"/>
    </row>
    <row r="9916" spans="2:8" x14ac:dyDescent="0.25">
      <c r="B9916" s="1"/>
      <c r="H9916" s="5"/>
    </row>
    <row r="9917" spans="2:8" x14ac:dyDescent="0.25">
      <c r="B9917" s="1"/>
      <c r="H9917" s="5"/>
    </row>
    <row r="9918" spans="2:8" x14ac:dyDescent="0.25">
      <c r="B9918" s="1"/>
      <c r="H9918" s="5"/>
    </row>
    <row r="9919" spans="2:8" x14ac:dyDescent="0.25">
      <c r="B9919" s="1"/>
      <c r="H9919" s="5"/>
    </row>
    <row r="9920" spans="2:8" x14ac:dyDescent="0.25">
      <c r="B9920" s="1"/>
      <c r="H9920" s="5"/>
    </row>
    <row r="9921" spans="2:8" x14ac:dyDescent="0.25">
      <c r="B9921" s="1"/>
      <c r="H9921" s="5"/>
    </row>
    <row r="9922" spans="2:8" x14ac:dyDescent="0.25">
      <c r="B9922" s="1"/>
      <c r="H9922" s="5"/>
    </row>
    <row r="9923" spans="2:8" x14ac:dyDescent="0.25">
      <c r="B9923" s="1"/>
      <c r="H9923" s="5"/>
    </row>
    <row r="9924" spans="2:8" x14ac:dyDescent="0.25">
      <c r="B9924" s="1"/>
      <c r="H9924" s="5"/>
    </row>
    <row r="9925" spans="2:8" x14ac:dyDescent="0.25">
      <c r="B9925" s="1"/>
      <c r="H9925" s="5"/>
    </row>
    <row r="9926" spans="2:8" x14ac:dyDescent="0.25">
      <c r="B9926" s="1"/>
      <c r="H9926" s="5"/>
    </row>
    <row r="9927" spans="2:8" x14ac:dyDescent="0.25">
      <c r="B9927" s="1"/>
      <c r="H9927" s="5"/>
    </row>
    <row r="9928" spans="2:8" x14ac:dyDescent="0.25">
      <c r="B9928" s="1"/>
      <c r="H9928" s="5"/>
    </row>
    <row r="9929" spans="2:8" x14ac:dyDescent="0.25">
      <c r="B9929" s="1"/>
      <c r="H9929" s="5"/>
    </row>
    <row r="9930" spans="2:8" x14ac:dyDescent="0.25">
      <c r="B9930" s="1"/>
      <c r="H9930" s="5"/>
    </row>
    <row r="9931" spans="2:8" x14ac:dyDescent="0.25">
      <c r="B9931" s="1"/>
      <c r="H9931" s="5"/>
    </row>
    <row r="9932" spans="2:8" x14ac:dyDescent="0.25">
      <c r="B9932" s="1"/>
      <c r="H9932" s="5"/>
    </row>
    <row r="9933" spans="2:8" x14ac:dyDescent="0.25">
      <c r="B9933" s="1"/>
      <c r="H9933" s="5"/>
    </row>
    <row r="9934" spans="2:8" x14ac:dyDescent="0.25">
      <c r="B9934" s="1"/>
      <c r="H9934" s="5"/>
    </row>
    <row r="9935" spans="2:8" x14ac:dyDescent="0.25">
      <c r="B9935" s="1"/>
      <c r="H9935" s="5"/>
    </row>
    <row r="9936" spans="2:8" x14ac:dyDescent="0.25">
      <c r="B9936" s="1"/>
      <c r="H9936" s="5"/>
    </row>
    <row r="9937" spans="2:8" x14ac:dyDescent="0.25">
      <c r="B9937" s="1"/>
      <c r="H9937" s="5"/>
    </row>
    <row r="9938" spans="2:8" x14ac:dyDescent="0.25">
      <c r="B9938" s="1"/>
      <c r="H9938" s="5"/>
    </row>
    <row r="9939" spans="2:8" x14ac:dyDescent="0.25">
      <c r="B9939" s="1"/>
      <c r="H9939" s="5"/>
    </row>
    <row r="9940" spans="2:8" x14ac:dyDescent="0.25">
      <c r="B9940" s="1"/>
      <c r="H9940" s="5"/>
    </row>
    <row r="9941" spans="2:8" x14ac:dyDescent="0.25">
      <c r="B9941" s="1"/>
      <c r="H9941" s="5"/>
    </row>
    <row r="9942" spans="2:8" x14ac:dyDescent="0.25">
      <c r="B9942" s="1"/>
      <c r="H9942" s="5"/>
    </row>
    <row r="9943" spans="2:8" x14ac:dyDescent="0.25">
      <c r="B9943" s="1"/>
      <c r="H9943" s="5"/>
    </row>
    <row r="9944" spans="2:8" x14ac:dyDescent="0.25">
      <c r="B9944" s="1"/>
      <c r="H9944" s="5"/>
    </row>
    <row r="9945" spans="2:8" x14ac:dyDescent="0.25">
      <c r="B9945" s="1"/>
      <c r="H9945" s="5"/>
    </row>
    <row r="9946" spans="2:8" x14ac:dyDescent="0.25">
      <c r="B9946" s="1"/>
      <c r="H9946" s="5"/>
    </row>
    <row r="9947" spans="2:8" x14ac:dyDescent="0.25">
      <c r="B9947" s="1"/>
      <c r="H9947" s="5"/>
    </row>
    <row r="9948" spans="2:8" x14ac:dyDescent="0.25">
      <c r="B9948" s="1"/>
      <c r="H9948" s="5"/>
    </row>
    <row r="9949" spans="2:8" x14ac:dyDescent="0.25">
      <c r="B9949" s="1"/>
      <c r="H9949" s="5"/>
    </row>
    <row r="9950" spans="2:8" x14ac:dyDescent="0.25">
      <c r="B9950" s="1"/>
      <c r="H9950" s="5"/>
    </row>
    <row r="9951" spans="2:8" x14ac:dyDescent="0.25">
      <c r="B9951" s="1"/>
      <c r="H9951" s="5"/>
    </row>
    <row r="9952" spans="2:8" x14ac:dyDescent="0.25">
      <c r="B9952" s="1"/>
      <c r="H9952" s="5"/>
    </row>
    <row r="9953" spans="2:8" x14ac:dyDescent="0.25">
      <c r="B9953" s="1"/>
      <c r="H9953" s="5"/>
    </row>
    <row r="9954" spans="2:8" x14ac:dyDescent="0.25">
      <c r="B9954" s="1"/>
      <c r="H9954" s="5"/>
    </row>
    <row r="9955" spans="2:8" x14ac:dyDescent="0.25">
      <c r="B9955" s="1"/>
      <c r="H9955" s="5"/>
    </row>
    <row r="9956" spans="2:8" x14ac:dyDescent="0.25">
      <c r="B9956" s="1"/>
      <c r="H9956" s="5"/>
    </row>
    <row r="9957" spans="2:8" x14ac:dyDescent="0.25">
      <c r="B9957" s="1"/>
      <c r="H9957" s="5"/>
    </row>
    <row r="9958" spans="2:8" x14ac:dyDescent="0.25">
      <c r="B9958" s="1"/>
      <c r="H9958" s="5"/>
    </row>
    <row r="9959" spans="2:8" x14ac:dyDescent="0.25">
      <c r="B9959" s="1"/>
      <c r="H9959" s="5"/>
    </row>
    <row r="9960" spans="2:8" x14ac:dyDescent="0.25">
      <c r="B9960" s="1"/>
      <c r="H9960" s="5"/>
    </row>
    <row r="9961" spans="2:8" x14ac:dyDescent="0.25">
      <c r="B9961" s="1"/>
      <c r="H9961" s="5"/>
    </row>
    <row r="9962" spans="2:8" x14ac:dyDescent="0.25">
      <c r="B9962" s="1"/>
      <c r="H9962" s="5"/>
    </row>
    <row r="9963" spans="2:8" x14ac:dyDescent="0.25">
      <c r="B9963" s="1"/>
      <c r="H9963" s="5"/>
    </row>
    <row r="9964" spans="2:8" x14ac:dyDescent="0.25">
      <c r="B9964" s="1"/>
      <c r="H9964" s="5"/>
    </row>
    <row r="9965" spans="2:8" x14ac:dyDescent="0.25">
      <c r="B9965" s="1"/>
      <c r="H9965" s="5"/>
    </row>
    <row r="9966" spans="2:8" x14ac:dyDescent="0.25">
      <c r="B9966" s="1"/>
      <c r="H9966" s="5"/>
    </row>
    <row r="9967" spans="2:8" x14ac:dyDescent="0.25">
      <c r="B9967" s="1"/>
      <c r="H9967" s="5"/>
    </row>
    <row r="9968" spans="2:8" x14ac:dyDescent="0.25">
      <c r="B9968" s="1"/>
      <c r="H9968" s="5"/>
    </row>
    <row r="9969" spans="2:8" x14ac:dyDescent="0.25">
      <c r="B9969" s="1"/>
      <c r="H9969" s="5"/>
    </row>
    <row r="9970" spans="2:8" x14ac:dyDescent="0.25">
      <c r="B9970" s="1"/>
      <c r="H9970" s="5"/>
    </row>
    <row r="9971" spans="2:8" x14ac:dyDescent="0.25">
      <c r="B9971" s="1"/>
      <c r="H9971" s="5"/>
    </row>
    <row r="9972" spans="2:8" x14ac:dyDescent="0.25">
      <c r="B9972" s="1"/>
      <c r="H9972" s="5"/>
    </row>
    <row r="9973" spans="2:8" x14ac:dyDescent="0.25">
      <c r="B9973" s="1"/>
      <c r="H9973" s="5"/>
    </row>
    <row r="9974" spans="2:8" x14ac:dyDescent="0.25">
      <c r="B9974" s="1"/>
      <c r="H9974" s="5"/>
    </row>
    <row r="9975" spans="2:8" x14ac:dyDescent="0.25">
      <c r="B9975" s="1"/>
      <c r="H9975" s="5"/>
    </row>
    <row r="9976" spans="2:8" x14ac:dyDescent="0.25">
      <c r="B9976" s="1"/>
      <c r="H9976" s="5"/>
    </row>
    <row r="9977" spans="2:8" x14ac:dyDescent="0.25">
      <c r="B9977" s="1"/>
      <c r="H9977" s="5"/>
    </row>
    <row r="9978" spans="2:8" x14ac:dyDescent="0.25">
      <c r="B9978" s="1"/>
      <c r="H9978" s="5"/>
    </row>
    <row r="9979" spans="2:8" x14ac:dyDescent="0.25">
      <c r="B9979" s="1"/>
      <c r="H9979" s="5"/>
    </row>
    <row r="9980" spans="2:8" x14ac:dyDescent="0.25">
      <c r="B9980" s="1"/>
      <c r="H9980" s="5"/>
    </row>
    <row r="9981" spans="2:8" x14ac:dyDescent="0.25">
      <c r="B9981" s="1"/>
      <c r="H9981" s="5"/>
    </row>
    <row r="9982" spans="2:8" x14ac:dyDescent="0.25">
      <c r="B9982" s="1"/>
      <c r="H9982" s="5"/>
    </row>
    <row r="9983" spans="2:8" x14ac:dyDescent="0.25">
      <c r="B9983" s="1"/>
      <c r="H9983" s="5"/>
    </row>
    <row r="9984" spans="2:8" x14ac:dyDescent="0.25">
      <c r="B9984" s="1"/>
      <c r="H9984" s="5"/>
    </row>
    <row r="9985" spans="2:8" x14ac:dyDescent="0.25">
      <c r="B9985" s="1"/>
      <c r="H9985" s="5"/>
    </row>
    <row r="9986" spans="2:8" x14ac:dyDescent="0.25">
      <c r="B9986" s="1"/>
      <c r="H9986" s="5"/>
    </row>
    <row r="9987" spans="2:8" x14ac:dyDescent="0.25">
      <c r="B9987" s="1"/>
      <c r="H9987" s="5"/>
    </row>
    <row r="9988" spans="2:8" x14ac:dyDescent="0.25">
      <c r="B9988" s="1"/>
      <c r="H9988" s="5"/>
    </row>
    <row r="9989" spans="2:8" x14ac:dyDescent="0.25">
      <c r="B9989" s="1"/>
      <c r="H9989" s="5"/>
    </row>
    <row r="9990" spans="2:8" x14ac:dyDescent="0.25">
      <c r="B9990" s="1"/>
      <c r="H9990" s="5"/>
    </row>
    <row r="9991" spans="2:8" x14ac:dyDescent="0.25">
      <c r="B9991" s="1"/>
      <c r="H9991" s="5"/>
    </row>
    <row r="9992" spans="2:8" x14ac:dyDescent="0.25">
      <c r="B9992" s="1"/>
      <c r="H9992" s="5"/>
    </row>
    <row r="9993" spans="2:8" x14ac:dyDescent="0.25">
      <c r="B9993" s="1"/>
      <c r="H9993" s="5"/>
    </row>
    <row r="9994" spans="2:8" x14ac:dyDescent="0.25">
      <c r="B9994" s="1"/>
      <c r="H9994" s="5"/>
    </row>
    <row r="9995" spans="2:8" x14ac:dyDescent="0.25">
      <c r="B9995" s="1"/>
      <c r="H9995" s="5"/>
    </row>
    <row r="9996" spans="2:8" x14ac:dyDescent="0.25">
      <c r="B9996" s="1"/>
      <c r="H9996" s="5"/>
    </row>
    <row r="9997" spans="2:8" x14ac:dyDescent="0.25">
      <c r="B9997" s="1"/>
      <c r="H9997" s="5"/>
    </row>
    <row r="9998" spans="2:8" x14ac:dyDescent="0.25">
      <c r="B9998" s="1"/>
      <c r="H9998" s="5"/>
    </row>
    <row r="9999" spans="2:8" x14ac:dyDescent="0.25">
      <c r="B9999" s="1"/>
      <c r="H9999" s="5"/>
    </row>
    <row r="10000" spans="2:8" x14ac:dyDescent="0.25">
      <c r="B10000" s="1"/>
      <c r="H10000" s="5"/>
    </row>
    <row r="10001" spans="2:8" x14ac:dyDescent="0.25">
      <c r="B10001" s="1"/>
      <c r="H10001" s="5"/>
    </row>
    <row r="10002" spans="2:8" x14ac:dyDescent="0.25">
      <c r="B10002" s="1"/>
      <c r="H10002" s="5"/>
    </row>
    <row r="10003" spans="2:8" x14ac:dyDescent="0.25">
      <c r="B10003" s="1"/>
      <c r="H10003" s="5"/>
    </row>
    <row r="10004" spans="2:8" x14ac:dyDescent="0.25">
      <c r="B10004" s="1"/>
      <c r="H10004" s="5"/>
    </row>
    <row r="10005" spans="2:8" x14ac:dyDescent="0.25">
      <c r="B10005" s="1"/>
      <c r="H10005" s="5"/>
    </row>
    <row r="10006" spans="2:8" x14ac:dyDescent="0.25">
      <c r="B10006" s="1"/>
      <c r="H10006" s="5"/>
    </row>
    <row r="10007" spans="2:8" x14ac:dyDescent="0.25">
      <c r="B10007" s="1"/>
      <c r="H10007" s="5"/>
    </row>
    <row r="10008" spans="2:8" x14ac:dyDescent="0.25">
      <c r="B10008" s="1"/>
      <c r="H10008" s="5"/>
    </row>
    <row r="10009" spans="2:8" x14ac:dyDescent="0.25">
      <c r="B10009" s="1"/>
      <c r="H1000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28"/>
  <sheetViews>
    <sheetView workbookViewId="0">
      <selection activeCell="A2" sqref="A2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1" ca="1" si="0">A3-1</f>
        <v>46023</v>
      </c>
      <c r="B2">
        <f ca="1">SUMIFS(Tabela1[Ativa (kwh)],Tabela1[data],A2)</f>
        <v>7323.54</v>
      </c>
      <c r="C2">
        <f ca="1">SUMIFS(Tabela1[Reativa (kvarh)],Tabela1[data],A2)</f>
        <v>309.54000000000002</v>
      </c>
      <c r="D2">
        <f t="shared" ref="D2:D18" ca="1" si="1">B2/1000</f>
        <v>7.3235400000000004</v>
      </c>
      <c r="E2">
        <f t="shared" ref="E2:E18" ca="1" si="2">C2/1000</f>
        <v>0.30954000000000004</v>
      </c>
    </row>
    <row r="3" spans="1:5" x14ac:dyDescent="0.25">
      <c r="A3" s="1">
        <f t="shared" ca="1" si="0"/>
        <v>46024</v>
      </c>
      <c r="B3">
        <f ca="1">SUMIFS(Tabela1[Ativa (kwh)],Tabela1[data],A3)</f>
        <v>15687.840000000002</v>
      </c>
      <c r="C3">
        <f ca="1">SUMIFS(Tabela1[Reativa (kvarh)],Tabela1[data],A3)</f>
        <v>2995.44</v>
      </c>
      <c r="D3">
        <f t="shared" ca="1" si="1"/>
        <v>15.687840000000001</v>
      </c>
      <c r="E3">
        <f t="shared" ca="1" si="2"/>
        <v>2.9954399999999999</v>
      </c>
    </row>
    <row r="4" spans="1:5" x14ac:dyDescent="0.25">
      <c r="A4" s="1">
        <f t="shared" ca="1" si="0"/>
        <v>46025</v>
      </c>
      <c r="B4">
        <f ca="1">SUMIFS(Tabela1[Ativa (kwh)],Tabela1[data],A4)</f>
        <v>15125.460000000001</v>
      </c>
      <c r="C4">
        <f ca="1">SUMIFS(Tabela1[Reativa (kvarh)],Tabela1[data],A4)</f>
        <v>2753.94</v>
      </c>
      <c r="D4">
        <f t="shared" ca="1" si="1"/>
        <v>15.12546</v>
      </c>
      <c r="E4">
        <f t="shared" ca="1" si="2"/>
        <v>2.7539400000000001</v>
      </c>
    </row>
    <row r="5" spans="1:5" x14ac:dyDescent="0.25">
      <c r="A5" s="1">
        <f t="shared" ca="1" si="0"/>
        <v>46026</v>
      </c>
      <c r="B5">
        <f ca="1">SUMIFS(Tabela1[Ativa (kwh)],Tabela1[data],A5)</f>
        <v>13570.619999999997</v>
      </c>
      <c r="C5">
        <f ca="1">SUMIFS(Tabela1[Reativa (kvarh)],Tabela1[data],A5)</f>
        <v>2467.08</v>
      </c>
      <c r="D5">
        <f t="shared" ca="1" si="1"/>
        <v>13.570619999999996</v>
      </c>
      <c r="E5">
        <f t="shared" ca="1" si="2"/>
        <v>2.4670799999999997</v>
      </c>
    </row>
    <row r="6" spans="1:5" x14ac:dyDescent="0.25">
      <c r="A6" s="1">
        <f t="shared" ca="1" si="0"/>
        <v>46027</v>
      </c>
      <c r="B6">
        <f ca="1">SUMIFS(Tabela1[Ativa (kwh)],Tabela1[data],A6)</f>
        <v>13544.16</v>
      </c>
      <c r="C6">
        <f ca="1">SUMIFS(Tabela1[Reativa (kvarh)],Tabela1[data],A6)</f>
        <v>2223.06</v>
      </c>
      <c r="D6">
        <f t="shared" ca="1" si="1"/>
        <v>13.54416</v>
      </c>
      <c r="E6">
        <f t="shared" ca="1" si="2"/>
        <v>2.2230599999999998</v>
      </c>
    </row>
    <row r="7" spans="1:5" x14ac:dyDescent="0.25">
      <c r="A7" s="1">
        <f t="shared" ca="1" si="0"/>
        <v>46028</v>
      </c>
      <c r="B7">
        <f ca="1">SUMIFS(Tabela1[Ativa (kwh)],Tabela1[data],A7)</f>
        <v>14560.98</v>
      </c>
      <c r="C7">
        <f ca="1">SUMIFS(Tabela1[Reativa (kvarh)],Tabela1[data],A7)</f>
        <v>2827.0200000000004</v>
      </c>
      <c r="D7">
        <f t="shared" ca="1" si="1"/>
        <v>14.560979999999999</v>
      </c>
      <c r="E7">
        <f t="shared" ca="1" si="2"/>
        <v>2.8270200000000005</v>
      </c>
    </row>
    <row r="8" spans="1:5" x14ac:dyDescent="0.25">
      <c r="A8" s="1">
        <f t="shared" ca="1" si="0"/>
        <v>46029</v>
      </c>
      <c r="B8">
        <f ca="1">SUMIFS(Tabela1[Ativa (kwh)],Tabela1[data],A8)</f>
        <v>14550.48</v>
      </c>
      <c r="C8">
        <f ca="1">SUMIFS(Tabela1[Reativa (kvarh)],Tabela1[data],A8)</f>
        <v>2692.6199999999994</v>
      </c>
      <c r="D8">
        <f t="shared" ca="1" si="1"/>
        <v>14.55048</v>
      </c>
      <c r="E8">
        <f t="shared" ca="1" si="2"/>
        <v>2.6926199999999993</v>
      </c>
    </row>
    <row r="9" spans="1:5" x14ac:dyDescent="0.25">
      <c r="A9" s="1">
        <f t="shared" ca="1" si="0"/>
        <v>46030</v>
      </c>
      <c r="B9">
        <f ca="1">SUMIFS(Tabela1[Ativa (kwh)],Tabela1[data],A9)</f>
        <v>15160.740000000003</v>
      </c>
      <c r="C9">
        <f ca="1">SUMIFS(Tabela1[Reativa (kvarh)],Tabela1[data],A9)</f>
        <v>2955.96</v>
      </c>
      <c r="D9">
        <f t="shared" ca="1" si="1"/>
        <v>15.160740000000004</v>
      </c>
      <c r="E9">
        <f t="shared" ca="1" si="2"/>
        <v>2.9559600000000001</v>
      </c>
    </row>
    <row r="10" spans="1:5" x14ac:dyDescent="0.25">
      <c r="A10" s="1">
        <f t="shared" ca="1" si="0"/>
        <v>46031</v>
      </c>
      <c r="B10">
        <f ca="1">SUMIFS(Tabela1[Ativa (kwh)],Tabela1[data],A10)</f>
        <v>16163.280000000002</v>
      </c>
      <c r="C10">
        <f ca="1">SUMIFS(Tabela1[Reativa (kvarh)],Tabela1[data],A10)</f>
        <v>3351.1799999999994</v>
      </c>
      <c r="D10">
        <f t="shared" ca="1" si="1"/>
        <v>16.163280000000004</v>
      </c>
      <c r="E10">
        <f t="shared" ca="1" si="2"/>
        <v>3.3511799999999994</v>
      </c>
    </row>
    <row r="11" spans="1:5" x14ac:dyDescent="0.25">
      <c r="A11" s="1">
        <f t="shared" ca="1" si="0"/>
        <v>46032</v>
      </c>
      <c r="B11">
        <f ca="1">SUMIFS(Tabela1[Ativa (kwh)],Tabela1[data],A11)</f>
        <v>15982.679999999997</v>
      </c>
      <c r="C11">
        <f ca="1">SUMIFS(Tabela1[Reativa (kvarh)],Tabela1[data],A11)</f>
        <v>3376.3800000000006</v>
      </c>
      <c r="D11">
        <f t="shared" ca="1" si="1"/>
        <v>15.982679999999997</v>
      </c>
      <c r="E11">
        <f t="shared" ca="1" si="2"/>
        <v>3.3763800000000006</v>
      </c>
    </row>
    <row r="12" spans="1:5" x14ac:dyDescent="0.25">
      <c r="A12" s="1">
        <f t="shared" ref="A12:A18" ca="1" si="3">A13-1</f>
        <v>46033</v>
      </c>
      <c r="B12">
        <f ca="1">SUMIFS(Tabela1[Ativa (kwh)],Tabela1[data],A12)</f>
        <v>13762.560000000001</v>
      </c>
      <c r="C12">
        <f ca="1">SUMIFS(Tabela1[Reativa (kvarh)],Tabela1[data],A12)</f>
        <v>2068.9199999999996</v>
      </c>
      <c r="D12">
        <f t="shared" ca="1" si="1"/>
        <v>13.762560000000001</v>
      </c>
      <c r="E12">
        <f t="shared" ca="1" si="2"/>
        <v>2.0689199999999994</v>
      </c>
    </row>
    <row r="13" spans="1:5" x14ac:dyDescent="0.25">
      <c r="A13" s="1">
        <f t="shared" ca="1" si="3"/>
        <v>46034</v>
      </c>
      <c r="B13">
        <f ca="1">SUMIFS(Tabela1[Ativa (kwh)],Tabela1[data],A13)</f>
        <v>16434.599999999999</v>
      </c>
      <c r="C13">
        <f ca="1">SUMIFS(Tabela1[Reativa (kvarh)],Tabela1[data],A13)</f>
        <v>3642.66</v>
      </c>
      <c r="D13">
        <f t="shared" ca="1" si="1"/>
        <v>16.4346</v>
      </c>
      <c r="E13">
        <f t="shared" ca="1" si="2"/>
        <v>3.6426599999999998</v>
      </c>
    </row>
    <row r="14" spans="1:5" x14ac:dyDescent="0.25">
      <c r="A14" s="1">
        <f t="shared" ca="1" si="3"/>
        <v>46035</v>
      </c>
      <c r="B14">
        <f ca="1">SUMIFS(Tabela1[Ativa (kwh)],Tabela1[data],A14)</f>
        <v>14823.9</v>
      </c>
      <c r="C14">
        <f ca="1">SUMIFS(Tabela1[Reativa (kvarh)],Tabela1[data],A14)</f>
        <v>2710.68</v>
      </c>
      <c r="D14">
        <f t="shared" ca="1" si="1"/>
        <v>14.8239</v>
      </c>
      <c r="E14">
        <f t="shared" ca="1" si="2"/>
        <v>2.71068</v>
      </c>
    </row>
    <row r="15" spans="1:5" x14ac:dyDescent="0.25">
      <c r="A15" s="1">
        <f t="shared" ca="1" si="3"/>
        <v>46036</v>
      </c>
      <c r="B15">
        <f ca="1">SUMIFS(Tabela1[Ativa (kwh)],Tabela1[data],A15)</f>
        <v>13618.079999999998</v>
      </c>
      <c r="C15">
        <f ca="1">SUMIFS(Tabela1[Reativa (kvarh)],Tabela1[data],A15)</f>
        <v>2440.62</v>
      </c>
      <c r="D15">
        <f t="shared" ca="1" si="1"/>
        <v>13.618079999999997</v>
      </c>
      <c r="E15">
        <f t="shared" ca="1" si="2"/>
        <v>2.44062</v>
      </c>
    </row>
    <row r="16" spans="1:5" x14ac:dyDescent="0.25">
      <c r="A16" s="1">
        <f t="shared" ca="1" si="3"/>
        <v>46037</v>
      </c>
      <c r="B16">
        <f ca="1">SUMIFS(Tabela1[Ativa (kwh)],Tabela1[data],A16)</f>
        <v>15137.640000000001</v>
      </c>
      <c r="C16">
        <f ca="1">SUMIFS(Tabela1[Reativa (kvarh)],Tabela1[data],A16)</f>
        <v>3173.0999999999995</v>
      </c>
      <c r="D16">
        <f t="shared" ca="1" si="1"/>
        <v>15.137640000000001</v>
      </c>
      <c r="E16">
        <f t="shared" ca="1" si="2"/>
        <v>3.1730999999999994</v>
      </c>
    </row>
    <row r="17" spans="1:5" x14ac:dyDescent="0.25">
      <c r="A17" s="1">
        <f t="shared" ca="1" si="3"/>
        <v>46038</v>
      </c>
      <c r="B17">
        <f ca="1">SUMIFS(Tabela1[Ativa (kwh)],Tabela1[data],A17)</f>
        <v>14939.820000000002</v>
      </c>
      <c r="C17">
        <f ca="1">SUMIFS(Tabela1[Reativa (kvarh)],Tabela1[data],A17)</f>
        <v>3063.48</v>
      </c>
      <c r="D17">
        <f t="shared" ca="1" si="1"/>
        <v>14.939820000000001</v>
      </c>
      <c r="E17">
        <f t="shared" ca="1" si="2"/>
        <v>3.0634800000000002</v>
      </c>
    </row>
    <row r="18" spans="1:5" x14ac:dyDescent="0.25">
      <c r="A18" s="1">
        <f t="shared" ca="1" si="3"/>
        <v>46039</v>
      </c>
      <c r="B18">
        <f ca="1">SUMIFS(Tabela1[Ativa (kwh)],Tabela1[data],A18)</f>
        <v>14940.660000000002</v>
      </c>
      <c r="C18">
        <f ca="1">SUMIFS(Tabela1[Reativa (kvarh)],Tabela1[data],A18)</f>
        <v>2964.78</v>
      </c>
      <c r="D18">
        <f t="shared" ca="1" si="1"/>
        <v>14.940660000000001</v>
      </c>
      <c r="E18">
        <f t="shared" ca="1" si="2"/>
        <v>2.9647800000000002</v>
      </c>
    </row>
    <row r="19" spans="1:5" x14ac:dyDescent="0.25">
      <c r="A19" s="1">
        <f t="shared" ref="A19:A24" ca="1" si="4">A20-1</f>
        <v>46040</v>
      </c>
      <c r="B19">
        <f ca="1">SUMIFS(Tabela1[Ativa (kwh)],Tabela1[data],A19)</f>
        <v>14079.660000000002</v>
      </c>
      <c r="C19">
        <f ca="1">SUMIFS(Tabela1[Reativa (kvarh)],Tabela1[data],A19)</f>
        <v>2550.2399999999998</v>
      </c>
      <c r="D19">
        <f ca="1">B19/1000</f>
        <v>14.079660000000002</v>
      </c>
      <c r="E19">
        <f ca="1">C19/1000</f>
        <v>2.5502399999999996</v>
      </c>
    </row>
    <row r="20" spans="1:5" x14ac:dyDescent="0.25">
      <c r="A20" s="1">
        <f t="shared" ca="1" si="4"/>
        <v>46041</v>
      </c>
      <c r="B20">
        <f ca="1">SUMIFS(Tabela1[Ativa (kwh)],Tabela1[data],A20)</f>
        <v>14305.62</v>
      </c>
      <c r="C20">
        <f ca="1">SUMIFS(Tabela1[Reativa (kvarh)],Tabela1[data],A20)</f>
        <v>2668.26</v>
      </c>
      <c r="D20">
        <f t="shared" ref="D20:D28" ca="1" si="5">B20/1000</f>
        <v>14.305620000000001</v>
      </c>
      <c r="E20">
        <f t="shared" ref="E20:E28" ca="1" si="6">C20/1000</f>
        <v>2.6682600000000001</v>
      </c>
    </row>
    <row r="21" spans="1:5" x14ac:dyDescent="0.25">
      <c r="A21" s="1">
        <f t="shared" ca="1" si="4"/>
        <v>46042</v>
      </c>
      <c r="B21">
        <f ca="1">SUMIFS(Tabela1[Ativa (kwh)],Tabela1[data],A21)</f>
        <v>12807.479999999998</v>
      </c>
      <c r="C21">
        <f ca="1">SUMIFS(Tabela1[Reativa (kvarh)],Tabela1[data],A21)</f>
        <v>1900.5</v>
      </c>
      <c r="D21">
        <f t="shared" ca="1" si="5"/>
        <v>12.807479999999998</v>
      </c>
      <c r="E21">
        <f t="shared" ca="1" si="6"/>
        <v>1.9005000000000001</v>
      </c>
    </row>
    <row r="22" spans="1:5" x14ac:dyDescent="0.25">
      <c r="A22" s="1">
        <f t="shared" ca="1" si="4"/>
        <v>46043</v>
      </c>
      <c r="B22">
        <f ca="1">SUMIFS(Tabela1[Ativa (kwh)],Tabela1[data],A22)</f>
        <v>12381.18</v>
      </c>
      <c r="C22">
        <f ca="1">SUMIFS(Tabela1[Reativa (kvarh)],Tabela1[data],A22)</f>
        <v>1631.28</v>
      </c>
      <c r="D22">
        <f t="shared" ca="1" si="5"/>
        <v>12.381180000000001</v>
      </c>
      <c r="E22">
        <f t="shared" ca="1" si="6"/>
        <v>1.6312800000000001</v>
      </c>
    </row>
    <row r="23" spans="1:5" x14ac:dyDescent="0.25">
      <c r="A23" s="1">
        <f t="shared" ca="1" si="4"/>
        <v>46044</v>
      </c>
      <c r="B23">
        <f ca="1">SUMIFS(Tabela1[Ativa (kwh)],Tabela1[data],A23)</f>
        <v>12840.659999999998</v>
      </c>
      <c r="C23">
        <f ca="1">SUMIFS(Tabela1[Reativa (kvarh)],Tabela1[data],A23)</f>
        <v>1766.9399999999998</v>
      </c>
      <c r="D23">
        <f t="shared" ca="1" si="5"/>
        <v>12.840659999999998</v>
      </c>
      <c r="E23">
        <f t="shared" ca="1" si="6"/>
        <v>1.7669399999999997</v>
      </c>
    </row>
    <row r="24" spans="1:5" x14ac:dyDescent="0.25">
      <c r="A24" s="1">
        <f t="shared" ca="1" si="4"/>
        <v>46045</v>
      </c>
      <c r="B24">
        <f ca="1">SUMIFS(Tabela1[Ativa (kwh)],Tabela1[data],A24)</f>
        <v>13196.400000000001</v>
      </c>
      <c r="C24">
        <f ca="1">SUMIFS(Tabela1[Reativa (kvarh)],Tabela1[data],A24)</f>
        <v>1843.8000000000002</v>
      </c>
      <c r="D24">
        <f t="shared" ca="1" si="5"/>
        <v>13.196400000000001</v>
      </c>
      <c r="E24">
        <f t="shared" ca="1" si="6"/>
        <v>1.8438000000000001</v>
      </c>
    </row>
    <row r="25" spans="1:5" x14ac:dyDescent="0.25">
      <c r="A25" s="1">
        <f ca="1">A26-1</f>
        <v>46046</v>
      </c>
      <c r="B25">
        <f ca="1">SUMIFS(Tabela1[Ativa (kwh)],Tabela1[data],A25)</f>
        <v>13135.08</v>
      </c>
      <c r="C25">
        <f ca="1">SUMIFS(Tabela1[Reativa (kvarh)],Tabela1[data],A25)</f>
        <v>1895.8800000000003</v>
      </c>
      <c r="D25">
        <f t="shared" ca="1" si="5"/>
        <v>13.13508</v>
      </c>
      <c r="E25">
        <f t="shared" ca="1" si="6"/>
        <v>1.8958800000000002</v>
      </c>
    </row>
    <row r="26" spans="1:5" x14ac:dyDescent="0.25">
      <c r="A26" s="1">
        <f ca="1">A27-1</f>
        <v>46047</v>
      </c>
      <c r="B26">
        <f ca="1">SUMIFS(Tabela1[Ativa (kwh)],Tabela1[data],A26)</f>
        <v>12241.32</v>
      </c>
      <c r="C26">
        <f ca="1">SUMIFS(Tabela1[Reativa (kvarh)],Tabela1[data],A26)</f>
        <v>1618.68</v>
      </c>
      <c r="D26">
        <f t="shared" ca="1" si="5"/>
        <v>12.24132</v>
      </c>
      <c r="E26">
        <f t="shared" ca="1" si="6"/>
        <v>1.6186800000000001</v>
      </c>
    </row>
    <row r="27" spans="1:5" x14ac:dyDescent="0.25">
      <c r="A27" s="1">
        <f ca="1">A28-1</f>
        <v>46048</v>
      </c>
      <c r="B27">
        <f ca="1">SUMIFS(Tabela1[Ativa (kwh)],Tabela1[data],A27)</f>
        <v>13613.039999999999</v>
      </c>
      <c r="C27">
        <f ca="1">SUMIFS(Tabela1[Reativa (kvarh)],Tabela1[data],A27)</f>
        <v>2065.1400000000003</v>
      </c>
      <c r="D27">
        <f t="shared" ca="1" si="5"/>
        <v>13.61304</v>
      </c>
      <c r="E27">
        <f t="shared" ca="1" si="6"/>
        <v>2.0651400000000004</v>
      </c>
    </row>
    <row r="28" spans="1:5" x14ac:dyDescent="0.25">
      <c r="A28" s="1">
        <f ca="1">TODAY()-1</f>
        <v>46049</v>
      </c>
      <c r="B28">
        <f ca="1">SUMIFS(Tabela1[Ativa (kwh)],Tabela1[data],A28)</f>
        <v>0</v>
      </c>
      <c r="C28">
        <f ca="1">SUMIFS(Tabela1[Reativa (kvarh)],Tabela1[data],A28)</f>
        <v>0</v>
      </c>
      <c r="D28">
        <f t="shared" ca="1" si="5"/>
        <v>0</v>
      </c>
      <c r="E28">
        <f t="shared" ca="1" si="6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tabSelected="1" topLeftCell="A10" workbookViewId="0">
      <selection activeCell="C22" sqref="C22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Tabela!A28</f>
        <v>46049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workbookViewId="0">
      <selection activeCell="A18" sqref="A18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363927.47999999975</v>
      </c>
      <c r="E14">
        <f>D14/1000</f>
        <v>363.92747999999978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2026-01-28T13:11:05Z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