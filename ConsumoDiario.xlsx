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52" documentId="8_{8D12E28F-71B1-4F28-B6C5-4462CC8675C5}" xr6:coauthVersionLast="47" xr6:coauthVersionMax="47" xr10:uidLastSave="{A49D008E-7BA3-4CDD-92FD-A97B6A31F204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93" i="1" l="1"/>
  <c r="H9793" i="1"/>
  <c r="I9792" i="1"/>
  <c r="H9792" i="1"/>
  <c r="I9791" i="1"/>
  <c r="H9791" i="1"/>
  <c r="I9790" i="1"/>
  <c r="H9790" i="1"/>
  <c r="I9789" i="1"/>
  <c r="H9789" i="1"/>
  <c r="I9788" i="1"/>
  <c r="H9788" i="1"/>
  <c r="I9787" i="1"/>
  <c r="H9787" i="1"/>
  <c r="I9786" i="1"/>
  <c r="H9786" i="1"/>
  <c r="I9785" i="1"/>
  <c r="H9785" i="1"/>
  <c r="I9784" i="1"/>
  <c r="H9784" i="1"/>
  <c r="I9783" i="1"/>
  <c r="H9783" i="1"/>
  <c r="I9782" i="1"/>
  <c r="H9782" i="1"/>
  <c r="I9781" i="1"/>
  <c r="H9781" i="1"/>
  <c r="I9780" i="1"/>
  <c r="H9780" i="1"/>
  <c r="I9779" i="1"/>
  <c r="H9779" i="1"/>
  <c r="I9778" i="1"/>
  <c r="H9778" i="1"/>
  <c r="I9777" i="1"/>
  <c r="H9777" i="1"/>
  <c r="I9776" i="1"/>
  <c r="H9776" i="1"/>
  <c r="I9775" i="1"/>
  <c r="H9775" i="1"/>
  <c r="I9774" i="1"/>
  <c r="H9774" i="1"/>
  <c r="I9773" i="1"/>
  <c r="H9773" i="1"/>
  <c r="I9772" i="1"/>
  <c r="H9772" i="1"/>
  <c r="I9771" i="1"/>
  <c r="H9771" i="1"/>
  <c r="I9770" i="1"/>
  <c r="H9770" i="1"/>
  <c r="I9769" i="1"/>
  <c r="H9769" i="1"/>
  <c r="I9768" i="1"/>
  <c r="H9768" i="1"/>
  <c r="I9767" i="1"/>
  <c r="H9767" i="1"/>
  <c r="I9766" i="1"/>
  <c r="H9766" i="1"/>
  <c r="I9765" i="1"/>
  <c r="H9765" i="1"/>
  <c r="I9764" i="1"/>
  <c r="H9764" i="1"/>
  <c r="I9763" i="1"/>
  <c r="H9763" i="1"/>
  <c r="I9762" i="1"/>
  <c r="H9762" i="1"/>
  <c r="I9761" i="1"/>
  <c r="H9761" i="1"/>
  <c r="I9760" i="1"/>
  <c r="H9760" i="1"/>
  <c r="I9759" i="1"/>
  <c r="H9759" i="1"/>
  <c r="I9758" i="1"/>
  <c r="H9758" i="1"/>
  <c r="I9757" i="1"/>
  <c r="H9757" i="1"/>
  <c r="I9756" i="1"/>
  <c r="H9756" i="1"/>
  <c r="I9755" i="1"/>
  <c r="H9755" i="1"/>
  <c r="I9754" i="1"/>
  <c r="H9754" i="1"/>
  <c r="I9753" i="1"/>
  <c r="H9753" i="1"/>
  <c r="I9752" i="1"/>
  <c r="H9752" i="1"/>
  <c r="I9751" i="1"/>
  <c r="H9751" i="1"/>
  <c r="I9750" i="1"/>
  <c r="H9750" i="1"/>
  <c r="I9749" i="1"/>
  <c r="H9749" i="1"/>
  <c r="I9748" i="1"/>
  <c r="H9748" i="1"/>
  <c r="I9747" i="1"/>
  <c r="H9747" i="1"/>
  <c r="I9746" i="1"/>
  <c r="H9746" i="1"/>
  <c r="I9745" i="1"/>
  <c r="H9745" i="1"/>
  <c r="I9744" i="1"/>
  <c r="H9744" i="1"/>
  <c r="I9743" i="1"/>
  <c r="H9743" i="1"/>
  <c r="I9742" i="1"/>
  <c r="H9742" i="1"/>
  <c r="I9741" i="1"/>
  <c r="H9741" i="1"/>
  <c r="I9740" i="1"/>
  <c r="H9740" i="1"/>
  <c r="I9739" i="1"/>
  <c r="H9739" i="1"/>
  <c r="I9738" i="1"/>
  <c r="H9738" i="1"/>
  <c r="I9737" i="1"/>
  <c r="H9737" i="1"/>
  <c r="I9736" i="1"/>
  <c r="H9736" i="1"/>
  <c r="I9735" i="1"/>
  <c r="H9735" i="1"/>
  <c r="I9734" i="1"/>
  <c r="H9734" i="1"/>
  <c r="I9733" i="1"/>
  <c r="H9733" i="1"/>
  <c r="I9732" i="1"/>
  <c r="H9732" i="1"/>
  <c r="I9731" i="1"/>
  <c r="H9731" i="1"/>
  <c r="I9730" i="1"/>
  <c r="H9730" i="1"/>
  <c r="I9729" i="1"/>
  <c r="H9729" i="1"/>
  <c r="I9728" i="1"/>
  <c r="H9728" i="1"/>
  <c r="I9727" i="1"/>
  <c r="H9727" i="1"/>
  <c r="I9726" i="1"/>
  <c r="H9726" i="1"/>
  <c r="I9725" i="1"/>
  <c r="H9725" i="1"/>
  <c r="I9724" i="1"/>
  <c r="H9724" i="1"/>
  <c r="I9723" i="1"/>
  <c r="H9723" i="1"/>
  <c r="I9722" i="1"/>
  <c r="H9722" i="1"/>
  <c r="I9721" i="1"/>
  <c r="H9721" i="1"/>
  <c r="I9720" i="1"/>
  <c r="H9720" i="1"/>
  <c r="I9719" i="1"/>
  <c r="H9719" i="1"/>
  <c r="I9718" i="1"/>
  <c r="H9718" i="1"/>
  <c r="I9717" i="1"/>
  <c r="H9717" i="1"/>
  <c r="I9716" i="1"/>
  <c r="H9716" i="1"/>
  <c r="I9715" i="1"/>
  <c r="H9715" i="1"/>
  <c r="I9714" i="1"/>
  <c r="H9714" i="1"/>
  <c r="I9713" i="1"/>
  <c r="H9713" i="1"/>
  <c r="I9712" i="1"/>
  <c r="H9712" i="1"/>
  <c r="I9711" i="1"/>
  <c r="H9711" i="1"/>
  <c r="I9710" i="1"/>
  <c r="H9710" i="1"/>
  <c r="I9709" i="1"/>
  <c r="H9709" i="1"/>
  <c r="I9708" i="1"/>
  <c r="H9708" i="1"/>
  <c r="I9707" i="1"/>
  <c r="H9707" i="1"/>
  <c r="I9706" i="1"/>
  <c r="H9706" i="1"/>
  <c r="I9705" i="1"/>
  <c r="H9705" i="1"/>
  <c r="I9704" i="1"/>
  <c r="H9704" i="1"/>
  <c r="I9703" i="1"/>
  <c r="H9703" i="1"/>
  <c r="I9702" i="1"/>
  <c r="H9702" i="1"/>
  <c r="I9701" i="1"/>
  <c r="H9701" i="1"/>
  <c r="I9700" i="1"/>
  <c r="H9700" i="1"/>
  <c r="I9699" i="1"/>
  <c r="H9699" i="1"/>
  <c r="I9698" i="1"/>
  <c r="H9698" i="1"/>
  <c r="I9697" i="1"/>
  <c r="H9697" i="1"/>
  <c r="I9696" i="1"/>
  <c r="H9696" i="1"/>
  <c r="I9695" i="1"/>
  <c r="H9695" i="1"/>
  <c r="I9694" i="1"/>
  <c r="H9694" i="1"/>
  <c r="I9693" i="1"/>
  <c r="H9693" i="1"/>
  <c r="I9692" i="1"/>
  <c r="H9692" i="1"/>
  <c r="I9691" i="1"/>
  <c r="H9691" i="1"/>
  <c r="I9690" i="1"/>
  <c r="H9690" i="1"/>
  <c r="I9689" i="1"/>
  <c r="H9689" i="1"/>
  <c r="I9688" i="1"/>
  <c r="H9688" i="1"/>
  <c r="I9687" i="1"/>
  <c r="H9687" i="1"/>
  <c r="I9686" i="1"/>
  <c r="H9686" i="1"/>
  <c r="I9685" i="1"/>
  <c r="H9685" i="1"/>
  <c r="I9684" i="1"/>
  <c r="H9684" i="1"/>
  <c r="I9683" i="1"/>
  <c r="H9683" i="1"/>
  <c r="I9682" i="1"/>
  <c r="H9682" i="1"/>
  <c r="I9681" i="1"/>
  <c r="H9681" i="1"/>
  <c r="I9680" i="1"/>
  <c r="H9680" i="1"/>
  <c r="I9679" i="1"/>
  <c r="H9679" i="1"/>
  <c r="I9678" i="1"/>
  <c r="H9678" i="1"/>
  <c r="I9677" i="1"/>
  <c r="H9677" i="1"/>
  <c r="I9676" i="1"/>
  <c r="H9676" i="1"/>
  <c r="I9675" i="1"/>
  <c r="H9675" i="1"/>
  <c r="I9674" i="1"/>
  <c r="H9674" i="1"/>
  <c r="I9673" i="1"/>
  <c r="H9673" i="1"/>
  <c r="I9672" i="1"/>
  <c r="H9672" i="1"/>
  <c r="I9671" i="1"/>
  <c r="H9671" i="1"/>
  <c r="I9670" i="1"/>
  <c r="H9670" i="1"/>
  <c r="I9669" i="1"/>
  <c r="H9669" i="1"/>
  <c r="I9668" i="1"/>
  <c r="H9668" i="1"/>
  <c r="I9667" i="1"/>
  <c r="H9667" i="1"/>
  <c r="I9666" i="1"/>
  <c r="H9666" i="1"/>
  <c r="I9665" i="1"/>
  <c r="H9665" i="1"/>
  <c r="I9664" i="1"/>
  <c r="H9664" i="1"/>
  <c r="I9663" i="1"/>
  <c r="H9663" i="1"/>
  <c r="I9662" i="1"/>
  <c r="H9662" i="1"/>
  <c r="I9661" i="1"/>
  <c r="H9661" i="1"/>
  <c r="I9660" i="1"/>
  <c r="H9660" i="1"/>
  <c r="I9659" i="1"/>
  <c r="H9659" i="1"/>
  <c r="I9658" i="1"/>
  <c r="H9658" i="1"/>
  <c r="I9657" i="1"/>
  <c r="H9657" i="1"/>
  <c r="I9656" i="1"/>
  <c r="H9656" i="1"/>
  <c r="I9655" i="1"/>
  <c r="H9655" i="1"/>
  <c r="I9654" i="1"/>
  <c r="H9654" i="1"/>
  <c r="I9653" i="1"/>
  <c r="H9653" i="1"/>
  <c r="I9652" i="1"/>
  <c r="H9652" i="1"/>
  <c r="I9651" i="1"/>
  <c r="H9651" i="1"/>
  <c r="I9650" i="1"/>
  <c r="H9650" i="1"/>
  <c r="I9649" i="1"/>
  <c r="H9649" i="1"/>
  <c r="I9648" i="1"/>
  <c r="H9648" i="1"/>
  <c r="I9647" i="1"/>
  <c r="H9647" i="1"/>
  <c r="I9646" i="1"/>
  <c r="H9646" i="1"/>
  <c r="I9645" i="1"/>
  <c r="H9645" i="1"/>
  <c r="I9644" i="1"/>
  <c r="H9644" i="1"/>
  <c r="I9643" i="1"/>
  <c r="H9643" i="1"/>
  <c r="I9642" i="1"/>
  <c r="H9642" i="1"/>
  <c r="I9641" i="1"/>
  <c r="H9641" i="1"/>
  <c r="I9640" i="1"/>
  <c r="H9640" i="1"/>
  <c r="I9639" i="1"/>
  <c r="H9639" i="1"/>
  <c r="I9638" i="1"/>
  <c r="H9638" i="1"/>
  <c r="I9637" i="1"/>
  <c r="H9637" i="1"/>
  <c r="I9636" i="1"/>
  <c r="H9636" i="1"/>
  <c r="I9635" i="1"/>
  <c r="H9635" i="1"/>
  <c r="I9634" i="1"/>
  <c r="H9634" i="1"/>
  <c r="I9633" i="1"/>
  <c r="H9633" i="1"/>
  <c r="I9632" i="1"/>
  <c r="H9632" i="1"/>
  <c r="I9631" i="1"/>
  <c r="H9631" i="1"/>
  <c r="I9630" i="1"/>
  <c r="H9630" i="1"/>
  <c r="I9629" i="1"/>
  <c r="H9629" i="1"/>
  <c r="I9628" i="1"/>
  <c r="H9628" i="1"/>
  <c r="I9627" i="1"/>
  <c r="H9627" i="1"/>
  <c r="I9626" i="1"/>
  <c r="H9626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D15" i="4" s="1"/>
  <c r="E15" i="4" s="1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<sst xmlns="http://schemas.openxmlformats.org/spreadsheetml/2006/main" count="37415" uniqueCount="46">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</sst>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009" totalsRowShown="0">
  <autoFilter ref="A1:I10009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009"/>
  <sheetViews>
    <sheetView topLeftCell="A9741" workbookViewId="0">
      <selection activeCell="L9760" sqref="L9760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F9770" t="s">
        <v>44</v>
      </c>
      <c r="G9770" t="s">
        <v>45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F9771" t="s">
        <v>44</v>
      </c>
      <c r="G9771" t="s">
        <v>45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F9772" t="s">
        <v>44</v>
      </c>
      <c r="G9772" t="s">
        <v>45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F9773" t="s">
        <v>44</v>
      </c>
      <c r="G9773" t="s">
        <v>45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F9774" t="s">
        <v>44</v>
      </c>
      <c r="G9774" t="s">
        <v>45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F9775" t="s">
        <v>44</v>
      </c>
      <c r="G9775" t="s">
        <v>45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F9776" t="s">
        <v>44</v>
      </c>
      <c r="G9776" t="s">
        <v>45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F9777" t="s">
        <v>44</v>
      </c>
      <c r="G9777" t="s">
        <v>45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F9778" t="s">
        <v>44</v>
      </c>
      <c r="G9778" t="s">
        <v>45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F9779" t="s">
        <v>44</v>
      </c>
      <c r="G9779" t="s">
        <v>45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F9780" t="s">
        <v>44</v>
      </c>
      <c r="G9780" t="s">
        <v>45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F9781" t="s">
        <v>44</v>
      </c>
      <c r="G9781" t="s">
        <v>45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F9782" t="s">
        <v>44</v>
      </c>
      <c r="G9782" t="s">
        <v>45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F9783" t="s">
        <v>44</v>
      </c>
      <c r="G9783" t="s">
        <v>45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F9784" t="s">
        <v>44</v>
      </c>
      <c r="G9784" t="s">
        <v>45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F9785" t="s">
        <v>44</v>
      </c>
      <c r="G9785" t="s">
        <v>45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F9786" t="s">
        <v>44</v>
      </c>
      <c r="G9786" t="s">
        <v>45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F9787" t="s">
        <v>44</v>
      </c>
      <c r="G9787" t="s">
        <v>45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F9788" t="s">
        <v>44</v>
      </c>
      <c r="G9788" t="s">
        <v>45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F9789" t="s">
        <v>44</v>
      </c>
      <c r="G9789" t="s">
        <v>45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F9790" t="s">
        <v>44</v>
      </c>
      <c r="G9790" t="s">
        <v>45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F9791" t="s">
        <v>44</v>
      </c>
      <c r="G9791" t="s">
        <v>45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F9792" t="s">
        <v>44</v>
      </c>
      <c r="G9792" t="s">
        <v>45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F9793" t="s">
        <v>44</v>
      </c>
      <c r="G9793" t="s">
        <v>45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B9794" s="1"/>
      <c r="H9794" s="5"/>
    </row>
    <row r="9795" spans="1:9" x14ac:dyDescent="0.25">
      <c r="B9795" s="1"/>
      <c r="H9795" s="5"/>
    </row>
    <row r="9796" spans="1:9" x14ac:dyDescent="0.25">
      <c r="B9796" s="1"/>
      <c r="H9796" s="5"/>
    </row>
    <row r="9797" spans="1:9" x14ac:dyDescent="0.25">
      <c r="B9797" s="1"/>
      <c r="H9797" s="5"/>
    </row>
    <row r="9798" spans="1:9" x14ac:dyDescent="0.25">
      <c r="B9798" s="1"/>
      <c r="H9798" s="5"/>
    </row>
    <row r="9799" spans="1:9" x14ac:dyDescent="0.25">
      <c r="B9799" s="1"/>
      <c r="H9799" s="5"/>
    </row>
    <row r="9800" spans="1:9" x14ac:dyDescent="0.25">
      <c r="B9800" s="1"/>
      <c r="H9800" s="5"/>
    </row>
    <row r="9801" spans="1:9" x14ac:dyDescent="0.25">
      <c r="B9801" s="1"/>
      <c r="H9801" s="5"/>
    </row>
    <row r="9802" spans="1:9" x14ac:dyDescent="0.25">
      <c r="B9802" s="1"/>
      <c r="H9802" s="5"/>
    </row>
    <row r="9803" spans="1:9" x14ac:dyDescent="0.25">
      <c r="B9803" s="1"/>
      <c r="H9803" s="5"/>
    </row>
    <row r="9804" spans="1:9" x14ac:dyDescent="0.25">
      <c r="B9804" s="1"/>
      <c r="H9804" s="5"/>
    </row>
    <row r="9805" spans="1:9" x14ac:dyDescent="0.25">
      <c r="B9805" s="1"/>
      <c r="H9805" s="5"/>
    </row>
    <row r="9806" spans="1:9" x14ac:dyDescent="0.25">
      <c r="B9806" s="1"/>
      <c r="H9806" s="5"/>
    </row>
    <row r="9807" spans="1:9" x14ac:dyDescent="0.25">
      <c r="B9807" s="1"/>
      <c r="H9807" s="5"/>
    </row>
    <row r="9808" spans="1:9" x14ac:dyDescent="0.25">
      <c r="B9808" s="1"/>
      <c r="H9808" s="5"/>
    </row>
    <row r="9809" spans="2:8" x14ac:dyDescent="0.25">
      <c r="B9809" s="1"/>
      <c r="H9809" s="5"/>
    </row>
    <row r="9810" spans="2:8" x14ac:dyDescent="0.25">
      <c r="B9810" s="1"/>
      <c r="H9810" s="5"/>
    </row>
    <row r="9811" spans="2:8" x14ac:dyDescent="0.25">
      <c r="B9811" s="1"/>
      <c r="H9811" s="5"/>
    </row>
    <row r="9812" spans="2:8" x14ac:dyDescent="0.25">
      <c r="B9812" s="1"/>
      <c r="H9812" s="5"/>
    </row>
    <row r="9813" spans="2:8" x14ac:dyDescent="0.25">
      <c r="B9813" s="1"/>
      <c r="H9813" s="5"/>
    </row>
    <row r="9814" spans="2:8" x14ac:dyDescent="0.25">
      <c r="B9814" s="1"/>
      <c r="H9814" s="5"/>
    </row>
    <row r="9815" spans="2:8" x14ac:dyDescent="0.25">
      <c r="B9815" s="1"/>
      <c r="H9815" s="5"/>
    </row>
    <row r="9816" spans="2:8" x14ac:dyDescent="0.25">
      <c r="B9816" s="1"/>
      <c r="H9816" s="5"/>
    </row>
    <row r="9817" spans="2:8" x14ac:dyDescent="0.25">
      <c r="B9817" s="1"/>
      <c r="H9817" s="5"/>
    </row>
    <row r="9818" spans="2:8" x14ac:dyDescent="0.25">
      <c r="B9818" s="1"/>
      <c r="H9818" s="5"/>
    </row>
    <row r="9819" spans="2:8" x14ac:dyDescent="0.25">
      <c r="B9819" s="1"/>
      <c r="H9819" s="5"/>
    </row>
    <row r="9820" spans="2:8" x14ac:dyDescent="0.25">
      <c r="B9820" s="1"/>
      <c r="H9820" s="5"/>
    </row>
    <row r="9821" spans="2:8" x14ac:dyDescent="0.25">
      <c r="B9821" s="1"/>
      <c r="H9821" s="5"/>
    </row>
    <row r="9822" spans="2:8" x14ac:dyDescent="0.25">
      <c r="B9822" s="1"/>
      <c r="H9822" s="5"/>
    </row>
    <row r="9823" spans="2:8" x14ac:dyDescent="0.25">
      <c r="B9823" s="1"/>
      <c r="H9823" s="5"/>
    </row>
    <row r="9824" spans="2:8" x14ac:dyDescent="0.25">
      <c r="B9824" s="1"/>
      <c r="H9824" s="5"/>
    </row>
    <row r="9825" spans="2:8" x14ac:dyDescent="0.25">
      <c r="B9825" s="1"/>
      <c r="H9825" s="5"/>
    </row>
    <row r="9826" spans="2:8" x14ac:dyDescent="0.25">
      <c r="B9826" s="1"/>
      <c r="H9826" s="5"/>
    </row>
    <row r="9827" spans="2:8" x14ac:dyDescent="0.25">
      <c r="B9827" s="1"/>
      <c r="H9827" s="5"/>
    </row>
    <row r="9828" spans="2:8" x14ac:dyDescent="0.25">
      <c r="B9828" s="1"/>
      <c r="H9828" s="5"/>
    </row>
    <row r="9829" spans="2:8" x14ac:dyDescent="0.25">
      <c r="B9829" s="1"/>
      <c r="H9829" s="5"/>
    </row>
    <row r="9830" spans="2:8" x14ac:dyDescent="0.25">
      <c r="B9830" s="1"/>
      <c r="H9830" s="5"/>
    </row>
    <row r="9831" spans="2:8" x14ac:dyDescent="0.25">
      <c r="B9831" s="1"/>
      <c r="H9831" s="5"/>
    </row>
    <row r="9832" spans="2:8" x14ac:dyDescent="0.25">
      <c r="B9832" s="1"/>
      <c r="H9832" s="5"/>
    </row>
    <row r="9833" spans="2:8" x14ac:dyDescent="0.25">
      <c r="B9833" s="1"/>
      <c r="H9833" s="5"/>
    </row>
    <row r="9834" spans="2:8" x14ac:dyDescent="0.25">
      <c r="B9834" s="1"/>
      <c r="H9834" s="5"/>
    </row>
    <row r="9835" spans="2:8" x14ac:dyDescent="0.25">
      <c r="B9835" s="1"/>
      <c r="H9835" s="5"/>
    </row>
    <row r="9836" spans="2:8" x14ac:dyDescent="0.25">
      <c r="B9836" s="1"/>
      <c r="H9836" s="5"/>
    </row>
    <row r="9837" spans="2:8" x14ac:dyDescent="0.25">
      <c r="B9837" s="1"/>
      <c r="H9837" s="5"/>
    </row>
    <row r="9838" spans="2:8" x14ac:dyDescent="0.25">
      <c r="B9838" s="1"/>
      <c r="H9838" s="5"/>
    </row>
    <row r="9839" spans="2:8" x14ac:dyDescent="0.25">
      <c r="B9839" s="1"/>
      <c r="H9839" s="5"/>
    </row>
    <row r="9840" spans="2:8" x14ac:dyDescent="0.25">
      <c r="B9840" s="1"/>
      <c r="H9840" s="5"/>
    </row>
    <row r="9841" spans="2:8" x14ac:dyDescent="0.25">
      <c r="B9841" s="1"/>
      <c r="H9841" s="5"/>
    </row>
    <row r="9842" spans="2:8" x14ac:dyDescent="0.25">
      <c r="B9842" s="1"/>
      <c r="H9842" s="5"/>
    </row>
    <row r="9843" spans="2:8" x14ac:dyDescent="0.25">
      <c r="B9843" s="1"/>
      <c r="H9843" s="5"/>
    </row>
    <row r="9844" spans="2:8" x14ac:dyDescent="0.25">
      <c r="B9844" s="1"/>
      <c r="H9844" s="5"/>
    </row>
    <row r="9845" spans="2:8" x14ac:dyDescent="0.25">
      <c r="B9845" s="1"/>
      <c r="H9845" s="5"/>
    </row>
    <row r="9846" spans="2:8" x14ac:dyDescent="0.25">
      <c r="B9846" s="1"/>
      <c r="H9846" s="5"/>
    </row>
    <row r="9847" spans="2:8" x14ac:dyDescent="0.25">
      <c r="B9847" s="1"/>
      <c r="H9847" s="5"/>
    </row>
    <row r="9848" spans="2:8" x14ac:dyDescent="0.25">
      <c r="B9848" s="1"/>
      <c r="H9848" s="5"/>
    </row>
    <row r="9849" spans="2:8" x14ac:dyDescent="0.25">
      <c r="B9849" s="1"/>
      <c r="H9849" s="5"/>
    </row>
    <row r="9850" spans="2:8" x14ac:dyDescent="0.25">
      <c r="B9850" s="1"/>
      <c r="H9850" s="5"/>
    </row>
    <row r="9851" spans="2:8" x14ac:dyDescent="0.25">
      <c r="B9851" s="1"/>
      <c r="H9851" s="5"/>
    </row>
    <row r="9852" spans="2:8" x14ac:dyDescent="0.25">
      <c r="B9852" s="1"/>
      <c r="H9852" s="5"/>
    </row>
    <row r="9853" spans="2:8" x14ac:dyDescent="0.25">
      <c r="B9853" s="1"/>
      <c r="H9853" s="5"/>
    </row>
    <row r="9854" spans="2:8" x14ac:dyDescent="0.25">
      <c r="B9854" s="1"/>
      <c r="H9854" s="5"/>
    </row>
    <row r="9855" spans="2:8" x14ac:dyDescent="0.25">
      <c r="B9855" s="1"/>
      <c r="H9855" s="5"/>
    </row>
    <row r="9856" spans="2:8" x14ac:dyDescent="0.25">
      <c r="B9856" s="1"/>
      <c r="H9856" s="5"/>
    </row>
    <row r="9857" spans="2:8" x14ac:dyDescent="0.25">
      <c r="B9857" s="1"/>
      <c r="H9857" s="5"/>
    </row>
    <row r="9858" spans="2:8" x14ac:dyDescent="0.25">
      <c r="B9858" s="1"/>
      <c r="H9858" s="5"/>
    </row>
    <row r="9859" spans="2:8" x14ac:dyDescent="0.25">
      <c r="B9859" s="1"/>
      <c r="H9859" s="5"/>
    </row>
    <row r="9860" spans="2:8" x14ac:dyDescent="0.25">
      <c r="B9860" s="1"/>
      <c r="H9860" s="5"/>
    </row>
    <row r="9861" spans="2:8" x14ac:dyDescent="0.25">
      <c r="B9861" s="1"/>
      <c r="H9861" s="5"/>
    </row>
    <row r="9862" spans="2:8" x14ac:dyDescent="0.25">
      <c r="B9862" s="1"/>
      <c r="H9862" s="5"/>
    </row>
    <row r="9863" spans="2:8" x14ac:dyDescent="0.25">
      <c r="B9863" s="1"/>
      <c r="H9863" s="5"/>
    </row>
    <row r="9864" spans="2:8" x14ac:dyDescent="0.25">
      <c r="B9864" s="1"/>
      <c r="H9864" s="5"/>
    </row>
    <row r="9865" spans="2:8" x14ac:dyDescent="0.25">
      <c r="B9865" s="1"/>
      <c r="H9865" s="5"/>
    </row>
    <row r="9866" spans="2:8" x14ac:dyDescent="0.25">
      <c r="B9866" s="1"/>
      <c r="H9866" s="5"/>
    </row>
    <row r="9867" spans="2:8" x14ac:dyDescent="0.25">
      <c r="B9867" s="1"/>
      <c r="H9867" s="5"/>
    </row>
    <row r="9868" spans="2:8" x14ac:dyDescent="0.25">
      <c r="B9868" s="1"/>
      <c r="H9868" s="5"/>
    </row>
    <row r="9869" spans="2:8" x14ac:dyDescent="0.25">
      <c r="B9869" s="1"/>
      <c r="H9869" s="5"/>
    </row>
    <row r="9870" spans="2:8" x14ac:dyDescent="0.25">
      <c r="B9870" s="1"/>
      <c r="H9870" s="5"/>
    </row>
    <row r="9871" spans="2:8" x14ac:dyDescent="0.25">
      <c r="B9871" s="1"/>
      <c r="H9871" s="5"/>
    </row>
    <row r="9872" spans="2:8" x14ac:dyDescent="0.25">
      <c r="B9872" s="1"/>
      <c r="H9872" s="5"/>
    </row>
    <row r="9873" spans="2:8" x14ac:dyDescent="0.25">
      <c r="B9873" s="1"/>
      <c r="H9873" s="5"/>
    </row>
    <row r="9874" spans="2:8" x14ac:dyDescent="0.25">
      <c r="B9874" s="1"/>
      <c r="H9874" s="5"/>
    </row>
    <row r="9875" spans="2:8" x14ac:dyDescent="0.25">
      <c r="B9875" s="1"/>
      <c r="H9875" s="5"/>
    </row>
    <row r="9876" spans="2:8" x14ac:dyDescent="0.25">
      <c r="B9876" s="1"/>
      <c r="H9876" s="5"/>
    </row>
    <row r="9877" spans="2:8" x14ac:dyDescent="0.25">
      <c r="B9877" s="1"/>
      <c r="H9877" s="5"/>
    </row>
    <row r="9878" spans="2:8" x14ac:dyDescent="0.25">
      <c r="B9878" s="1"/>
      <c r="H9878" s="5"/>
    </row>
    <row r="9879" spans="2:8" x14ac:dyDescent="0.25">
      <c r="B9879" s="1"/>
      <c r="H9879" s="5"/>
    </row>
    <row r="9880" spans="2:8" x14ac:dyDescent="0.25">
      <c r="B9880" s="1"/>
      <c r="H9880" s="5"/>
    </row>
    <row r="9881" spans="2:8" x14ac:dyDescent="0.25">
      <c r="B9881" s="1"/>
      <c r="H9881" s="5"/>
    </row>
    <row r="9882" spans="2:8" x14ac:dyDescent="0.25">
      <c r="B9882" s="1"/>
      <c r="H9882" s="5"/>
    </row>
    <row r="9883" spans="2:8" x14ac:dyDescent="0.25">
      <c r="B9883" s="1"/>
      <c r="H9883" s="5"/>
    </row>
    <row r="9884" spans="2:8" x14ac:dyDescent="0.25">
      <c r="B9884" s="1"/>
      <c r="H9884" s="5"/>
    </row>
    <row r="9885" spans="2:8" x14ac:dyDescent="0.25">
      <c r="B9885" s="1"/>
      <c r="H9885" s="5"/>
    </row>
    <row r="9886" spans="2:8" x14ac:dyDescent="0.25">
      <c r="B9886" s="1"/>
      <c r="H9886" s="5"/>
    </row>
    <row r="9887" spans="2:8" x14ac:dyDescent="0.25">
      <c r="B9887" s="1"/>
      <c r="H9887" s="5"/>
    </row>
    <row r="9888" spans="2:8" x14ac:dyDescent="0.25">
      <c r="B9888" s="1"/>
      <c r="H9888" s="5"/>
    </row>
    <row r="9889" spans="2:8" x14ac:dyDescent="0.25">
      <c r="B9889" s="1"/>
      <c r="H9889" s="5"/>
    </row>
    <row r="9890" spans="2:8" x14ac:dyDescent="0.25">
      <c r="B9890" s="1"/>
      <c r="H9890" s="5"/>
    </row>
    <row r="9891" spans="2:8" x14ac:dyDescent="0.25">
      <c r="B9891" s="1"/>
      <c r="H9891" s="5"/>
    </row>
    <row r="9892" spans="2:8" x14ac:dyDescent="0.25">
      <c r="B9892" s="1"/>
      <c r="H9892" s="5"/>
    </row>
    <row r="9893" spans="2:8" x14ac:dyDescent="0.25">
      <c r="B9893" s="1"/>
      <c r="H9893" s="5"/>
    </row>
    <row r="9894" spans="2:8" x14ac:dyDescent="0.25">
      <c r="B9894" s="1"/>
      <c r="H9894" s="5"/>
    </row>
    <row r="9895" spans="2:8" x14ac:dyDescent="0.25">
      <c r="B9895" s="1"/>
      <c r="H9895" s="5"/>
    </row>
    <row r="9896" spans="2:8" x14ac:dyDescent="0.25">
      <c r="B9896" s="1"/>
      <c r="H9896" s="5"/>
    </row>
    <row r="9897" spans="2:8" x14ac:dyDescent="0.25">
      <c r="B9897" s="1"/>
      <c r="H9897" s="5"/>
    </row>
    <row r="9898" spans="2:8" x14ac:dyDescent="0.25">
      <c r="B9898" s="1"/>
      <c r="H9898" s="5"/>
    </row>
    <row r="9899" spans="2:8" x14ac:dyDescent="0.25">
      <c r="B9899" s="1"/>
      <c r="H9899" s="5"/>
    </row>
    <row r="9900" spans="2:8" x14ac:dyDescent="0.25">
      <c r="B9900" s="1"/>
      <c r="H9900" s="5"/>
    </row>
    <row r="9901" spans="2:8" x14ac:dyDescent="0.25">
      <c r="B9901" s="1"/>
      <c r="H9901" s="5"/>
    </row>
    <row r="9902" spans="2:8" x14ac:dyDescent="0.25">
      <c r="B9902" s="1"/>
      <c r="H9902" s="5"/>
    </row>
    <row r="9903" spans="2:8" x14ac:dyDescent="0.25">
      <c r="B9903" s="1"/>
      <c r="H9903" s="5"/>
    </row>
    <row r="9904" spans="2:8" x14ac:dyDescent="0.25">
      <c r="B9904" s="1"/>
      <c r="H9904" s="5"/>
    </row>
    <row r="9905" spans="2:8" x14ac:dyDescent="0.25">
      <c r="B9905" s="1"/>
      <c r="H9905" s="5"/>
    </row>
    <row r="9906" spans="2:8" x14ac:dyDescent="0.25">
      <c r="B9906" s="1"/>
      <c r="H9906" s="5"/>
    </row>
    <row r="9907" spans="2:8" x14ac:dyDescent="0.25">
      <c r="B9907" s="1"/>
      <c r="H9907" s="5"/>
    </row>
    <row r="9908" spans="2:8" x14ac:dyDescent="0.25">
      <c r="B9908" s="1"/>
      <c r="H9908" s="5"/>
    </row>
    <row r="9909" spans="2:8" x14ac:dyDescent="0.25">
      <c r="B9909" s="1"/>
      <c r="H9909" s="5"/>
    </row>
    <row r="9910" spans="2:8" x14ac:dyDescent="0.25">
      <c r="B9910" s="1"/>
      <c r="H9910" s="5"/>
    </row>
    <row r="9911" spans="2:8" x14ac:dyDescent="0.25">
      <c r="B9911" s="1"/>
      <c r="H9911" s="5"/>
    </row>
    <row r="9912" spans="2:8" x14ac:dyDescent="0.25">
      <c r="B9912" s="1"/>
      <c r="H9912" s="5"/>
    </row>
    <row r="9913" spans="2:8" x14ac:dyDescent="0.25">
      <c r="B9913" s="1"/>
      <c r="H9913" s="5"/>
    </row>
    <row r="9914" spans="2:8" x14ac:dyDescent="0.25">
      <c r="B9914" s="1"/>
      <c r="H9914" s="5"/>
    </row>
    <row r="9915" spans="2:8" x14ac:dyDescent="0.25">
      <c r="B9915" s="1"/>
      <c r="H9915" s="5"/>
    </row>
    <row r="9916" spans="2:8" x14ac:dyDescent="0.25">
      <c r="B9916" s="1"/>
      <c r="H9916" s="5"/>
    </row>
    <row r="9917" spans="2:8" x14ac:dyDescent="0.25">
      <c r="B9917" s="1"/>
      <c r="H9917" s="5"/>
    </row>
    <row r="9918" spans="2:8" x14ac:dyDescent="0.25">
      <c r="B9918" s="1"/>
      <c r="H9918" s="5"/>
    </row>
    <row r="9919" spans="2:8" x14ac:dyDescent="0.25">
      <c r="B9919" s="1"/>
      <c r="H9919" s="5"/>
    </row>
    <row r="9920" spans="2:8" x14ac:dyDescent="0.25">
      <c r="B9920" s="1"/>
      <c r="H9920" s="5"/>
    </row>
    <row r="9921" spans="2:8" x14ac:dyDescent="0.25">
      <c r="B9921" s="1"/>
      <c r="H9921" s="5"/>
    </row>
    <row r="9922" spans="2:8" x14ac:dyDescent="0.25">
      <c r="B9922" s="1"/>
      <c r="H9922" s="5"/>
    </row>
    <row r="9923" spans="2:8" x14ac:dyDescent="0.25">
      <c r="B9923" s="1"/>
      <c r="H9923" s="5"/>
    </row>
    <row r="9924" spans="2:8" x14ac:dyDescent="0.25">
      <c r="B9924" s="1"/>
      <c r="H9924" s="5"/>
    </row>
    <row r="9925" spans="2:8" x14ac:dyDescent="0.25">
      <c r="B9925" s="1"/>
      <c r="H9925" s="5"/>
    </row>
    <row r="9926" spans="2:8" x14ac:dyDescent="0.25">
      <c r="B9926" s="1"/>
      <c r="H9926" s="5"/>
    </row>
    <row r="9927" spans="2:8" x14ac:dyDescent="0.25">
      <c r="B9927" s="1"/>
      <c r="H9927" s="5"/>
    </row>
    <row r="9928" spans="2:8" x14ac:dyDescent="0.25">
      <c r="B9928" s="1"/>
      <c r="H9928" s="5"/>
    </row>
    <row r="9929" spans="2:8" x14ac:dyDescent="0.25">
      <c r="B9929" s="1"/>
      <c r="H9929" s="5"/>
    </row>
    <row r="9930" spans="2:8" x14ac:dyDescent="0.25">
      <c r="B9930" s="1"/>
      <c r="H9930" s="5"/>
    </row>
    <row r="9931" spans="2:8" x14ac:dyDescent="0.25">
      <c r="B9931" s="1"/>
      <c r="H9931" s="5"/>
    </row>
    <row r="9932" spans="2:8" x14ac:dyDescent="0.25">
      <c r="B9932" s="1"/>
      <c r="H9932" s="5"/>
    </row>
    <row r="9933" spans="2:8" x14ac:dyDescent="0.25">
      <c r="B9933" s="1"/>
      <c r="H9933" s="5"/>
    </row>
    <row r="9934" spans="2:8" x14ac:dyDescent="0.25">
      <c r="B9934" s="1"/>
      <c r="H9934" s="5"/>
    </row>
    <row r="9935" spans="2:8" x14ac:dyDescent="0.25">
      <c r="B9935" s="1"/>
      <c r="H9935" s="5"/>
    </row>
    <row r="9936" spans="2:8" x14ac:dyDescent="0.25">
      <c r="B9936" s="1"/>
      <c r="H9936" s="5"/>
    </row>
    <row r="9937" spans="2:8" x14ac:dyDescent="0.25">
      <c r="B9937" s="1"/>
      <c r="H9937" s="5"/>
    </row>
    <row r="9938" spans="2:8" x14ac:dyDescent="0.25">
      <c r="B9938" s="1"/>
      <c r="H9938" s="5"/>
    </row>
    <row r="9939" spans="2:8" x14ac:dyDescent="0.25">
      <c r="B9939" s="1"/>
      <c r="H9939" s="5"/>
    </row>
    <row r="9940" spans="2:8" x14ac:dyDescent="0.25">
      <c r="B9940" s="1"/>
      <c r="H9940" s="5"/>
    </row>
    <row r="9941" spans="2:8" x14ac:dyDescent="0.25">
      <c r="B9941" s="1"/>
      <c r="H9941" s="5"/>
    </row>
    <row r="9942" spans="2:8" x14ac:dyDescent="0.25">
      <c r="B9942" s="1"/>
      <c r="H9942" s="5"/>
    </row>
    <row r="9943" spans="2:8" x14ac:dyDescent="0.25">
      <c r="B9943" s="1"/>
      <c r="H9943" s="5"/>
    </row>
    <row r="9944" spans="2:8" x14ac:dyDescent="0.25">
      <c r="B9944" s="1"/>
      <c r="H9944" s="5"/>
    </row>
    <row r="9945" spans="2:8" x14ac:dyDescent="0.25">
      <c r="B9945" s="1"/>
      <c r="H9945" s="5"/>
    </row>
    <row r="9946" spans="2:8" x14ac:dyDescent="0.25">
      <c r="B9946" s="1"/>
      <c r="H9946" s="5"/>
    </row>
    <row r="9947" spans="2:8" x14ac:dyDescent="0.25">
      <c r="B9947" s="1"/>
      <c r="H9947" s="5"/>
    </row>
    <row r="9948" spans="2:8" x14ac:dyDescent="0.25">
      <c r="B9948" s="1"/>
      <c r="H9948" s="5"/>
    </row>
    <row r="9949" spans="2:8" x14ac:dyDescent="0.25">
      <c r="B9949" s="1"/>
      <c r="H9949" s="5"/>
    </row>
    <row r="9950" spans="2:8" x14ac:dyDescent="0.25">
      <c r="B9950" s="1"/>
      <c r="H9950" s="5"/>
    </row>
    <row r="9951" spans="2:8" x14ac:dyDescent="0.25">
      <c r="B9951" s="1"/>
      <c r="H9951" s="5"/>
    </row>
    <row r="9952" spans="2:8" x14ac:dyDescent="0.25">
      <c r="B9952" s="1"/>
      <c r="H9952" s="5"/>
    </row>
    <row r="9953" spans="2:8" x14ac:dyDescent="0.25">
      <c r="B9953" s="1"/>
      <c r="H9953" s="5"/>
    </row>
    <row r="9954" spans="2:8" x14ac:dyDescent="0.25">
      <c r="B9954" s="1"/>
      <c r="H9954" s="5"/>
    </row>
    <row r="9955" spans="2:8" x14ac:dyDescent="0.25">
      <c r="B9955" s="1"/>
      <c r="H9955" s="5"/>
    </row>
    <row r="9956" spans="2:8" x14ac:dyDescent="0.25">
      <c r="B9956" s="1"/>
      <c r="H9956" s="5"/>
    </row>
    <row r="9957" spans="2:8" x14ac:dyDescent="0.25">
      <c r="B9957" s="1"/>
      <c r="H9957" s="5"/>
    </row>
    <row r="9958" spans="2:8" x14ac:dyDescent="0.25">
      <c r="B9958" s="1"/>
      <c r="H9958" s="5"/>
    </row>
    <row r="9959" spans="2:8" x14ac:dyDescent="0.25">
      <c r="B9959" s="1"/>
      <c r="H9959" s="5"/>
    </row>
    <row r="9960" spans="2:8" x14ac:dyDescent="0.25">
      <c r="B9960" s="1"/>
      <c r="H9960" s="5"/>
    </row>
    <row r="9961" spans="2:8" x14ac:dyDescent="0.25">
      <c r="B9961" s="1"/>
      <c r="H9961" s="5"/>
    </row>
    <row r="9962" spans="2:8" x14ac:dyDescent="0.25">
      <c r="B9962" s="1"/>
      <c r="H9962" s="5"/>
    </row>
    <row r="9963" spans="2:8" x14ac:dyDescent="0.25">
      <c r="B9963" s="1"/>
      <c r="H9963" s="5"/>
    </row>
    <row r="9964" spans="2:8" x14ac:dyDescent="0.25">
      <c r="B9964" s="1"/>
      <c r="H9964" s="5"/>
    </row>
    <row r="9965" spans="2:8" x14ac:dyDescent="0.25">
      <c r="B9965" s="1"/>
      <c r="H9965" s="5"/>
    </row>
    <row r="9966" spans="2:8" x14ac:dyDescent="0.25">
      <c r="B9966" s="1"/>
      <c r="H9966" s="5"/>
    </row>
    <row r="9967" spans="2:8" x14ac:dyDescent="0.25">
      <c r="B9967" s="1"/>
      <c r="H9967" s="5"/>
    </row>
    <row r="9968" spans="2:8" x14ac:dyDescent="0.25">
      <c r="B9968" s="1"/>
      <c r="H9968" s="5"/>
    </row>
    <row r="9969" spans="2:8" x14ac:dyDescent="0.25">
      <c r="B9969" s="1"/>
      <c r="H9969" s="5"/>
    </row>
    <row r="9970" spans="2:8" x14ac:dyDescent="0.25">
      <c r="B9970" s="1"/>
      <c r="H9970" s="5"/>
    </row>
    <row r="9971" spans="2:8" x14ac:dyDescent="0.25">
      <c r="B9971" s="1"/>
      <c r="H9971" s="5"/>
    </row>
    <row r="9972" spans="2:8" x14ac:dyDescent="0.25">
      <c r="B9972" s="1"/>
      <c r="H9972" s="5"/>
    </row>
    <row r="9973" spans="2:8" x14ac:dyDescent="0.25">
      <c r="B9973" s="1"/>
      <c r="H9973" s="5"/>
    </row>
    <row r="9974" spans="2:8" x14ac:dyDescent="0.25">
      <c r="B9974" s="1"/>
      <c r="H9974" s="5"/>
    </row>
    <row r="9975" spans="2:8" x14ac:dyDescent="0.25">
      <c r="B9975" s="1"/>
      <c r="H9975" s="5"/>
    </row>
    <row r="9976" spans="2:8" x14ac:dyDescent="0.25">
      <c r="B9976" s="1"/>
      <c r="H9976" s="5"/>
    </row>
    <row r="9977" spans="2:8" x14ac:dyDescent="0.25">
      <c r="B9977" s="1"/>
      <c r="H9977" s="5"/>
    </row>
    <row r="9978" spans="2:8" x14ac:dyDescent="0.25">
      <c r="B9978" s="1"/>
      <c r="H9978" s="5"/>
    </row>
    <row r="9979" spans="2:8" x14ac:dyDescent="0.25">
      <c r="B9979" s="1"/>
      <c r="H9979" s="5"/>
    </row>
    <row r="9980" spans="2:8" x14ac:dyDescent="0.25">
      <c r="B9980" s="1"/>
      <c r="H9980" s="5"/>
    </row>
    <row r="9981" spans="2:8" x14ac:dyDescent="0.25">
      <c r="B9981" s="1"/>
      <c r="H9981" s="5"/>
    </row>
    <row r="9982" spans="2:8" x14ac:dyDescent="0.25">
      <c r="B9982" s="1"/>
      <c r="H9982" s="5"/>
    </row>
    <row r="9983" spans="2:8" x14ac:dyDescent="0.25">
      <c r="B9983" s="1"/>
      <c r="H9983" s="5"/>
    </row>
    <row r="9984" spans="2:8" x14ac:dyDescent="0.25">
      <c r="B9984" s="1"/>
      <c r="H9984" s="5"/>
    </row>
    <row r="9985" spans="2:8" x14ac:dyDescent="0.25">
      <c r="B9985" s="1"/>
      <c r="H9985" s="5"/>
    </row>
    <row r="9986" spans="2:8" x14ac:dyDescent="0.25">
      <c r="B9986" s="1"/>
      <c r="H9986" s="5"/>
    </row>
    <row r="9987" spans="2:8" x14ac:dyDescent="0.25">
      <c r="B9987" s="1"/>
      <c r="H9987" s="5"/>
    </row>
    <row r="9988" spans="2:8" x14ac:dyDescent="0.25">
      <c r="B9988" s="1"/>
      <c r="H9988" s="5"/>
    </row>
    <row r="9989" spans="2:8" x14ac:dyDescent="0.25">
      <c r="B9989" s="1"/>
      <c r="H9989" s="5"/>
    </row>
    <row r="9990" spans="2:8" x14ac:dyDescent="0.25">
      <c r="B9990" s="1"/>
      <c r="H9990" s="5"/>
    </row>
    <row r="9991" spans="2:8" x14ac:dyDescent="0.25">
      <c r="B9991" s="1"/>
      <c r="H9991" s="5"/>
    </row>
    <row r="9992" spans="2:8" x14ac:dyDescent="0.25">
      <c r="B9992" s="1"/>
      <c r="H9992" s="5"/>
    </row>
    <row r="9993" spans="2:8" x14ac:dyDescent="0.25">
      <c r="B9993" s="1"/>
      <c r="H9993" s="5"/>
    </row>
    <row r="9994" spans="2:8" x14ac:dyDescent="0.25">
      <c r="B9994" s="1"/>
      <c r="H9994" s="5"/>
    </row>
    <row r="9995" spans="2:8" x14ac:dyDescent="0.25">
      <c r="B9995" s="1"/>
      <c r="H9995" s="5"/>
    </row>
    <row r="9996" spans="2:8" x14ac:dyDescent="0.25">
      <c r="B9996" s="1"/>
      <c r="H9996" s="5"/>
    </row>
    <row r="9997" spans="2:8" x14ac:dyDescent="0.25">
      <c r="B9997" s="1"/>
      <c r="H9997" s="5"/>
    </row>
    <row r="9998" spans="2:8" x14ac:dyDescent="0.25">
      <c r="B9998" s="1"/>
      <c r="H9998" s="5"/>
    </row>
    <row r="9999" spans="2:8" x14ac:dyDescent="0.25">
      <c r="B9999" s="1"/>
      <c r="H9999" s="5"/>
    </row>
    <row r="10000" spans="2:8" x14ac:dyDescent="0.25">
      <c r="B10000" s="1"/>
      <c r="H10000" s="5"/>
    </row>
    <row r="10001" spans="2:8" x14ac:dyDescent="0.25">
      <c r="B10001" s="1"/>
      <c r="H10001" s="5"/>
    </row>
    <row r="10002" spans="2:8" x14ac:dyDescent="0.25">
      <c r="B10002" s="1"/>
      <c r="H10002" s="5"/>
    </row>
    <row r="10003" spans="2:8" x14ac:dyDescent="0.25">
      <c r="B10003" s="1"/>
      <c r="H10003" s="5"/>
    </row>
    <row r="10004" spans="2:8" x14ac:dyDescent="0.25">
      <c r="B10004" s="1"/>
      <c r="H10004" s="5"/>
    </row>
    <row r="10005" spans="2:8" x14ac:dyDescent="0.25">
      <c r="B10005" s="1"/>
      <c r="H10005" s="5"/>
    </row>
    <row r="10006" spans="2:8" x14ac:dyDescent="0.25">
      <c r="B10006" s="1"/>
      <c r="H10006" s="5"/>
    </row>
    <row r="10007" spans="2:8" x14ac:dyDescent="0.25">
      <c r="B10007" s="1"/>
      <c r="H10007" s="5"/>
    </row>
    <row r="10008" spans="2:8" x14ac:dyDescent="0.25">
      <c r="B10008" s="1"/>
      <c r="H10008" s="5"/>
    </row>
    <row r="10009" spans="2:8" x14ac:dyDescent="0.25">
      <c r="B10009" s="1"/>
      <c r="H10009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46037</v>
      </c>
      <c r="B2">
        <f ca="1">SUMIFS(Tabela1[Ativa (kwh)],Tabela1[data],A2)</f>
        <v>15137.640000000001</v>
      </c>
      <c r="C2">
        <f ca="1">SUMIFS(Tabela1[Reativa (kvarh)],Tabela1[data],A2)</f>
        <v>3173.0999999999995</v>
      </c>
      <c r="D2">
        <f t="shared" ref="D2" ca="1" si="1">B2/1000</f>
        <v>15.137640000000001</v>
      </c>
      <c r="E2">
        <f t="shared" ref="E2" ca="1" si="2">C2/1000</f>
        <v>3.1730999999999994</v>
      </c>
    </row>
    <row r="3" spans="1:5" x14ac:dyDescent="0.25">
      <c r="A3" s="1">
        <f t="shared" ca="1" si="0"/>
        <v>46038</v>
      </c>
      <c r="B3">
        <f ca="1">SUMIFS(Tabela1[Ativa (kwh)],Tabela1[data],A3)</f>
        <v>14939.820000000002</v>
      </c>
      <c r="C3">
        <f ca="1">SUMIFS(Tabela1[Reativa (kvarh)],Tabela1[data],A3)</f>
        <v>3063.48</v>
      </c>
      <c r="D3">
        <f t="shared" ref="D3" ca="1" si="3">B3/1000</f>
        <v>14.939820000000001</v>
      </c>
      <c r="E3">
        <f t="shared" ref="E3" ca="1" si="4">C3/1000</f>
        <v>3.0634800000000002</v>
      </c>
    </row>
    <row r="4" spans="1:5" x14ac:dyDescent="0.25">
      <c r="A4" s="1">
        <f t="shared" ca="1" si="0"/>
        <v>46039</v>
      </c>
      <c r="B4">
        <f ca="1">SUMIFS(Tabela1[Ativa (kwh)],Tabela1[data],A4)</f>
        <v>14940.660000000002</v>
      </c>
      <c r="C4">
        <f ca="1">SUMIFS(Tabela1[Reativa (kvarh)],Tabela1[data],A4)</f>
        <v>2964.78</v>
      </c>
      <c r="D4">
        <f t="shared" ref="D4:D20" ca="1" si="5">B4/1000</f>
        <v>14.940660000000001</v>
      </c>
      <c r="E4">
        <f t="shared" ref="E4:E20" ca="1" si="6">C4/1000</f>
        <v>2.9647800000000002</v>
      </c>
    </row>
    <row r="5" spans="1:5" x14ac:dyDescent="0.25">
      <c r="A5" s="1">
        <f t="shared" ca="1" si="0"/>
        <v>46040</v>
      </c>
      <c r="B5">
        <f ca="1">SUMIFS(Tabela1[Ativa (kwh)],Tabela1[data],A5)</f>
        <v>14079.660000000002</v>
      </c>
      <c r="C5">
        <f ca="1">SUMIFS(Tabela1[Reativa (kvarh)],Tabela1[data],A5)</f>
        <v>2550.2399999999998</v>
      </c>
      <c r="D5">
        <f t="shared" ca="1" si="5"/>
        <v>14.079660000000002</v>
      </c>
      <c r="E5">
        <f t="shared" ca="1" si="6"/>
        <v>2.5502399999999996</v>
      </c>
    </row>
    <row r="6" spans="1:5" x14ac:dyDescent="0.25">
      <c r="A6" s="1">
        <f t="shared" ca="1" si="0"/>
        <v>46041</v>
      </c>
      <c r="B6">
        <f ca="1">SUMIFS(Tabela1[Ativa (kwh)],Tabela1[data],A6)</f>
        <v>14305.62</v>
      </c>
      <c r="C6">
        <f ca="1">SUMIFS(Tabela1[Reativa (kvarh)],Tabela1[data],A6)</f>
        <v>2668.26</v>
      </c>
      <c r="D6">
        <f t="shared" ca="1" si="5"/>
        <v>14.305620000000001</v>
      </c>
      <c r="E6">
        <f t="shared" ca="1" si="6"/>
        <v>2.6682600000000001</v>
      </c>
    </row>
    <row r="7" spans="1:5" x14ac:dyDescent="0.25">
      <c r="A7" s="1">
        <f t="shared" ca="1" si="0"/>
        <v>46042</v>
      </c>
      <c r="B7">
        <f ca="1">SUMIFS(Tabela1[Ativa (kwh)],Tabela1[data],A7)</f>
        <v>12807.479999999998</v>
      </c>
      <c r="C7">
        <f ca="1">SUMIFS(Tabela1[Reativa (kvarh)],Tabela1[data],A7)</f>
        <v>1900.5</v>
      </c>
      <c r="D7">
        <f t="shared" ca="1" si="5"/>
        <v>12.807479999999998</v>
      </c>
      <c r="E7">
        <f t="shared" ca="1" si="6"/>
        <v>1.9005000000000001</v>
      </c>
    </row>
    <row r="8" spans="1:5" x14ac:dyDescent="0.25">
      <c r="A8" s="1">
        <f t="shared" ca="1" si="0"/>
        <v>46043</v>
      </c>
      <c r="B8">
        <f ca="1">SUMIFS(Tabela1[Ativa (kwh)],Tabela1[data],A8)</f>
        <v>12381.18</v>
      </c>
      <c r="C8">
        <f ca="1">SUMIFS(Tabela1[Reativa (kvarh)],Tabela1[data],A8)</f>
        <v>1631.28</v>
      </c>
      <c r="D8">
        <f t="shared" ca="1" si="5"/>
        <v>12.381180000000001</v>
      </c>
      <c r="E8">
        <f t="shared" ca="1" si="6"/>
        <v>1.6312800000000001</v>
      </c>
    </row>
    <row r="9" spans="1:5" x14ac:dyDescent="0.25">
      <c r="A9" s="1">
        <f t="shared" ca="1" si="0"/>
        <v>46044</v>
      </c>
      <c r="B9">
        <f ca="1">SUMIFS(Tabela1[Ativa (kwh)],Tabela1[data],A9)</f>
        <v>12840.659999999998</v>
      </c>
      <c r="C9">
        <f ca="1">SUMIFS(Tabela1[Reativa (kvarh)],Tabela1[data],A9)</f>
        <v>1766.9399999999998</v>
      </c>
      <c r="D9">
        <f t="shared" ca="1" si="5"/>
        <v>12.840659999999998</v>
      </c>
      <c r="E9">
        <f t="shared" ca="1" si="6"/>
        <v>1.7669399999999997</v>
      </c>
    </row>
    <row r="10" spans="1:5" x14ac:dyDescent="0.25">
      <c r="A10" s="1">
        <f t="shared" ca="1" si="0"/>
        <v>46045</v>
      </c>
      <c r="B10">
        <f ca="1">SUMIFS(Tabela1[Ativa (kwh)],Tabela1[data],A10)</f>
        <v>13196.400000000001</v>
      </c>
      <c r="C10">
        <f ca="1">SUMIFS(Tabela1[Reativa (kvarh)],Tabela1[data],A10)</f>
        <v>1843.8000000000002</v>
      </c>
      <c r="D10">
        <f t="shared" ca="1" si="5"/>
        <v>13.196400000000001</v>
      </c>
      <c r="E10">
        <f t="shared" ca="1" si="6"/>
        <v>1.8438000000000001</v>
      </c>
    </row>
    <row r="11" spans="1:5" x14ac:dyDescent="0.25">
      <c r="A11" s="1">
        <f t="shared" ca="1" si="0"/>
        <v>46046</v>
      </c>
      <c r="B11">
        <f ca="1">SUMIFS(Tabela1[Ativa (kwh)],Tabela1[data],A11)</f>
        <v>13135.08</v>
      </c>
      <c r="C11">
        <f ca="1">SUMIFS(Tabela1[Reativa (kvarh)],Tabela1[data],A11)</f>
        <v>1895.8800000000003</v>
      </c>
      <c r="D11">
        <f t="shared" ca="1" si="5"/>
        <v>13.13508</v>
      </c>
      <c r="E11">
        <f t="shared" ca="1" si="6"/>
        <v>1.8958800000000002</v>
      </c>
    </row>
    <row r="12" spans="1:5" x14ac:dyDescent="0.25">
      <c r="A12" s="1">
        <f t="shared" ca="1" si="0"/>
        <v>46047</v>
      </c>
      <c r="B12">
        <f ca="1">SUMIFS(Tabela1[Ativa (kwh)],Tabela1[data],A12)</f>
        <v>12241.32</v>
      </c>
      <c r="C12">
        <f ca="1">SUMIFS(Tabela1[Reativa (kvarh)],Tabela1[data],A12)</f>
        <v>1618.68</v>
      </c>
      <c r="D12">
        <f t="shared" ca="1" si="5"/>
        <v>12.24132</v>
      </c>
      <c r="E12">
        <f t="shared" ca="1" si="6"/>
        <v>1.6186800000000001</v>
      </c>
    </row>
    <row r="13" spans="1:5" x14ac:dyDescent="0.25">
      <c r="A13" s="1">
        <f t="shared" ca="1" si="0"/>
        <v>46048</v>
      </c>
      <c r="B13">
        <f ca="1">SUMIFS(Tabela1[Ativa (kwh)],Tabela1[data],A13)</f>
        <v>13613.039999999999</v>
      </c>
      <c r="C13">
        <f ca="1">SUMIFS(Tabela1[Reativa (kvarh)],Tabela1[data],A13)</f>
        <v>2065.1400000000003</v>
      </c>
      <c r="D13">
        <f t="shared" ca="1" si="5"/>
        <v>13.61304</v>
      </c>
      <c r="E13">
        <f t="shared" ca="1" si="6"/>
        <v>2.0651400000000004</v>
      </c>
    </row>
    <row r="14" spans="1:5" x14ac:dyDescent="0.25">
      <c r="A14" s="1">
        <f t="shared" ref="A14:A20" ca="1" si="7">A15-1</f>
        <v>46049</v>
      </c>
      <c r="B14">
        <f ca="1">SUMIFS(Tabela1[Ativa (kwh)],Tabela1[data],A14)</f>
        <v>14142.659999999998</v>
      </c>
      <c r="C14">
        <f ca="1">SUMIFS(Tabela1[Reativa (kvarh)],Tabela1[data],A14)</f>
        <v>2213.4</v>
      </c>
      <c r="D14">
        <f t="shared" ca="1" si="5"/>
        <v>14.142659999999998</v>
      </c>
      <c r="E14">
        <f t="shared" ca="1" si="6"/>
        <v>2.2134</v>
      </c>
    </row>
    <row r="15" spans="1:5" x14ac:dyDescent="0.25">
      <c r="A15" s="1">
        <f t="shared" ca="1" si="7"/>
        <v>46050</v>
      </c>
      <c r="B15">
        <f ca="1">SUMIFS(Tabela1[Ativa (kwh)],Tabela1[data],A15)</f>
        <v>14193.899999999998</v>
      </c>
      <c r="C15">
        <f ca="1">SUMIFS(Tabela1[Reativa (kvarh)],Tabela1[data],A15)</f>
        <v>2321.3400000000006</v>
      </c>
      <c r="D15">
        <f t="shared" ca="1" si="5"/>
        <v>14.193899999999998</v>
      </c>
      <c r="E15">
        <f t="shared" ca="1" si="6"/>
        <v>2.3213400000000006</v>
      </c>
    </row>
    <row r="16" spans="1:5" x14ac:dyDescent="0.25">
      <c r="A16" s="1">
        <f t="shared" ca="1" si="7"/>
        <v>46051</v>
      </c>
      <c r="B16">
        <f ca="1">SUMIFS(Tabela1[Ativa (kwh)],Tabela1[data],A16)</f>
        <v>14400.539999999999</v>
      </c>
      <c r="C16">
        <f ca="1">SUMIFS(Tabela1[Reativa (kvarh)],Tabela1[data],A16)</f>
        <v>2362.4999999999995</v>
      </c>
      <c r="D16">
        <f t="shared" ca="1" si="5"/>
        <v>14.400539999999999</v>
      </c>
      <c r="E16">
        <f t="shared" ca="1" si="6"/>
        <v>2.3624999999999994</v>
      </c>
    </row>
    <row r="17" spans="1:5" x14ac:dyDescent="0.25">
      <c r="A17" s="1">
        <f t="shared" ca="1" si="7"/>
        <v>46052</v>
      </c>
      <c r="B17">
        <f ca="1">SUMIFS(Tabela1[Ativa (kwh)],Tabela1[data],A17)</f>
        <v>14121.660000000002</v>
      </c>
      <c r="C17">
        <f ca="1">SUMIFS(Tabela1[Reativa (kvarh)],Tabela1[data],A17)</f>
        <v>2515.8000000000002</v>
      </c>
      <c r="D17">
        <f t="shared" ca="1" si="5"/>
        <v>14.121660000000002</v>
      </c>
      <c r="E17">
        <f t="shared" ca="1" si="6"/>
        <v>2.5158</v>
      </c>
    </row>
    <row r="18" spans="1:5" x14ac:dyDescent="0.25">
      <c r="A18" s="1">
        <f t="shared" ca="1" si="7"/>
        <v>46053</v>
      </c>
      <c r="B18">
        <f ca="1">SUMIFS(Tabela1[Ativa (kwh)],Tabela1[data],A18)</f>
        <v>14013.720000000001</v>
      </c>
      <c r="C18">
        <f ca="1">SUMIFS(Tabela1[Reativa (kvarh)],Tabela1[data],A18)</f>
        <v>2095.8000000000002</v>
      </c>
      <c r="D18">
        <f t="shared" ca="1" si="5"/>
        <v>14.013720000000001</v>
      </c>
      <c r="E18">
        <f t="shared" ca="1" si="6"/>
        <v>2.0958000000000001</v>
      </c>
    </row>
    <row r="19" spans="1:5" x14ac:dyDescent="0.25">
      <c r="A19" s="1">
        <f t="shared" ca="1" si="7"/>
        <v>46054</v>
      </c>
      <c r="B19">
        <f ca="1">SUMIFS(Tabela1[Ativa (kwh)],Tabela1[data],A19)</f>
        <v>12420.239999999998</v>
      </c>
      <c r="C19">
        <f ca="1">SUMIFS(Tabela1[Reativa (kvarh)],Tabela1[data],A19)</f>
        <v>1626.24</v>
      </c>
      <c r="D19">
        <f t="shared" ca="1" si="5"/>
        <v>12.420239999999998</v>
      </c>
      <c r="E19">
        <f t="shared" ca="1" si="6"/>
        <v>1.6262399999999999</v>
      </c>
    </row>
    <row r="20" spans="1:5" x14ac:dyDescent="0.25">
      <c r="A20" s="1">
        <f t="shared" ca="1" si="7"/>
        <v>46055</v>
      </c>
      <c r="B20">
        <f ca="1">SUMIFS(Tabela1[Ativa (kwh)],Tabela1[data],A20)</f>
        <v>13443.359999999999</v>
      </c>
      <c r="C20">
        <f ca="1">SUMIFS(Tabela1[Reativa (kvarh)],Tabela1[data],A20)</f>
        <v>2128.14</v>
      </c>
      <c r="D20">
        <f t="shared" ca="1" si="5"/>
        <v>13.443359999999998</v>
      </c>
      <c r="E20">
        <f t="shared" ca="1" si="6"/>
        <v>2.1281399999999997</v>
      </c>
    </row>
    <row r="21" spans="1:5" x14ac:dyDescent="0.25">
      <c r="A21" s="1">
        <f t="shared" ref="A21:A26" ca="1" si="8">A22-1</f>
        <v>46056</v>
      </c>
      <c r="B21">
        <f ca="1">SUMIFS(Tabela1[Ativa (kwh)],Tabela1[data],A21)</f>
        <v>14899.92</v>
      </c>
      <c r="C21">
        <f ca="1">SUMIFS(Tabela1[Reativa (kvarh)],Tabela1[data],A21)</f>
        <v>2819.4600000000005</v>
      </c>
      <c r="D21">
        <f ca="1">B21/1000</f>
        <v>14.89992</v>
      </c>
      <c r="E21">
        <f ca="1">C21/1000</f>
        <v>2.8194600000000003</v>
      </c>
    </row>
    <row r="22" spans="1:5" x14ac:dyDescent="0.25">
      <c r="A22" s="1">
        <f t="shared" ca="1" si="8"/>
        <v>46057</v>
      </c>
      <c r="B22">
        <f ca="1">SUMIFS(Tabela1[Ativa (kwh)],Tabela1[data],A22)</f>
        <v>13592.880000000001</v>
      </c>
      <c r="C22">
        <f ca="1">SUMIFS(Tabela1[Reativa (kvarh)],Tabela1[data],A22)</f>
        <v>2151.2400000000002</v>
      </c>
      <c r="D22">
        <f t="shared" ref="D22:D30" ca="1" si="9">B22/1000</f>
        <v>13.592880000000001</v>
      </c>
      <c r="E22">
        <f t="shared" ref="E22:E30" ca="1" si="10">C22/1000</f>
        <v>2.15124</v>
      </c>
    </row>
    <row r="23" spans="1:5" x14ac:dyDescent="0.25">
      <c r="A23" s="1">
        <f t="shared" ca="1" si="8"/>
        <v>46058</v>
      </c>
      <c r="B23">
        <f ca="1">SUMIFS(Tabela1[Ativa (kwh)],Tabela1[data],A23)</f>
        <v>14730.240000000003</v>
      </c>
      <c r="C23">
        <f ca="1">SUMIFS(Tabela1[Reativa (kvarh)],Tabela1[data],A23)</f>
        <v>2797.2</v>
      </c>
      <c r="D23">
        <f t="shared" ca="1" si="9"/>
        <v>14.730240000000004</v>
      </c>
      <c r="E23">
        <f t="shared" ca="1" si="10"/>
        <v>2.7971999999999997</v>
      </c>
    </row>
    <row r="24" spans="1:5" x14ac:dyDescent="0.25">
      <c r="A24" s="1">
        <f t="shared" ca="1" si="8"/>
        <v>46059</v>
      </c>
      <c r="B24">
        <f ca="1">SUMIFS(Tabela1[Ativa (kwh)],Tabela1[data],A24)</f>
        <v>14102.339999999998</v>
      </c>
      <c r="C24">
        <f ca="1">SUMIFS(Tabela1[Reativa (kvarh)],Tabela1[data],A24)</f>
        <v>2479.6800000000003</v>
      </c>
      <c r="D24">
        <f t="shared" ca="1" si="9"/>
        <v>14.102339999999998</v>
      </c>
      <c r="E24">
        <f t="shared" ca="1" si="10"/>
        <v>2.4796800000000001</v>
      </c>
    </row>
    <row r="25" spans="1:5" x14ac:dyDescent="0.25">
      <c r="A25" s="1">
        <f t="shared" ca="1" si="8"/>
        <v>46060</v>
      </c>
      <c r="B25">
        <f ca="1">SUMIFS(Tabela1[Ativa (kwh)],Tabela1[data],A25)</f>
        <v>14551.739999999998</v>
      </c>
      <c r="C25">
        <f ca="1">SUMIFS(Tabela1[Reativa (kvarh)],Tabela1[data],A25)</f>
        <v>2609.46</v>
      </c>
      <c r="D25">
        <f t="shared" ca="1" si="9"/>
        <v>14.551739999999999</v>
      </c>
      <c r="E25">
        <f t="shared" ca="1" si="10"/>
        <v>2.6094599999999999</v>
      </c>
    </row>
    <row r="26" spans="1:5" x14ac:dyDescent="0.25">
      <c r="A26" s="1">
        <f t="shared" ca="1" si="8"/>
        <v>46061</v>
      </c>
      <c r="B26">
        <f ca="1">SUMIFS(Tabela1[Ativa (kwh)],Tabela1[data],A26)</f>
        <v>10849.439999999999</v>
      </c>
      <c r="C26">
        <f ca="1">SUMIFS(Tabela1[Reativa (kvarh)],Tabela1[data],A26)</f>
        <v>1142.82</v>
      </c>
      <c r="D26">
        <f t="shared" ca="1" si="9"/>
        <v>10.84944</v>
      </c>
      <c r="E26">
        <f t="shared" ca="1" si="10"/>
        <v>1.1428199999999999</v>
      </c>
    </row>
    <row r="27" spans="1:5" x14ac:dyDescent="0.25">
      <c r="A27" s="1">
        <f ca="1">A28-1</f>
        <v>46062</v>
      </c>
      <c r="B27">
        <f ca="1">SUMIFS(Tabela1[Ativa (kwh)],Tabela1[data],A27)</f>
        <v>13959.96</v>
      </c>
      <c r="C27">
        <f ca="1">SUMIFS(Tabela1[Reativa (kvarh)],Tabela1[data],A27)</f>
        <v>2362.08</v>
      </c>
      <c r="D27">
        <f t="shared" ca="1" si="9"/>
        <v>13.959959999999999</v>
      </c>
      <c r="E27">
        <f t="shared" ca="1" si="10"/>
        <v>2.3620799999999997</v>
      </c>
    </row>
    <row r="28" spans="1:5" x14ac:dyDescent="0.25">
      <c r="A28" s="1">
        <f ca="1">A29-1</f>
        <v>46063</v>
      </c>
      <c r="B28">
        <f ca="1">SUMIFS(Tabela1[Ativa (kwh)],Tabela1[data],A28)</f>
        <v>13565.580000000002</v>
      </c>
      <c r="C28">
        <f ca="1">SUMIFS(Tabela1[Reativa (kvarh)],Tabela1[data],A28)</f>
        <v>2019.3600000000001</v>
      </c>
      <c r="D28">
        <f t="shared" ca="1" si="9"/>
        <v>13.565580000000002</v>
      </c>
      <c r="E28">
        <f t="shared" ca="1" si="10"/>
        <v>2.0193600000000003</v>
      </c>
    </row>
    <row r="29" spans="1:5" x14ac:dyDescent="0.25">
      <c r="A29" s="1">
        <f ca="1">A30-1</f>
        <v>46064</v>
      </c>
      <c r="B29">
        <f ca="1">SUMIFS(Tabela1[Ativa (kwh)],Tabela1[data],A29)</f>
        <v>14547.119999999999</v>
      </c>
      <c r="C29">
        <f ca="1">SUMIFS(Tabela1[Reativa (kvarh)],Tabela1[data],A29)</f>
        <v>2474.6400000000003</v>
      </c>
      <c r="D29">
        <f t="shared" ca="1" si="9"/>
        <v>14.54712</v>
      </c>
      <c r="E29">
        <f t="shared" ca="1" si="10"/>
        <v>2.4746400000000004</v>
      </c>
    </row>
    <row r="30" spans="1:5" x14ac:dyDescent="0.25">
      <c r="A30" s="1">
        <f ca="1">TODAY()-1</f>
        <v>46065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46065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tabSelected="1" workbookViewId="0">
      <selection activeCell="D38" sqref="D3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150662.82000000015</v>
      </c>
      <c r="E15">
        <f>D15/1000</f>
        <v>150.66282000000015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customXml/itemProps3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2026-02-13T12:42:33Z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