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75" documentId="8_{8D12E28F-71B1-4F28-B6C5-4462CC8675C5}" xr6:coauthVersionLast="47" xr6:coauthVersionMax="47" xr10:uidLastSave="{9DA81A08-A9B4-4678-B31A-03192F912CD0}"/>
  <bookViews>
    <workbookView xWindow="-120" yWindow="-120" windowWidth="51840" windowHeight="21120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25" i="1" l="1"/>
  <c r="H10225" i="1"/>
  <c r="I10224" i="1"/>
  <c r="H10224" i="1"/>
  <c r="I10223" i="1"/>
  <c r="H10223" i="1"/>
  <c r="I10222" i="1"/>
  <c r="H10222" i="1"/>
  <c r="I10221" i="1"/>
  <c r="H10221" i="1"/>
  <c r="I10220" i="1"/>
  <c r="H10220" i="1"/>
  <c r="I10219" i="1"/>
  <c r="H10219" i="1"/>
  <c r="I10218" i="1"/>
  <c r="H10218" i="1"/>
  <c r="I10217" i="1"/>
  <c r="H10217" i="1"/>
  <c r="I10216" i="1"/>
  <c r="H10216" i="1"/>
  <c r="I10215" i="1"/>
  <c r="H10215" i="1"/>
  <c r="I10214" i="1"/>
  <c r="H10214" i="1"/>
  <c r="I10213" i="1"/>
  <c r="H10213" i="1"/>
  <c r="I10212" i="1"/>
  <c r="H10212" i="1"/>
  <c r="I10211" i="1"/>
  <c r="H10211" i="1"/>
  <c r="I10210" i="1"/>
  <c r="H10210" i="1"/>
  <c r="I10209" i="1"/>
  <c r="H10209" i="1"/>
  <c r="I10208" i="1"/>
  <c r="H10208" i="1"/>
  <c r="I10207" i="1"/>
  <c r="H10207" i="1"/>
  <c r="I10206" i="1"/>
  <c r="H10206" i="1"/>
  <c r="I10205" i="1"/>
  <c r="H10205" i="1"/>
  <c r="I10204" i="1"/>
  <c r="H10204" i="1"/>
  <c r="I10203" i="1"/>
  <c r="H10203" i="1"/>
  <c r="I10202" i="1"/>
  <c r="H10202" i="1"/>
  <c r="I10201" i="1"/>
  <c r="H10201" i="1"/>
  <c r="I10200" i="1"/>
  <c r="H10200" i="1"/>
  <c r="I10199" i="1"/>
  <c r="H10199" i="1"/>
  <c r="I10198" i="1"/>
  <c r="H10198" i="1"/>
  <c r="I10197" i="1"/>
  <c r="H10197" i="1"/>
  <c r="I10196" i="1"/>
  <c r="H10196" i="1"/>
  <c r="I10195" i="1"/>
  <c r="H10195" i="1"/>
  <c r="I10194" i="1"/>
  <c r="H10194" i="1"/>
  <c r="I10193" i="1"/>
  <c r="H10193" i="1"/>
  <c r="I10192" i="1"/>
  <c r="H10192" i="1"/>
  <c r="I10191" i="1"/>
  <c r="H10191" i="1"/>
  <c r="I10190" i="1"/>
  <c r="H10190" i="1"/>
  <c r="I10189" i="1"/>
  <c r="H10189" i="1"/>
  <c r="I10188" i="1"/>
  <c r="H10188" i="1"/>
  <c r="I10187" i="1"/>
  <c r="H10187" i="1"/>
  <c r="I10186" i="1"/>
  <c r="H10186" i="1"/>
  <c r="I10185" i="1"/>
  <c r="H10185" i="1"/>
  <c r="I10184" i="1"/>
  <c r="H10184" i="1"/>
  <c r="I10183" i="1"/>
  <c r="H10183" i="1"/>
  <c r="I10182" i="1"/>
  <c r="H10182" i="1"/>
  <c r="I10181" i="1"/>
  <c r="H10181" i="1"/>
  <c r="I10180" i="1"/>
  <c r="H10180" i="1"/>
  <c r="I10179" i="1"/>
  <c r="H10179" i="1"/>
  <c r="I10178" i="1"/>
  <c r="H10178" i="1"/>
  <c r="I10177" i="1" l="1"/>
  <c r="H10177" i="1"/>
  <c r="I10176" i="1"/>
  <c r="H10176" i="1"/>
  <c r="I10175" i="1"/>
  <c r="H10175" i="1"/>
  <c r="I10174" i="1"/>
  <c r="H10174" i="1"/>
  <c r="I10173" i="1"/>
  <c r="H10173" i="1"/>
  <c r="I10172" i="1"/>
  <c r="H10172" i="1"/>
  <c r="I10171" i="1"/>
  <c r="H10171" i="1"/>
  <c r="I10170" i="1"/>
  <c r="H10170" i="1"/>
  <c r="I10169" i="1"/>
  <c r="H10169" i="1"/>
  <c r="I10168" i="1"/>
  <c r="H10168" i="1"/>
  <c r="I10167" i="1"/>
  <c r="H10167" i="1"/>
  <c r="I10166" i="1"/>
  <c r="H10166" i="1"/>
  <c r="I10165" i="1"/>
  <c r="H10165" i="1"/>
  <c r="I10164" i="1"/>
  <c r="H10164" i="1"/>
  <c r="I10163" i="1"/>
  <c r="H10163" i="1"/>
  <c r="I10162" i="1"/>
  <c r="H10162" i="1"/>
  <c r="I10161" i="1"/>
  <c r="H10161" i="1"/>
  <c r="I10160" i="1"/>
  <c r="H10160" i="1"/>
  <c r="I10159" i="1"/>
  <c r="H10159" i="1"/>
  <c r="I10158" i="1"/>
  <c r="H10158" i="1"/>
  <c r="I10157" i="1"/>
  <c r="H10157" i="1"/>
  <c r="I10156" i="1"/>
  <c r="H10156" i="1"/>
  <c r="I10155" i="1"/>
  <c r="H10155" i="1"/>
  <c r="I10154" i="1"/>
  <c r="H10154" i="1"/>
  <c r="I10153" i="1"/>
  <c r="H10153" i="1"/>
  <c r="I10152" i="1"/>
  <c r="H10152" i="1"/>
  <c r="I10151" i="1"/>
  <c r="H10151" i="1"/>
  <c r="I10150" i="1"/>
  <c r="H10150" i="1"/>
  <c r="I10149" i="1"/>
  <c r="H10149" i="1"/>
  <c r="I10148" i="1"/>
  <c r="H10148" i="1"/>
  <c r="I10147" i="1"/>
  <c r="H10147" i="1"/>
  <c r="I10146" i="1"/>
  <c r="H10146" i="1"/>
  <c r="I10145" i="1"/>
  <c r="H10145" i="1"/>
  <c r="I10144" i="1"/>
  <c r="H10144" i="1"/>
  <c r="I10143" i="1"/>
  <c r="H10143" i="1"/>
  <c r="I10142" i="1"/>
  <c r="H10142" i="1"/>
  <c r="I10141" i="1"/>
  <c r="H10141" i="1"/>
  <c r="I10140" i="1"/>
  <c r="H10140" i="1"/>
  <c r="I10139" i="1"/>
  <c r="H10139" i="1"/>
  <c r="I10138" i="1"/>
  <c r="H10138" i="1"/>
  <c r="I10137" i="1"/>
  <c r="H10137" i="1"/>
  <c r="I10136" i="1"/>
  <c r="H10136" i="1"/>
  <c r="I10135" i="1"/>
  <c r="H10135" i="1"/>
  <c r="I10134" i="1"/>
  <c r="H10134" i="1"/>
  <c r="I10133" i="1"/>
  <c r="H10133" i="1"/>
  <c r="I10132" i="1"/>
  <c r="H10132" i="1"/>
  <c r="I10131" i="1"/>
  <c r="H10131" i="1"/>
  <c r="I10130" i="1"/>
  <c r="H10130" i="1"/>
  <c r="I10129" i="1"/>
  <c r="H10129" i="1"/>
  <c r="I10128" i="1"/>
  <c r="H10128" i="1"/>
  <c r="I10127" i="1"/>
  <c r="H10127" i="1"/>
  <c r="I10126" i="1"/>
  <c r="H10126" i="1"/>
  <c r="I10125" i="1"/>
  <c r="H10125" i="1"/>
  <c r="I10124" i="1"/>
  <c r="H10124" i="1"/>
  <c r="I10123" i="1"/>
  <c r="H10123" i="1"/>
  <c r="I10122" i="1"/>
  <c r="H10122" i="1"/>
  <c r="I10121" i="1"/>
  <c r="H10121" i="1"/>
  <c r="I10120" i="1"/>
  <c r="H10120" i="1"/>
  <c r="I10119" i="1"/>
  <c r="H10119" i="1"/>
  <c r="I10118" i="1"/>
  <c r="H10118" i="1"/>
  <c r="I10117" i="1"/>
  <c r="H10117" i="1"/>
  <c r="I10116" i="1"/>
  <c r="H10116" i="1"/>
  <c r="I10115" i="1"/>
  <c r="H10115" i="1"/>
  <c r="I10114" i="1"/>
  <c r="H10114" i="1"/>
  <c r="I10113" i="1"/>
  <c r="H10113" i="1"/>
  <c r="I10112" i="1"/>
  <c r="H10112" i="1"/>
  <c r="I10111" i="1"/>
  <c r="H10111" i="1"/>
  <c r="I10110" i="1"/>
  <c r="H10110" i="1"/>
  <c r="I10109" i="1"/>
  <c r="H10109" i="1"/>
  <c r="I10108" i="1"/>
  <c r="H10108" i="1"/>
  <c r="I10107" i="1"/>
  <c r="H10107" i="1"/>
  <c r="I10106" i="1"/>
  <c r="H10106" i="1"/>
  <c r="I10105" i="1"/>
  <c r="H10105" i="1"/>
  <c r="I10104" i="1"/>
  <c r="H10104" i="1"/>
  <c r="I10103" i="1"/>
  <c r="H10103" i="1"/>
  <c r="I10102" i="1"/>
  <c r="H10102" i="1"/>
  <c r="I10101" i="1"/>
  <c r="H10101" i="1"/>
  <c r="I10100" i="1"/>
  <c r="H10100" i="1"/>
  <c r="I10099" i="1"/>
  <c r="H10099" i="1"/>
  <c r="I10098" i="1"/>
  <c r="H10098" i="1"/>
  <c r="I10097" i="1"/>
  <c r="H10097" i="1"/>
  <c r="I10096" i="1"/>
  <c r="H10096" i="1"/>
  <c r="I10095" i="1"/>
  <c r="H10095" i="1"/>
  <c r="I10094" i="1"/>
  <c r="H10094" i="1"/>
  <c r="I10093" i="1"/>
  <c r="H10093" i="1"/>
  <c r="I10092" i="1"/>
  <c r="H10092" i="1"/>
  <c r="I10091" i="1"/>
  <c r="H10091" i="1"/>
  <c r="I10090" i="1"/>
  <c r="H10090" i="1"/>
  <c r="I10089" i="1"/>
  <c r="H10089" i="1"/>
  <c r="I10088" i="1"/>
  <c r="H10088" i="1"/>
  <c r="I10087" i="1"/>
  <c r="H10087" i="1"/>
  <c r="I10086" i="1"/>
  <c r="H10086" i="1"/>
  <c r="I10085" i="1"/>
  <c r="H10085" i="1"/>
  <c r="I10084" i="1"/>
  <c r="H10084" i="1"/>
  <c r="I10083" i="1"/>
  <c r="H10083" i="1"/>
  <c r="I10082" i="1"/>
  <c r="H10082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5" i="4" l="1"/>
  <c r="B15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D15" i="4" s="1"/>
  <c r="E15" i="4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20" i="2"/>
  <c r="D14" i="4"/>
  <c r="E14" i="4" s="1"/>
  <c r="D13" i="4"/>
  <c r="E13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<sst xmlns="http://schemas.openxmlformats.org/spreadsheetml/2006/main" count="38711" uniqueCount="44">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</sst>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465" totalsRowShown="0">
  <autoFilter ref="A1:I10465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465"/>
  <sheetViews>
    <sheetView tabSelected="1" topLeftCell="A10186" workbookViewId="0">
      <selection activeCell="O10207" sqref="O10207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A10034" t="s">
        <v>6</v>
      </c>
      <c r="B10034" s="1">
        <v>46076</v>
      </c>
      <c r="C10034">
        <v>1</v>
      </c>
      <c r="D10034">
        <v>231.84</v>
      </c>
      <c r="E10034">
        <v>0</v>
      </c>
      <c r="F10034" t="s">
        <v>7</v>
      </c>
      <c r="G10034" t="s">
        <v>12</v>
      </c>
      <c r="H10034" s="5">
        <f>MONTH(Tabela1[[#This Row],[data]])</f>
        <v>2</v>
      </c>
      <c r="I10034">
        <f>YEAR(Tabela1[[#This Row],[data]])</f>
        <v>2026</v>
      </c>
    </row>
    <row r="10035" spans="1:9" x14ac:dyDescent="0.25">
      <c r="A10035" t="s">
        <v>6</v>
      </c>
      <c r="B10035" s="1">
        <v>46076</v>
      </c>
      <c r="C10035">
        <v>2</v>
      </c>
      <c r="D10035">
        <v>230.16</v>
      </c>
      <c r="E10035">
        <v>0</v>
      </c>
      <c r="F10035" t="s">
        <v>7</v>
      </c>
      <c r="G10035" t="s">
        <v>12</v>
      </c>
      <c r="H10035" s="5">
        <f>MONTH(Tabela1[[#This Row],[data]])</f>
        <v>2</v>
      </c>
      <c r="I10035">
        <f>YEAR(Tabela1[[#This Row],[data]])</f>
        <v>2026</v>
      </c>
    </row>
    <row r="10036" spans="1:9" x14ac:dyDescent="0.25">
      <c r="A10036" t="s">
        <v>6</v>
      </c>
      <c r="B10036" s="1">
        <v>46076</v>
      </c>
      <c r="C10036">
        <v>3</v>
      </c>
      <c r="D10036">
        <v>225.96</v>
      </c>
      <c r="E10036">
        <v>0</v>
      </c>
      <c r="F10036" t="s">
        <v>7</v>
      </c>
      <c r="G10036" t="s">
        <v>12</v>
      </c>
      <c r="H10036" s="5">
        <f>MONTH(Tabela1[[#This Row],[data]])</f>
        <v>2</v>
      </c>
      <c r="I10036">
        <f>YEAR(Tabela1[[#This Row],[data]])</f>
        <v>2026</v>
      </c>
    </row>
    <row r="10037" spans="1:9" x14ac:dyDescent="0.25">
      <c r="A10037" t="s">
        <v>6</v>
      </c>
      <c r="B10037" s="1">
        <v>46076</v>
      </c>
      <c r="C10037">
        <v>4</v>
      </c>
      <c r="D10037">
        <v>227.64</v>
      </c>
      <c r="E10037">
        <v>0</v>
      </c>
      <c r="F10037" t="s">
        <v>7</v>
      </c>
      <c r="G10037" t="s">
        <v>12</v>
      </c>
      <c r="H10037" s="5">
        <f>MONTH(Tabela1[[#This Row],[data]])</f>
        <v>2</v>
      </c>
      <c r="I10037">
        <f>YEAR(Tabela1[[#This Row],[data]])</f>
        <v>2026</v>
      </c>
    </row>
    <row r="10038" spans="1:9" x14ac:dyDescent="0.25">
      <c r="A10038" t="s">
        <v>6</v>
      </c>
      <c r="B10038" s="1">
        <v>46076</v>
      </c>
      <c r="C10038">
        <v>5</v>
      </c>
      <c r="D10038">
        <v>222.6</v>
      </c>
      <c r="E10038">
        <v>0</v>
      </c>
      <c r="F10038" t="s">
        <v>7</v>
      </c>
      <c r="G10038" t="s">
        <v>12</v>
      </c>
      <c r="H10038" s="5">
        <f>MONTH(Tabela1[[#This Row],[data]])</f>
        <v>2</v>
      </c>
      <c r="I10038">
        <f>YEAR(Tabela1[[#This Row],[data]])</f>
        <v>2026</v>
      </c>
    </row>
    <row r="10039" spans="1:9" x14ac:dyDescent="0.25">
      <c r="A10039" t="s">
        <v>6</v>
      </c>
      <c r="B10039" s="1">
        <v>46076</v>
      </c>
      <c r="C10039">
        <v>6</v>
      </c>
      <c r="D10039">
        <v>220.08</v>
      </c>
      <c r="E10039">
        <v>0</v>
      </c>
      <c r="F10039" t="s">
        <v>7</v>
      </c>
      <c r="G10039" t="s">
        <v>12</v>
      </c>
      <c r="H10039" s="5">
        <f>MONTH(Tabela1[[#This Row],[data]])</f>
        <v>2</v>
      </c>
      <c r="I10039">
        <f>YEAR(Tabela1[[#This Row],[data]])</f>
        <v>2026</v>
      </c>
    </row>
    <row r="10040" spans="1:9" x14ac:dyDescent="0.25">
      <c r="A10040" t="s">
        <v>6</v>
      </c>
      <c r="B10040" s="1">
        <v>46076</v>
      </c>
      <c r="C10040">
        <v>7</v>
      </c>
      <c r="D10040">
        <v>230.58</v>
      </c>
      <c r="E10040">
        <v>0</v>
      </c>
      <c r="F10040" t="s">
        <v>7</v>
      </c>
      <c r="G10040" t="s">
        <v>12</v>
      </c>
      <c r="H10040" s="5">
        <f>MONTH(Tabela1[[#This Row],[data]])</f>
        <v>2</v>
      </c>
      <c r="I10040">
        <f>YEAR(Tabela1[[#This Row],[data]])</f>
        <v>2026</v>
      </c>
    </row>
    <row r="10041" spans="1:9" x14ac:dyDescent="0.25">
      <c r="A10041" t="s">
        <v>6</v>
      </c>
      <c r="B10041" s="1">
        <v>46076</v>
      </c>
      <c r="C10041">
        <v>8</v>
      </c>
      <c r="D10041">
        <v>270.89999999999998</v>
      </c>
      <c r="E10041">
        <v>0</v>
      </c>
      <c r="F10041" t="s">
        <v>7</v>
      </c>
      <c r="G10041" t="s">
        <v>12</v>
      </c>
      <c r="H10041" s="5">
        <f>MONTH(Tabela1[[#This Row],[data]])</f>
        <v>2</v>
      </c>
      <c r="I10041">
        <f>YEAR(Tabela1[[#This Row],[data]])</f>
        <v>2026</v>
      </c>
    </row>
    <row r="10042" spans="1:9" x14ac:dyDescent="0.25">
      <c r="A10042" t="s">
        <v>6</v>
      </c>
      <c r="B10042" s="1">
        <v>46076</v>
      </c>
      <c r="C10042">
        <v>9</v>
      </c>
      <c r="D10042">
        <v>360.78</v>
      </c>
      <c r="E10042">
        <v>5.46</v>
      </c>
      <c r="F10042" t="s">
        <v>7</v>
      </c>
      <c r="G10042" t="s">
        <v>12</v>
      </c>
      <c r="H10042" s="5">
        <f>MONTH(Tabela1[[#This Row],[data]])</f>
        <v>2</v>
      </c>
      <c r="I10042">
        <f>YEAR(Tabela1[[#This Row],[data]])</f>
        <v>2026</v>
      </c>
    </row>
    <row r="10043" spans="1:9" x14ac:dyDescent="0.25">
      <c r="A10043" t="s">
        <v>6</v>
      </c>
      <c r="B10043" s="1">
        <v>46076</v>
      </c>
      <c r="C10043">
        <v>10</v>
      </c>
      <c r="D10043">
        <v>535.08000000000004</v>
      </c>
      <c r="E10043">
        <v>64.260000000000005</v>
      </c>
      <c r="F10043" t="s">
        <v>7</v>
      </c>
      <c r="G10043" t="s">
        <v>12</v>
      </c>
      <c r="H10043" s="5">
        <f>MONTH(Tabela1[[#This Row],[data]])</f>
        <v>2</v>
      </c>
      <c r="I10043">
        <f>YEAR(Tabela1[[#This Row],[data]])</f>
        <v>2026</v>
      </c>
    </row>
    <row r="10044" spans="1:9" x14ac:dyDescent="0.25">
      <c r="A10044" t="s">
        <v>6</v>
      </c>
      <c r="B10044" s="1">
        <v>46076</v>
      </c>
      <c r="C10044">
        <v>11</v>
      </c>
      <c r="D10044" s="2">
        <v>1108.3800000000001</v>
      </c>
      <c r="E10044">
        <v>303.24</v>
      </c>
      <c r="F10044" t="s">
        <v>7</v>
      </c>
      <c r="G10044" t="s">
        <v>12</v>
      </c>
      <c r="H10044" s="5">
        <f>MONTH(Tabela1[[#This Row],[data]])</f>
        <v>2</v>
      </c>
      <c r="I10044">
        <f>YEAR(Tabela1[[#This Row],[data]])</f>
        <v>2026</v>
      </c>
    </row>
    <row r="10045" spans="1:9" x14ac:dyDescent="0.25">
      <c r="A10045" t="s">
        <v>6</v>
      </c>
      <c r="B10045" s="1">
        <v>46076</v>
      </c>
      <c r="C10045">
        <v>12</v>
      </c>
      <c r="D10045" s="2">
        <v>1052.52</v>
      </c>
      <c r="E10045">
        <v>300.3</v>
      </c>
      <c r="F10045" t="s">
        <v>7</v>
      </c>
      <c r="G10045" t="s">
        <v>12</v>
      </c>
      <c r="H10045" s="5">
        <f>MONTH(Tabela1[[#This Row],[data]])</f>
        <v>2</v>
      </c>
      <c r="I10045">
        <f>YEAR(Tabela1[[#This Row],[data]])</f>
        <v>2026</v>
      </c>
    </row>
    <row r="10046" spans="1:9" x14ac:dyDescent="0.25">
      <c r="A10046" t="s">
        <v>6</v>
      </c>
      <c r="B10046" s="1">
        <v>46076</v>
      </c>
      <c r="C10046">
        <v>13</v>
      </c>
      <c r="D10046" s="2">
        <v>1029</v>
      </c>
      <c r="E10046">
        <v>290.64</v>
      </c>
      <c r="F10046" t="s">
        <v>7</v>
      </c>
      <c r="G10046" t="s">
        <v>12</v>
      </c>
      <c r="H10046" s="5">
        <f>MONTH(Tabela1[[#This Row],[data]])</f>
        <v>2</v>
      </c>
      <c r="I10046">
        <f>YEAR(Tabela1[[#This Row],[data]])</f>
        <v>2026</v>
      </c>
    </row>
    <row r="10047" spans="1:9" x14ac:dyDescent="0.25">
      <c r="A10047" t="s">
        <v>6</v>
      </c>
      <c r="B10047" s="1">
        <v>46076</v>
      </c>
      <c r="C10047">
        <v>14</v>
      </c>
      <c r="D10047" s="2">
        <v>1051.26</v>
      </c>
      <c r="E10047">
        <v>281.82</v>
      </c>
      <c r="F10047" t="s">
        <v>7</v>
      </c>
      <c r="G10047" t="s">
        <v>12</v>
      </c>
      <c r="H10047" s="5">
        <f>MONTH(Tabela1[[#This Row],[data]])</f>
        <v>2</v>
      </c>
      <c r="I10047">
        <f>YEAR(Tabela1[[#This Row],[data]])</f>
        <v>2026</v>
      </c>
    </row>
    <row r="10048" spans="1:9" x14ac:dyDescent="0.25">
      <c r="A10048" t="s">
        <v>6</v>
      </c>
      <c r="B10048" s="1">
        <v>46076</v>
      </c>
      <c r="C10048">
        <v>15</v>
      </c>
      <c r="D10048" s="2">
        <v>1035.3</v>
      </c>
      <c r="E10048">
        <v>273.83999999999997</v>
      </c>
      <c r="F10048" t="s">
        <v>7</v>
      </c>
      <c r="G10048" t="s">
        <v>12</v>
      </c>
      <c r="H10048" s="5">
        <f>MONTH(Tabela1[[#This Row],[data]])</f>
        <v>2</v>
      </c>
      <c r="I10048">
        <f>YEAR(Tabela1[[#This Row],[data]])</f>
        <v>2026</v>
      </c>
    </row>
    <row r="10049" spans="1:9" x14ac:dyDescent="0.25">
      <c r="A10049" t="s">
        <v>6</v>
      </c>
      <c r="B10049" s="1">
        <v>46076</v>
      </c>
      <c r="C10049">
        <v>16</v>
      </c>
      <c r="D10049" s="2">
        <v>1036.56</v>
      </c>
      <c r="E10049">
        <v>273.42</v>
      </c>
      <c r="F10049" t="s">
        <v>7</v>
      </c>
      <c r="G10049" t="s">
        <v>12</v>
      </c>
      <c r="H10049" s="5">
        <f>MONTH(Tabela1[[#This Row],[data]])</f>
        <v>2</v>
      </c>
      <c r="I10049">
        <f>YEAR(Tabela1[[#This Row],[data]])</f>
        <v>2026</v>
      </c>
    </row>
    <row r="10050" spans="1:9" x14ac:dyDescent="0.25">
      <c r="A10050" t="s">
        <v>6</v>
      </c>
      <c r="B10050" s="1">
        <v>46076</v>
      </c>
      <c r="C10050">
        <v>17</v>
      </c>
      <c r="D10050" s="2">
        <v>1026.48</v>
      </c>
      <c r="E10050">
        <v>283.5</v>
      </c>
      <c r="F10050" t="s">
        <v>7</v>
      </c>
      <c r="G10050" t="s">
        <v>12</v>
      </c>
      <c r="H10050" s="5">
        <f>MONTH(Tabela1[[#This Row],[data]])</f>
        <v>2</v>
      </c>
      <c r="I10050">
        <f>YEAR(Tabela1[[#This Row],[data]])</f>
        <v>2026</v>
      </c>
    </row>
    <row r="10051" spans="1:9" x14ac:dyDescent="0.25">
      <c r="A10051" t="s">
        <v>6</v>
      </c>
      <c r="B10051" s="1">
        <v>46076</v>
      </c>
      <c r="C10051">
        <v>18</v>
      </c>
      <c r="D10051" s="2">
        <v>1006.32</v>
      </c>
      <c r="E10051">
        <v>275.52</v>
      </c>
      <c r="F10051" t="s">
        <v>7</v>
      </c>
      <c r="G10051" t="s">
        <v>12</v>
      </c>
      <c r="H10051" s="5">
        <f>MONTH(Tabela1[[#This Row],[data]])</f>
        <v>2</v>
      </c>
      <c r="I10051">
        <f>YEAR(Tabela1[[#This Row],[data]])</f>
        <v>2026</v>
      </c>
    </row>
    <row r="10052" spans="1:9" x14ac:dyDescent="0.25">
      <c r="A10052" t="s">
        <v>6</v>
      </c>
      <c r="B10052" s="1">
        <v>46076</v>
      </c>
      <c r="C10052">
        <v>19</v>
      </c>
      <c r="D10052">
        <v>939.54</v>
      </c>
      <c r="E10052">
        <v>210</v>
      </c>
      <c r="F10052" t="s">
        <v>7</v>
      </c>
      <c r="G10052" t="s">
        <v>12</v>
      </c>
      <c r="H10052" s="5">
        <f>MONTH(Tabela1[[#This Row],[data]])</f>
        <v>2</v>
      </c>
      <c r="I10052">
        <f>YEAR(Tabela1[[#This Row],[data]])</f>
        <v>2026</v>
      </c>
    </row>
    <row r="10053" spans="1:9" x14ac:dyDescent="0.25">
      <c r="A10053" t="s">
        <v>6</v>
      </c>
      <c r="B10053" s="1">
        <v>46076</v>
      </c>
      <c r="C10053">
        <v>20</v>
      </c>
      <c r="D10053">
        <v>933.66</v>
      </c>
      <c r="E10053">
        <v>217.98</v>
      </c>
      <c r="F10053" t="s">
        <v>7</v>
      </c>
      <c r="G10053" t="s">
        <v>12</v>
      </c>
      <c r="H10053" s="5">
        <f>MONTH(Tabela1[[#This Row],[data]])</f>
        <v>2</v>
      </c>
      <c r="I10053">
        <f>YEAR(Tabela1[[#This Row],[data]])</f>
        <v>2026</v>
      </c>
    </row>
    <row r="10054" spans="1:9" x14ac:dyDescent="0.25">
      <c r="A10054" t="s">
        <v>6</v>
      </c>
      <c r="B10054" s="1">
        <v>46076</v>
      </c>
      <c r="C10054">
        <v>21</v>
      </c>
      <c r="D10054">
        <v>910.98</v>
      </c>
      <c r="E10054">
        <v>217.98</v>
      </c>
      <c r="F10054" t="s">
        <v>7</v>
      </c>
      <c r="G10054" t="s">
        <v>12</v>
      </c>
      <c r="H10054" s="5">
        <f>MONTH(Tabela1[[#This Row],[data]])</f>
        <v>2</v>
      </c>
      <c r="I10054">
        <f>YEAR(Tabela1[[#This Row],[data]])</f>
        <v>2026</v>
      </c>
    </row>
    <row r="10055" spans="1:9" x14ac:dyDescent="0.25">
      <c r="A10055" t="s">
        <v>6</v>
      </c>
      <c r="B10055" s="1">
        <v>46076</v>
      </c>
      <c r="C10055">
        <v>22</v>
      </c>
      <c r="D10055">
        <v>769.44</v>
      </c>
      <c r="E10055">
        <v>143.63999999999999</v>
      </c>
      <c r="F10055" t="s">
        <v>7</v>
      </c>
      <c r="G10055" t="s">
        <v>12</v>
      </c>
      <c r="H10055" s="5">
        <f>MONTH(Tabela1[[#This Row],[data]])</f>
        <v>2</v>
      </c>
      <c r="I10055">
        <f>YEAR(Tabela1[[#This Row],[data]])</f>
        <v>2026</v>
      </c>
    </row>
    <row r="10056" spans="1:9" x14ac:dyDescent="0.25">
      <c r="A10056" t="s">
        <v>6</v>
      </c>
      <c r="B10056" s="1">
        <v>46076</v>
      </c>
      <c r="C10056">
        <v>23</v>
      </c>
      <c r="D10056">
        <v>374.64</v>
      </c>
      <c r="E10056">
        <v>3.78</v>
      </c>
      <c r="F10056" t="s">
        <v>7</v>
      </c>
      <c r="G10056" t="s">
        <v>12</v>
      </c>
      <c r="H10056" s="5">
        <f>MONTH(Tabela1[[#This Row],[data]])</f>
        <v>2</v>
      </c>
      <c r="I10056">
        <f>YEAR(Tabela1[[#This Row],[data]])</f>
        <v>2026</v>
      </c>
    </row>
    <row r="10057" spans="1:9" x14ac:dyDescent="0.25">
      <c r="A10057" t="s">
        <v>6</v>
      </c>
      <c r="B10057" s="1">
        <v>46076</v>
      </c>
      <c r="C10057">
        <v>24</v>
      </c>
      <c r="D10057">
        <v>270.06</v>
      </c>
      <c r="E10057">
        <v>0</v>
      </c>
      <c r="F10057" t="s">
        <v>7</v>
      </c>
      <c r="G10057" t="s">
        <v>12</v>
      </c>
      <c r="H10057" s="5">
        <f>MONTH(Tabela1[[#This Row],[data]])</f>
        <v>2</v>
      </c>
      <c r="I10057">
        <f>YEAR(Tabela1[[#This Row],[data]])</f>
        <v>2026</v>
      </c>
    </row>
    <row r="10058" spans="1:9" x14ac:dyDescent="0.25">
      <c r="A10058" t="s">
        <v>6</v>
      </c>
      <c r="B10058" s="1">
        <v>46077</v>
      </c>
      <c r="C10058">
        <v>1</v>
      </c>
      <c r="D10058">
        <v>239.4</v>
      </c>
      <c r="E10058">
        <v>0</v>
      </c>
      <c r="F10058" t="s">
        <v>7</v>
      </c>
      <c r="G10058" t="s">
        <v>12</v>
      </c>
      <c r="H10058" s="5">
        <f>MONTH(Tabela1[[#This Row],[data]])</f>
        <v>2</v>
      </c>
      <c r="I10058">
        <f>YEAR(Tabela1[[#This Row],[data]])</f>
        <v>2026</v>
      </c>
    </row>
    <row r="10059" spans="1:9" x14ac:dyDescent="0.25">
      <c r="A10059" t="s">
        <v>6</v>
      </c>
      <c r="B10059" s="1">
        <v>46077</v>
      </c>
      <c r="C10059">
        <v>2</v>
      </c>
      <c r="D10059">
        <v>239.82</v>
      </c>
      <c r="E10059">
        <v>0</v>
      </c>
      <c r="F10059" t="s">
        <v>7</v>
      </c>
      <c r="G10059" t="s">
        <v>12</v>
      </c>
      <c r="H10059" s="5">
        <f>MONTH(Tabela1[[#This Row],[data]])</f>
        <v>2</v>
      </c>
      <c r="I10059">
        <f>YEAR(Tabela1[[#This Row],[data]])</f>
        <v>2026</v>
      </c>
    </row>
    <row r="10060" spans="1:9" x14ac:dyDescent="0.25">
      <c r="A10060" t="s">
        <v>6</v>
      </c>
      <c r="B10060" s="1">
        <v>46077</v>
      </c>
      <c r="C10060">
        <v>3</v>
      </c>
      <c r="D10060">
        <v>233.52</v>
      </c>
      <c r="E10060">
        <v>0</v>
      </c>
      <c r="F10060" t="s">
        <v>7</v>
      </c>
      <c r="G10060" t="s">
        <v>12</v>
      </c>
      <c r="H10060" s="5">
        <f>MONTH(Tabela1[[#This Row],[data]])</f>
        <v>2</v>
      </c>
      <c r="I10060">
        <f>YEAR(Tabela1[[#This Row],[data]])</f>
        <v>2026</v>
      </c>
    </row>
    <row r="10061" spans="1:9" x14ac:dyDescent="0.25">
      <c r="A10061" t="s">
        <v>6</v>
      </c>
      <c r="B10061" s="1">
        <v>46077</v>
      </c>
      <c r="C10061">
        <v>4</v>
      </c>
      <c r="D10061">
        <v>236.04</v>
      </c>
      <c r="E10061">
        <v>0</v>
      </c>
      <c r="F10061" t="s">
        <v>7</v>
      </c>
      <c r="G10061" t="s">
        <v>12</v>
      </c>
      <c r="H10061" s="5">
        <f>MONTH(Tabela1[[#This Row],[data]])</f>
        <v>2</v>
      </c>
      <c r="I10061">
        <f>YEAR(Tabela1[[#This Row],[data]])</f>
        <v>2026</v>
      </c>
    </row>
    <row r="10062" spans="1:9" x14ac:dyDescent="0.25">
      <c r="A10062" t="s">
        <v>6</v>
      </c>
      <c r="B10062" s="1">
        <v>46077</v>
      </c>
      <c r="C10062">
        <v>5</v>
      </c>
      <c r="D10062">
        <v>238.98</v>
      </c>
      <c r="E10062">
        <v>0</v>
      </c>
      <c r="F10062" t="s">
        <v>7</v>
      </c>
      <c r="G10062" t="s">
        <v>12</v>
      </c>
      <c r="H10062" s="5">
        <f>MONTH(Tabela1[[#This Row],[data]])</f>
        <v>2</v>
      </c>
      <c r="I10062">
        <f>YEAR(Tabela1[[#This Row],[data]])</f>
        <v>2026</v>
      </c>
    </row>
    <row r="10063" spans="1:9" x14ac:dyDescent="0.25">
      <c r="A10063" t="s">
        <v>6</v>
      </c>
      <c r="B10063" s="1">
        <v>46077</v>
      </c>
      <c r="C10063">
        <v>6</v>
      </c>
      <c r="D10063">
        <v>233.94</v>
      </c>
      <c r="E10063">
        <v>0</v>
      </c>
      <c r="F10063" t="s">
        <v>7</v>
      </c>
      <c r="G10063" t="s">
        <v>12</v>
      </c>
      <c r="H10063" s="5">
        <f>MONTH(Tabela1[[#This Row],[data]])</f>
        <v>2</v>
      </c>
      <c r="I10063">
        <f>YEAR(Tabela1[[#This Row],[data]])</f>
        <v>2026</v>
      </c>
    </row>
    <row r="10064" spans="1:9" x14ac:dyDescent="0.25">
      <c r="A10064" t="s">
        <v>6</v>
      </c>
      <c r="B10064" s="1">
        <v>46077</v>
      </c>
      <c r="C10064">
        <v>7</v>
      </c>
      <c r="D10064">
        <v>242.34</v>
      </c>
      <c r="E10064">
        <v>0</v>
      </c>
      <c r="F10064" t="s">
        <v>7</v>
      </c>
      <c r="G10064" t="s">
        <v>12</v>
      </c>
      <c r="H10064" s="5">
        <f>MONTH(Tabela1[[#This Row],[data]])</f>
        <v>2</v>
      </c>
      <c r="I10064">
        <f>YEAR(Tabela1[[#This Row],[data]])</f>
        <v>2026</v>
      </c>
    </row>
    <row r="10065" spans="1:9" x14ac:dyDescent="0.25">
      <c r="A10065" t="s">
        <v>6</v>
      </c>
      <c r="B10065" s="1">
        <v>46077</v>
      </c>
      <c r="C10065">
        <v>8</v>
      </c>
      <c r="D10065">
        <v>260.82</v>
      </c>
      <c r="E10065">
        <v>0</v>
      </c>
      <c r="F10065" t="s">
        <v>7</v>
      </c>
      <c r="G10065" t="s">
        <v>12</v>
      </c>
      <c r="H10065" s="5">
        <f>MONTH(Tabela1[[#This Row],[data]])</f>
        <v>2</v>
      </c>
      <c r="I10065">
        <f>YEAR(Tabela1[[#This Row],[data]])</f>
        <v>2026</v>
      </c>
    </row>
    <row r="10066" spans="1:9" x14ac:dyDescent="0.25">
      <c r="A10066" t="s">
        <v>6</v>
      </c>
      <c r="B10066" s="1">
        <v>46077</v>
      </c>
      <c r="C10066">
        <v>9</v>
      </c>
      <c r="D10066">
        <v>398.58</v>
      </c>
      <c r="E10066">
        <v>8.82</v>
      </c>
      <c r="F10066" t="s">
        <v>7</v>
      </c>
      <c r="G10066" t="s">
        <v>12</v>
      </c>
      <c r="H10066" s="5">
        <f>MONTH(Tabela1[[#This Row],[data]])</f>
        <v>2</v>
      </c>
      <c r="I10066">
        <f>YEAR(Tabela1[[#This Row],[data]])</f>
        <v>2026</v>
      </c>
    </row>
    <row r="10067" spans="1:9" x14ac:dyDescent="0.25">
      <c r="A10067" t="s">
        <v>6</v>
      </c>
      <c r="B10067" s="1">
        <v>46077</v>
      </c>
      <c r="C10067">
        <v>10</v>
      </c>
      <c r="D10067">
        <v>698.88</v>
      </c>
      <c r="E10067">
        <v>145.74</v>
      </c>
      <c r="F10067" t="s">
        <v>7</v>
      </c>
      <c r="G10067" t="s">
        <v>12</v>
      </c>
      <c r="H10067" s="5">
        <f>MONTH(Tabela1[[#This Row],[data]])</f>
        <v>2</v>
      </c>
      <c r="I10067">
        <f>YEAR(Tabela1[[#This Row],[data]])</f>
        <v>2026</v>
      </c>
    </row>
    <row r="10068" spans="1:9" x14ac:dyDescent="0.25">
      <c r="A10068" t="s">
        <v>6</v>
      </c>
      <c r="B10068" s="1">
        <v>46077</v>
      </c>
      <c r="C10068">
        <v>11</v>
      </c>
      <c r="D10068" s="2">
        <v>1002.54</v>
      </c>
      <c r="E10068">
        <v>278.45999999999998</v>
      </c>
      <c r="F10068" t="s">
        <v>7</v>
      </c>
      <c r="G10068" t="s">
        <v>12</v>
      </c>
      <c r="H10068" s="5">
        <f>MONTH(Tabela1[[#This Row],[data]])</f>
        <v>2</v>
      </c>
      <c r="I10068">
        <f>YEAR(Tabela1[[#This Row],[data]])</f>
        <v>2026</v>
      </c>
    </row>
    <row r="10069" spans="1:9" x14ac:dyDescent="0.25">
      <c r="A10069" t="s">
        <v>6</v>
      </c>
      <c r="B10069" s="1">
        <v>46077</v>
      </c>
      <c r="C10069">
        <v>12</v>
      </c>
      <c r="D10069" s="2">
        <v>1010.94</v>
      </c>
      <c r="E10069">
        <v>301.98</v>
      </c>
      <c r="F10069" t="s">
        <v>7</v>
      </c>
      <c r="G10069" t="s">
        <v>12</v>
      </c>
      <c r="H10069" s="5">
        <f>MONTH(Tabela1[[#This Row],[data]])</f>
        <v>2</v>
      </c>
      <c r="I10069">
        <f>YEAR(Tabela1[[#This Row],[data]])</f>
        <v>2026</v>
      </c>
    </row>
    <row r="10070" spans="1:9" x14ac:dyDescent="0.25">
      <c r="A10070" t="s">
        <v>6</v>
      </c>
      <c r="B10070" s="1">
        <v>46077</v>
      </c>
      <c r="C10070">
        <v>13</v>
      </c>
      <c r="D10070" s="2">
        <v>1068.9000000000001</v>
      </c>
      <c r="E10070">
        <v>307.86</v>
      </c>
      <c r="F10070" t="s">
        <v>7</v>
      </c>
      <c r="G10070" t="s">
        <v>12</v>
      </c>
      <c r="H10070" s="5">
        <f>MONTH(Tabela1[[#This Row],[data]])</f>
        <v>2</v>
      </c>
      <c r="I10070">
        <f>YEAR(Tabela1[[#This Row],[data]])</f>
        <v>2026</v>
      </c>
    </row>
    <row r="10071" spans="1:9" x14ac:dyDescent="0.25">
      <c r="A10071" t="s">
        <v>6</v>
      </c>
      <c r="B10071" s="1">
        <v>46077</v>
      </c>
      <c r="C10071">
        <v>14</v>
      </c>
      <c r="D10071" s="2">
        <v>1046.6400000000001</v>
      </c>
      <c r="E10071">
        <v>265.02</v>
      </c>
      <c r="F10071" t="s">
        <v>7</v>
      </c>
      <c r="G10071" t="s">
        <v>12</v>
      </c>
      <c r="H10071" s="5">
        <f>MONTH(Tabela1[[#This Row],[data]])</f>
        <v>2</v>
      </c>
      <c r="I10071">
        <f>YEAR(Tabela1[[#This Row],[data]])</f>
        <v>2026</v>
      </c>
    </row>
    <row r="10072" spans="1:9" x14ac:dyDescent="0.25">
      <c r="A10072" t="s">
        <v>6</v>
      </c>
      <c r="B10072" s="1">
        <v>46077</v>
      </c>
      <c r="C10072">
        <v>15</v>
      </c>
      <c r="D10072" s="2">
        <v>1002.12</v>
      </c>
      <c r="E10072">
        <v>271.74</v>
      </c>
      <c r="F10072" t="s">
        <v>7</v>
      </c>
      <c r="G10072" t="s">
        <v>12</v>
      </c>
      <c r="H10072" s="5">
        <f>MONTH(Tabela1[[#This Row],[data]])</f>
        <v>2</v>
      </c>
      <c r="I10072">
        <f>YEAR(Tabela1[[#This Row],[data]])</f>
        <v>2026</v>
      </c>
    </row>
    <row r="10073" spans="1:9" x14ac:dyDescent="0.25">
      <c r="A10073" t="s">
        <v>6</v>
      </c>
      <c r="B10073" s="1">
        <v>46077</v>
      </c>
      <c r="C10073">
        <v>16</v>
      </c>
      <c r="D10073">
        <v>992.04</v>
      </c>
      <c r="E10073">
        <v>260.39999999999998</v>
      </c>
      <c r="F10073" t="s">
        <v>7</v>
      </c>
      <c r="G10073" t="s">
        <v>12</v>
      </c>
      <c r="H10073" s="5">
        <f>MONTH(Tabela1[[#This Row],[data]])</f>
        <v>2</v>
      </c>
      <c r="I10073">
        <f>YEAR(Tabela1[[#This Row],[data]])</f>
        <v>2026</v>
      </c>
    </row>
    <row r="10074" spans="1:9" x14ac:dyDescent="0.25">
      <c r="A10074" t="s">
        <v>6</v>
      </c>
      <c r="B10074" s="1">
        <v>46077</v>
      </c>
      <c r="C10074">
        <v>17</v>
      </c>
      <c r="D10074" s="2">
        <v>1014.72</v>
      </c>
      <c r="E10074">
        <v>267.54000000000002</v>
      </c>
      <c r="F10074" t="s">
        <v>7</v>
      </c>
      <c r="G10074" t="s">
        <v>12</v>
      </c>
      <c r="H10074" s="5">
        <f>MONTH(Tabela1[[#This Row],[data]])</f>
        <v>2</v>
      </c>
      <c r="I10074">
        <f>YEAR(Tabela1[[#This Row],[data]])</f>
        <v>2026</v>
      </c>
    </row>
    <row r="10075" spans="1:9" x14ac:dyDescent="0.25">
      <c r="A10075" t="s">
        <v>6</v>
      </c>
      <c r="B10075" s="1">
        <v>46077</v>
      </c>
      <c r="C10075">
        <v>18</v>
      </c>
      <c r="D10075" s="2">
        <v>1036.98</v>
      </c>
      <c r="E10075">
        <v>277.2</v>
      </c>
      <c r="F10075" t="s">
        <v>7</v>
      </c>
      <c r="G10075" t="s">
        <v>12</v>
      </c>
      <c r="H10075" s="5">
        <f>MONTH(Tabela1[[#This Row],[data]])</f>
        <v>2</v>
      </c>
      <c r="I10075">
        <f>YEAR(Tabela1[[#This Row],[data]])</f>
        <v>2026</v>
      </c>
    </row>
    <row r="10076" spans="1:9" x14ac:dyDescent="0.25">
      <c r="A10076" t="s">
        <v>6</v>
      </c>
      <c r="B10076" s="1">
        <v>46077</v>
      </c>
      <c r="C10076">
        <v>19</v>
      </c>
      <c r="D10076">
        <v>959.7</v>
      </c>
      <c r="E10076">
        <v>246.54</v>
      </c>
      <c r="F10076" t="s">
        <v>7</v>
      </c>
      <c r="G10076" t="s">
        <v>12</v>
      </c>
      <c r="H10076" s="5">
        <f>MONTH(Tabela1[[#This Row],[data]])</f>
        <v>2</v>
      </c>
      <c r="I10076">
        <f>YEAR(Tabela1[[#This Row],[data]])</f>
        <v>2026</v>
      </c>
    </row>
    <row r="10077" spans="1:9" x14ac:dyDescent="0.25">
      <c r="A10077" t="s">
        <v>6</v>
      </c>
      <c r="B10077" s="1">
        <v>46077</v>
      </c>
      <c r="C10077">
        <v>20</v>
      </c>
      <c r="D10077">
        <v>940.38</v>
      </c>
      <c r="E10077">
        <v>223.02</v>
      </c>
      <c r="F10077" t="s">
        <v>7</v>
      </c>
      <c r="G10077" t="s">
        <v>12</v>
      </c>
      <c r="H10077" s="5">
        <f>MONTH(Tabela1[[#This Row],[data]])</f>
        <v>2</v>
      </c>
      <c r="I10077">
        <f>YEAR(Tabela1[[#This Row],[data]])</f>
        <v>2026</v>
      </c>
    </row>
    <row r="10078" spans="1:9" x14ac:dyDescent="0.25">
      <c r="A10078" t="s">
        <v>6</v>
      </c>
      <c r="B10078" s="1">
        <v>46077</v>
      </c>
      <c r="C10078">
        <v>21</v>
      </c>
      <c r="D10078">
        <v>935.34</v>
      </c>
      <c r="E10078">
        <v>228.06</v>
      </c>
      <c r="F10078" t="s">
        <v>7</v>
      </c>
      <c r="G10078" t="s">
        <v>12</v>
      </c>
      <c r="H10078" s="5">
        <f>MONTH(Tabela1[[#This Row],[data]])</f>
        <v>2</v>
      </c>
      <c r="I10078">
        <f>YEAR(Tabela1[[#This Row],[data]])</f>
        <v>2026</v>
      </c>
    </row>
    <row r="10079" spans="1:9" x14ac:dyDescent="0.25">
      <c r="A10079" t="s">
        <v>6</v>
      </c>
      <c r="B10079" s="1">
        <v>46077</v>
      </c>
      <c r="C10079">
        <v>22</v>
      </c>
      <c r="D10079">
        <v>870.66</v>
      </c>
      <c r="E10079">
        <v>202.02</v>
      </c>
      <c r="F10079" t="s">
        <v>7</v>
      </c>
      <c r="G10079" t="s">
        <v>12</v>
      </c>
      <c r="H10079" s="5">
        <f>MONTH(Tabela1[[#This Row],[data]])</f>
        <v>2</v>
      </c>
      <c r="I10079">
        <f>YEAR(Tabela1[[#This Row],[data]])</f>
        <v>2026</v>
      </c>
    </row>
    <row r="10080" spans="1:9" x14ac:dyDescent="0.25">
      <c r="A10080" t="s">
        <v>6</v>
      </c>
      <c r="B10080" s="1">
        <v>46077</v>
      </c>
      <c r="C10080">
        <v>23</v>
      </c>
      <c r="D10080">
        <v>483.84</v>
      </c>
      <c r="E10080">
        <v>31.08</v>
      </c>
      <c r="F10080" t="s">
        <v>7</v>
      </c>
      <c r="G10080" t="s">
        <v>12</v>
      </c>
      <c r="H10080" s="5">
        <f>MONTH(Tabela1[[#This Row],[data]])</f>
        <v>2</v>
      </c>
      <c r="I10080">
        <f>YEAR(Tabela1[[#This Row],[data]])</f>
        <v>2026</v>
      </c>
    </row>
    <row r="10081" spans="1:9" x14ac:dyDescent="0.25">
      <c r="A10081" t="s">
        <v>6</v>
      </c>
      <c r="B10081" s="1">
        <v>46077</v>
      </c>
      <c r="C10081">
        <v>24</v>
      </c>
      <c r="D10081">
        <v>376.74</v>
      </c>
      <c r="E10081">
        <v>7.98</v>
      </c>
      <c r="F10081" t="s">
        <v>7</v>
      </c>
      <c r="G10081" t="s">
        <v>12</v>
      </c>
      <c r="H10081" s="5">
        <f>MONTH(Tabela1[[#This Row],[data]])</f>
        <v>2</v>
      </c>
      <c r="I10081">
        <f>YEAR(Tabela1[[#This Row],[data]])</f>
        <v>2026</v>
      </c>
    </row>
    <row r="10082" spans="1:9" x14ac:dyDescent="0.25">
      <c r="A10082" t="s">
        <v>6</v>
      </c>
      <c r="B10082" s="1">
        <v>46078</v>
      </c>
      <c r="C10082">
        <v>1</v>
      </c>
      <c r="D10082">
        <v>328.02</v>
      </c>
      <c r="E10082">
        <v>0</v>
      </c>
      <c r="F10082" t="s">
        <v>7</v>
      </c>
      <c r="G10082" t="s">
        <v>12</v>
      </c>
      <c r="H10082" s="5">
        <f>MONTH(Tabela1[[#This Row],[data]])</f>
        <v>2</v>
      </c>
      <c r="I10082">
        <f>YEAR(Tabela1[[#This Row],[data]])</f>
        <v>2026</v>
      </c>
    </row>
    <row r="10083" spans="1:9" x14ac:dyDescent="0.25">
      <c r="A10083" t="s">
        <v>6</v>
      </c>
      <c r="B10083" s="1">
        <v>46078</v>
      </c>
      <c r="C10083">
        <v>2</v>
      </c>
      <c r="D10083">
        <v>325.5</v>
      </c>
      <c r="E10083">
        <v>0.42</v>
      </c>
      <c r="F10083" t="s">
        <v>7</v>
      </c>
      <c r="G10083" t="s">
        <v>12</v>
      </c>
      <c r="H10083" s="5">
        <f>MONTH(Tabela1[[#This Row],[data]])</f>
        <v>2</v>
      </c>
      <c r="I10083">
        <f>YEAR(Tabela1[[#This Row],[data]])</f>
        <v>2026</v>
      </c>
    </row>
    <row r="10084" spans="1:9" x14ac:dyDescent="0.25">
      <c r="A10084" t="s">
        <v>6</v>
      </c>
      <c r="B10084" s="1">
        <v>46078</v>
      </c>
      <c r="C10084">
        <v>3</v>
      </c>
      <c r="D10084">
        <v>252</v>
      </c>
      <c r="E10084">
        <v>0</v>
      </c>
      <c r="F10084" t="s">
        <v>7</v>
      </c>
      <c r="G10084" t="s">
        <v>12</v>
      </c>
      <c r="H10084" s="5">
        <f>MONTH(Tabela1[[#This Row],[data]])</f>
        <v>2</v>
      </c>
      <c r="I10084">
        <f>YEAR(Tabela1[[#This Row],[data]])</f>
        <v>2026</v>
      </c>
    </row>
    <row r="10085" spans="1:9" x14ac:dyDescent="0.25">
      <c r="A10085" t="s">
        <v>6</v>
      </c>
      <c r="B10085" s="1">
        <v>46078</v>
      </c>
      <c r="C10085">
        <v>4</v>
      </c>
      <c r="D10085">
        <v>216.72</v>
      </c>
      <c r="E10085">
        <v>0</v>
      </c>
      <c r="F10085" t="s">
        <v>7</v>
      </c>
      <c r="G10085" t="s">
        <v>12</v>
      </c>
      <c r="H10085" s="5">
        <f>MONTH(Tabela1[[#This Row],[data]])</f>
        <v>2</v>
      </c>
      <c r="I10085">
        <f>YEAR(Tabela1[[#This Row],[data]])</f>
        <v>2026</v>
      </c>
    </row>
    <row r="10086" spans="1:9" x14ac:dyDescent="0.25">
      <c r="A10086" t="s">
        <v>6</v>
      </c>
      <c r="B10086" s="1">
        <v>46078</v>
      </c>
      <c r="C10086">
        <v>5</v>
      </c>
      <c r="D10086">
        <v>220.5</v>
      </c>
      <c r="E10086">
        <v>0</v>
      </c>
      <c r="F10086" t="s">
        <v>7</v>
      </c>
      <c r="G10086" t="s">
        <v>12</v>
      </c>
      <c r="H10086" s="5">
        <f>MONTH(Tabela1[[#This Row],[data]])</f>
        <v>2</v>
      </c>
      <c r="I10086">
        <f>YEAR(Tabela1[[#This Row],[data]])</f>
        <v>2026</v>
      </c>
    </row>
    <row r="10087" spans="1:9" x14ac:dyDescent="0.25">
      <c r="A10087" t="s">
        <v>6</v>
      </c>
      <c r="B10087" s="1">
        <v>46078</v>
      </c>
      <c r="C10087">
        <v>6</v>
      </c>
      <c r="D10087">
        <v>216.72</v>
      </c>
      <c r="E10087">
        <v>0</v>
      </c>
      <c r="F10087" t="s">
        <v>7</v>
      </c>
      <c r="G10087" t="s">
        <v>12</v>
      </c>
      <c r="H10087" s="5">
        <f>MONTH(Tabela1[[#This Row],[data]])</f>
        <v>2</v>
      </c>
      <c r="I10087">
        <f>YEAR(Tabela1[[#This Row],[data]])</f>
        <v>2026</v>
      </c>
    </row>
    <row r="10088" spans="1:9" x14ac:dyDescent="0.25">
      <c r="A10088" t="s">
        <v>6</v>
      </c>
      <c r="B10088" s="1">
        <v>46078</v>
      </c>
      <c r="C10088">
        <v>7</v>
      </c>
      <c r="D10088">
        <v>231.42</v>
      </c>
      <c r="E10088">
        <v>0</v>
      </c>
      <c r="F10088" t="s">
        <v>7</v>
      </c>
      <c r="G10088" t="s">
        <v>12</v>
      </c>
      <c r="H10088" s="5">
        <f>MONTH(Tabela1[[#This Row],[data]])</f>
        <v>2</v>
      </c>
      <c r="I10088">
        <f>YEAR(Tabela1[[#This Row],[data]])</f>
        <v>2026</v>
      </c>
    </row>
    <row r="10089" spans="1:9" x14ac:dyDescent="0.25">
      <c r="A10089" t="s">
        <v>6</v>
      </c>
      <c r="B10089" s="1">
        <v>46078</v>
      </c>
      <c r="C10089">
        <v>8</v>
      </c>
      <c r="D10089">
        <v>243.18</v>
      </c>
      <c r="E10089">
        <v>0</v>
      </c>
      <c r="F10089" t="s">
        <v>7</v>
      </c>
      <c r="G10089" t="s">
        <v>12</v>
      </c>
      <c r="H10089" s="5">
        <f>MONTH(Tabela1[[#This Row],[data]])</f>
        <v>2</v>
      </c>
      <c r="I10089">
        <f>YEAR(Tabela1[[#This Row],[data]])</f>
        <v>2026</v>
      </c>
    </row>
    <row r="10090" spans="1:9" x14ac:dyDescent="0.25">
      <c r="A10090" t="s">
        <v>6</v>
      </c>
      <c r="B10090" s="1">
        <v>46078</v>
      </c>
      <c r="C10090">
        <v>9</v>
      </c>
      <c r="D10090">
        <v>367.08</v>
      </c>
      <c r="E10090">
        <v>4.2</v>
      </c>
      <c r="F10090" t="s">
        <v>7</v>
      </c>
      <c r="G10090" t="s">
        <v>12</v>
      </c>
      <c r="H10090" s="5">
        <f>MONTH(Tabela1[[#This Row],[data]])</f>
        <v>2</v>
      </c>
      <c r="I10090">
        <f>YEAR(Tabela1[[#This Row],[data]])</f>
        <v>2026</v>
      </c>
    </row>
    <row r="10091" spans="1:9" x14ac:dyDescent="0.25">
      <c r="A10091" t="s">
        <v>6</v>
      </c>
      <c r="B10091" s="1">
        <v>46078</v>
      </c>
      <c r="C10091">
        <v>10</v>
      </c>
      <c r="D10091">
        <v>659.4</v>
      </c>
      <c r="E10091">
        <v>108.36</v>
      </c>
      <c r="F10091" t="s">
        <v>7</v>
      </c>
      <c r="G10091" t="s">
        <v>12</v>
      </c>
      <c r="H10091" s="5">
        <f>MONTH(Tabela1[[#This Row],[data]])</f>
        <v>2</v>
      </c>
      <c r="I10091">
        <f>YEAR(Tabela1[[#This Row],[data]])</f>
        <v>2026</v>
      </c>
    </row>
    <row r="10092" spans="1:9" x14ac:dyDescent="0.25">
      <c r="A10092" t="s">
        <v>6</v>
      </c>
      <c r="B10092" s="1">
        <v>46078</v>
      </c>
      <c r="C10092">
        <v>11</v>
      </c>
      <c r="D10092">
        <v>991.2</v>
      </c>
      <c r="E10092">
        <v>282.24</v>
      </c>
      <c r="F10092" t="s">
        <v>7</v>
      </c>
      <c r="G10092" t="s">
        <v>12</v>
      </c>
      <c r="H10092" s="5">
        <f>MONTH(Tabela1[[#This Row],[data]])</f>
        <v>2</v>
      </c>
      <c r="I10092">
        <f>YEAR(Tabela1[[#This Row],[data]])</f>
        <v>2026</v>
      </c>
    </row>
    <row r="10093" spans="1:9" x14ac:dyDescent="0.25">
      <c r="A10093" t="s">
        <v>6</v>
      </c>
      <c r="B10093" s="1">
        <v>46078</v>
      </c>
      <c r="C10093">
        <v>12</v>
      </c>
      <c r="D10093" s="2">
        <v>1027.74</v>
      </c>
      <c r="E10093">
        <v>299.88</v>
      </c>
      <c r="F10093" t="s">
        <v>7</v>
      </c>
      <c r="G10093" t="s">
        <v>12</v>
      </c>
      <c r="H10093" s="5">
        <f>MONTH(Tabela1[[#This Row],[data]])</f>
        <v>2</v>
      </c>
      <c r="I10093">
        <f>YEAR(Tabela1[[#This Row],[data]])</f>
        <v>2026</v>
      </c>
    </row>
    <row r="10094" spans="1:9" x14ac:dyDescent="0.25">
      <c r="A10094" t="s">
        <v>6</v>
      </c>
      <c r="B10094" s="1">
        <v>46078</v>
      </c>
      <c r="C10094">
        <v>13</v>
      </c>
      <c r="D10094" s="2">
        <v>1042.8599999999999</v>
      </c>
      <c r="E10094">
        <v>299.88</v>
      </c>
      <c r="F10094" t="s">
        <v>7</v>
      </c>
      <c r="G10094" t="s">
        <v>12</v>
      </c>
      <c r="H10094" s="5">
        <f>MONTH(Tabela1[[#This Row],[data]])</f>
        <v>2</v>
      </c>
      <c r="I10094">
        <f>YEAR(Tabela1[[#This Row],[data]])</f>
        <v>2026</v>
      </c>
    </row>
    <row r="10095" spans="1:9" x14ac:dyDescent="0.25">
      <c r="A10095" t="s">
        <v>6</v>
      </c>
      <c r="B10095" s="1">
        <v>46078</v>
      </c>
      <c r="C10095">
        <v>14</v>
      </c>
      <c r="D10095" s="2">
        <v>1064.28</v>
      </c>
      <c r="E10095">
        <v>282.66000000000003</v>
      </c>
      <c r="F10095" t="s">
        <v>7</v>
      </c>
      <c r="G10095" t="s">
        <v>12</v>
      </c>
      <c r="H10095" s="5">
        <f>MONTH(Tabela1[[#This Row],[data]])</f>
        <v>2</v>
      </c>
      <c r="I10095">
        <f>YEAR(Tabela1[[#This Row],[data]])</f>
        <v>2026</v>
      </c>
    </row>
    <row r="10096" spans="1:9" x14ac:dyDescent="0.25">
      <c r="A10096" t="s">
        <v>6</v>
      </c>
      <c r="B10096" s="1">
        <v>46078</v>
      </c>
      <c r="C10096">
        <v>15</v>
      </c>
      <c r="D10096" s="2">
        <v>1048.32</v>
      </c>
      <c r="E10096">
        <v>273.83999999999997</v>
      </c>
      <c r="F10096" t="s">
        <v>7</v>
      </c>
      <c r="G10096" t="s">
        <v>12</v>
      </c>
      <c r="H10096" s="5">
        <f>MONTH(Tabela1[[#This Row],[data]])</f>
        <v>2</v>
      </c>
      <c r="I10096">
        <f>YEAR(Tabela1[[#This Row],[data]])</f>
        <v>2026</v>
      </c>
    </row>
    <row r="10097" spans="1:9" x14ac:dyDescent="0.25">
      <c r="A10097" t="s">
        <v>6</v>
      </c>
      <c r="B10097" s="1">
        <v>46078</v>
      </c>
      <c r="C10097">
        <v>16</v>
      </c>
      <c r="D10097" s="2">
        <v>1044.96</v>
      </c>
      <c r="E10097">
        <v>269.64</v>
      </c>
      <c r="F10097" t="s">
        <v>7</v>
      </c>
      <c r="G10097" t="s">
        <v>12</v>
      </c>
      <c r="H10097" s="5">
        <f>MONTH(Tabela1[[#This Row],[data]])</f>
        <v>2</v>
      </c>
      <c r="I10097">
        <f>YEAR(Tabela1[[#This Row],[data]])</f>
        <v>2026</v>
      </c>
    </row>
    <row r="10098" spans="1:9" x14ac:dyDescent="0.25">
      <c r="A10098" t="s">
        <v>6</v>
      </c>
      <c r="B10098" s="1">
        <v>46078</v>
      </c>
      <c r="C10098">
        <v>17</v>
      </c>
      <c r="D10098" s="2">
        <v>1053.3599999999999</v>
      </c>
      <c r="E10098">
        <v>291.06</v>
      </c>
      <c r="F10098" t="s">
        <v>7</v>
      </c>
      <c r="G10098" t="s">
        <v>12</v>
      </c>
      <c r="H10098" s="5">
        <f>MONTH(Tabela1[[#This Row],[data]])</f>
        <v>2</v>
      </c>
      <c r="I10098">
        <f>YEAR(Tabela1[[#This Row],[data]])</f>
        <v>2026</v>
      </c>
    </row>
    <row r="10099" spans="1:9" x14ac:dyDescent="0.25">
      <c r="A10099" t="s">
        <v>6</v>
      </c>
      <c r="B10099" s="1">
        <v>46078</v>
      </c>
      <c r="C10099">
        <v>18</v>
      </c>
      <c r="D10099" s="2">
        <v>1039.92</v>
      </c>
      <c r="E10099">
        <v>284.33999999999997</v>
      </c>
      <c r="F10099" t="s">
        <v>7</v>
      </c>
      <c r="G10099" t="s">
        <v>12</v>
      </c>
      <c r="H10099" s="5">
        <f>MONTH(Tabela1[[#This Row],[data]])</f>
        <v>2</v>
      </c>
      <c r="I10099">
        <f>YEAR(Tabela1[[#This Row],[data]])</f>
        <v>2026</v>
      </c>
    </row>
    <row r="10100" spans="1:9" x14ac:dyDescent="0.25">
      <c r="A10100" t="s">
        <v>6</v>
      </c>
      <c r="B10100" s="1">
        <v>46078</v>
      </c>
      <c r="C10100">
        <v>19</v>
      </c>
      <c r="D10100">
        <v>967.68</v>
      </c>
      <c r="E10100">
        <v>243.6</v>
      </c>
      <c r="F10100" t="s">
        <v>7</v>
      </c>
      <c r="G10100" t="s">
        <v>12</v>
      </c>
      <c r="H10100" s="5">
        <f>MONTH(Tabela1[[#This Row],[data]])</f>
        <v>2</v>
      </c>
      <c r="I10100">
        <f>YEAR(Tabela1[[#This Row],[data]])</f>
        <v>2026</v>
      </c>
    </row>
    <row r="10101" spans="1:9" x14ac:dyDescent="0.25">
      <c r="A10101" t="s">
        <v>6</v>
      </c>
      <c r="B10101" s="1">
        <v>46078</v>
      </c>
      <c r="C10101">
        <v>20</v>
      </c>
      <c r="D10101">
        <v>947.1</v>
      </c>
      <c r="E10101">
        <v>239.4</v>
      </c>
      <c r="F10101" t="s">
        <v>7</v>
      </c>
      <c r="G10101" t="s">
        <v>12</v>
      </c>
      <c r="H10101" s="5">
        <f>MONTH(Tabela1[[#This Row],[data]])</f>
        <v>2</v>
      </c>
      <c r="I10101">
        <f>YEAR(Tabela1[[#This Row],[data]])</f>
        <v>2026</v>
      </c>
    </row>
    <row r="10102" spans="1:9" x14ac:dyDescent="0.25">
      <c r="A10102" t="s">
        <v>6</v>
      </c>
      <c r="B10102" s="1">
        <v>46078</v>
      </c>
      <c r="C10102">
        <v>21</v>
      </c>
      <c r="D10102">
        <v>935.76</v>
      </c>
      <c r="E10102">
        <v>238.56</v>
      </c>
      <c r="F10102" t="s">
        <v>7</v>
      </c>
      <c r="G10102" t="s">
        <v>12</v>
      </c>
      <c r="H10102" s="5">
        <f>MONTH(Tabela1[[#This Row],[data]])</f>
        <v>2</v>
      </c>
      <c r="I10102">
        <f>YEAR(Tabela1[[#This Row],[data]])</f>
        <v>2026</v>
      </c>
    </row>
    <row r="10103" spans="1:9" x14ac:dyDescent="0.25">
      <c r="A10103" t="s">
        <v>6</v>
      </c>
      <c r="B10103" s="1">
        <v>46078</v>
      </c>
      <c r="C10103">
        <v>22</v>
      </c>
      <c r="D10103">
        <v>766.92</v>
      </c>
      <c r="E10103">
        <v>159.6</v>
      </c>
      <c r="F10103" t="s">
        <v>7</v>
      </c>
      <c r="G10103" t="s">
        <v>12</v>
      </c>
      <c r="H10103" s="5">
        <f>MONTH(Tabela1[[#This Row],[data]])</f>
        <v>2</v>
      </c>
      <c r="I10103">
        <f>YEAR(Tabela1[[#This Row],[data]])</f>
        <v>2026</v>
      </c>
    </row>
    <row r="10104" spans="1:9" x14ac:dyDescent="0.25">
      <c r="A10104" t="s">
        <v>6</v>
      </c>
      <c r="B10104" s="1">
        <v>46078</v>
      </c>
      <c r="C10104">
        <v>23</v>
      </c>
      <c r="D10104">
        <v>357.42</v>
      </c>
      <c r="E10104">
        <v>1.68</v>
      </c>
      <c r="F10104" t="s">
        <v>7</v>
      </c>
      <c r="G10104" t="s">
        <v>12</v>
      </c>
      <c r="H10104" s="5">
        <f>MONTH(Tabela1[[#This Row],[data]])</f>
        <v>2</v>
      </c>
      <c r="I10104">
        <f>YEAR(Tabela1[[#This Row],[data]])</f>
        <v>2026</v>
      </c>
    </row>
    <row r="10105" spans="1:9" x14ac:dyDescent="0.25">
      <c r="A10105" t="s">
        <v>6</v>
      </c>
      <c r="B10105" s="1">
        <v>46078</v>
      </c>
      <c r="C10105">
        <v>24</v>
      </c>
      <c r="D10105">
        <v>265.86</v>
      </c>
      <c r="E10105">
        <v>0</v>
      </c>
      <c r="F10105" t="s">
        <v>7</v>
      </c>
      <c r="G10105" t="s">
        <v>12</v>
      </c>
      <c r="H10105" s="5">
        <f>MONTH(Tabela1[[#This Row],[data]])</f>
        <v>2</v>
      </c>
      <c r="I10105">
        <f>YEAR(Tabela1[[#This Row],[data]])</f>
        <v>2026</v>
      </c>
    </row>
    <row r="10106" spans="1:9" x14ac:dyDescent="0.25">
      <c r="A10106" t="s">
        <v>6</v>
      </c>
      <c r="B10106" s="1">
        <v>46079</v>
      </c>
      <c r="C10106">
        <v>1</v>
      </c>
      <c r="D10106">
        <v>225.54</v>
      </c>
      <c r="E10106">
        <v>0</v>
      </c>
      <c r="F10106" t="s">
        <v>7</v>
      </c>
      <c r="G10106" t="s">
        <v>12</v>
      </c>
      <c r="H10106" s="5">
        <f>MONTH(Tabela1[[#This Row],[data]])</f>
        <v>2</v>
      </c>
      <c r="I10106">
        <f>YEAR(Tabela1[[#This Row],[data]])</f>
        <v>2026</v>
      </c>
    </row>
    <row r="10107" spans="1:9" x14ac:dyDescent="0.25">
      <c r="A10107" t="s">
        <v>6</v>
      </c>
      <c r="B10107" s="1">
        <v>46079</v>
      </c>
      <c r="C10107">
        <v>2</v>
      </c>
      <c r="D10107">
        <v>223.86</v>
      </c>
      <c r="E10107">
        <v>0</v>
      </c>
      <c r="F10107" t="s">
        <v>7</v>
      </c>
      <c r="G10107" t="s">
        <v>12</v>
      </c>
      <c r="H10107" s="5">
        <f>MONTH(Tabela1[[#This Row],[data]])</f>
        <v>2</v>
      </c>
      <c r="I10107">
        <f>YEAR(Tabela1[[#This Row],[data]])</f>
        <v>2026</v>
      </c>
    </row>
    <row r="10108" spans="1:9" x14ac:dyDescent="0.25">
      <c r="A10108" t="s">
        <v>6</v>
      </c>
      <c r="B10108" s="1">
        <v>46079</v>
      </c>
      <c r="C10108">
        <v>3</v>
      </c>
      <c r="D10108">
        <v>217.14</v>
      </c>
      <c r="E10108">
        <v>0</v>
      </c>
      <c r="F10108" t="s">
        <v>7</v>
      </c>
      <c r="G10108" t="s">
        <v>12</v>
      </c>
      <c r="H10108" s="5">
        <f>MONTH(Tabela1[[#This Row],[data]])</f>
        <v>2</v>
      </c>
      <c r="I10108">
        <f>YEAR(Tabela1[[#This Row],[data]])</f>
        <v>2026</v>
      </c>
    </row>
    <row r="10109" spans="1:9" x14ac:dyDescent="0.25">
      <c r="A10109" t="s">
        <v>6</v>
      </c>
      <c r="B10109" s="1">
        <v>46079</v>
      </c>
      <c r="C10109">
        <v>4</v>
      </c>
      <c r="D10109">
        <v>217.56</v>
      </c>
      <c r="E10109">
        <v>0</v>
      </c>
      <c r="F10109" t="s">
        <v>7</v>
      </c>
      <c r="G10109" t="s">
        <v>12</v>
      </c>
      <c r="H10109" s="5">
        <f>MONTH(Tabela1[[#This Row],[data]])</f>
        <v>2</v>
      </c>
      <c r="I10109">
        <f>YEAR(Tabela1[[#This Row],[data]])</f>
        <v>2026</v>
      </c>
    </row>
    <row r="10110" spans="1:9" x14ac:dyDescent="0.25">
      <c r="A10110" t="s">
        <v>6</v>
      </c>
      <c r="B10110" s="1">
        <v>46079</v>
      </c>
      <c r="C10110">
        <v>5</v>
      </c>
      <c r="D10110">
        <v>217.14</v>
      </c>
      <c r="E10110">
        <v>0</v>
      </c>
      <c r="F10110" t="s">
        <v>7</v>
      </c>
      <c r="G10110" t="s">
        <v>12</v>
      </c>
      <c r="H10110" s="5">
        <f>MONTH(Tabela1[[#This Row],[data]])</f>
        <v>2</v>
      </c>
      <c r="I10110">
        <f>YEAR(Tabela1[[#This Row],[data]])</f>
        <v>2026</v>
      </c>
    </row>
    <row r="10111" spans="1:9" x14ac:dyDescent="0.25">
      <c r="A10111" t="s">
        <v>6</v>
      </c>
      <c r="B10111" s="1">
        <v>46079</v>
      </c>
      <c r="C10111">
        <v>6</v>
      </c>
      <c r="D10111">
        <v>214.2</v>
      </c>
      <c r="E10111">
        <v>0</v>
      </c>
      <c r="F10111" t="s">
        <v>7</v>
      </c>
      <c r="G10111" t="s">
        <v>12</v>
      </c>
      <c r="H10111" s="5">
        <f>MONTH(Tabela1[[#This Row],[data]])</f>
        <v>2</v>
      </c>
      <c r="I10111">
        <f>YEAR(Tabela1[[#This Row],[data]])</f>
        <v>2026</v>
      </c>
    </row>
    <row r="10112" spans="1:9" x14ac:dyDescent="0.25">
      <c r="A10112" t="s">
        <v>6</v>
      </c>
      <c r="B10112" s="1">
        <v>46079</v>
      </c>
      <c r="C10112">
        <v>7</v>
      </c>
      <c r="D10112">
        <v>232.68</v>
      </c>
      <c r="E10112">
        <v>0</v>
      </c>
      <c r="F10112" t="s">
        <v>7</v>
      </c>
      <c r="G10112" t="s">
        <v>12</v>
      </c>
      <c r="H10112" s="5">
        <f>MONTH(Tabela1[[#This Row],[data]])</f>
        <v>2</v>
      </c>
      <c r="I10112">
        <f>YEAR(Tabela1[[#This Row],[data]])</f>
        <v>2026</v>
      </c>
    </row>
    <row r="10113" spans="1:9" x14ac:dyDescent="0.25">
      <c r="A10113" t="s">
        <v>6</v>
      </c>
      <c r="B10113" s="1">
        <v>46079</v>
      </c>
      <c r="C10113">
        <v>8</v>
      </c>
      <c r="D10113">
        <v>294.83999999999997</v>
      </c>
      <c r="E10113">
        <v>0</v>
      </c>
      <c r="F10113" t="s">
        <v>7</v>
      </c>
      <c r="G10113" t="s">
        <v>12</v>
      </c>
      <c r="H10113" s="5">
        <f>MONTH(Tabela1[[#This Row],[data]])</f>
        <v>2</v>
      </c>
      <c r="I10113">
        <f>YEAR(Tabela1[[#This Row],[data]])</f>
        <v>2026</v>
      </c>
    </row>
    <row r="10114" spans="1:9" x14ac:dyDescent="0.25">
      <c r="A10114" t="s">
        <v>6</v>
      </c>
      <c r="B10114" s="1">
        <v>46079</v>
      </c>
      <c r="C10114">
        <v>9</v>
      </c>
      <c r="D10114">
        <v>368.76</v>
      </c>
      <c r="E10114">
        <v>0</v>
      </c>
      <c r="F10114" t="s">
        <v>7</v>
      </c>
      <c r="G10114" t="s">
        <v>12</v>
      </c>
      <c r="H10114" s="5">
        <f>MONTH(Tabela1[[#This Row],[data]])</f>
        <v>2</v>
      </c>
      <c r="I10114">
        <f>YEAR(Tabela1[[#This Row],[data]])</f>
        <v>2026</v>
      </c>
    </row>
    <row r="10115" spans="1:9" x14ac:dyDescent="0.25">
      <c r="A10115" t="s">
        <v>6</v>
      </c>
      <c r="B10115" s="1">
        <v>46079</v>
      </c>
      <c r="C10115">
        <v>10</v>
      </c>
      <c r="D10115">
        <v>559.86</v>
      </c>
      <c r="E10115">
        <v>76.02</v>
      </c>
      <c r="F10115" t="s">
        <v>7</v>
      </c>
      <c r="G10115" t="s">
        <v>12</v>
      </c>
      <c r="H10115" s="5">
        <f>MONTH(Tabela1[[#This Row],[data]])</f>
        <v>2</v>
      </c>
      <c r="I10115">
        <f>YEAR(Tabela1[[#This Row],[data]])</f>
        <v>2026</v>
      </c>
    </row>
    <row r="10116" spans="1:9" x14ac:dyDescent="0.25">
      <c r="A10116" t="s">
        <v>6</v>
      </c>
      <c r="B10116" s="1">
        <v>46079</v>
      </c>
      <c r="C10116">
        <v>11</v>
      </c>
      <c r="D10116" s="2">
        <v>1032.78</v>
      </c>
      <c r="E10116">
        <v>292.74</v>
      </c>
      <c r="F10116" t="s">
        <v>7</v>
      </c>
      <c r="G10116" t="s">
        <v>12</v>
      </c>
      <c r="H10116" s="5">
        <f>MONTH(Tabela1[[#This Row],[data]])</f>
        <v>2</v>
      </c>
      <c r="I10116">
        <f>YEAR(Tabela1[[#This Row],[data]])</f>
        <v>2026</v>
      </c>
    </row>
    <row r="10117" spans="1:9" x14ac:dyDescent="0.25">
      <c r="A10117" t="s">
        <v>6</v>
      </c>
      <c r="B10117" s="1">
        <v>46079</v>
      </c>
      <c r="C10117">
        <v>12</v>
      </c>
      <c r="D10117">
        <v>979.44</v>
      </c>
      <c r="E10117">
        <v>278.88</v>
      </c>
      <c r="F10117" t="s">
        <v>7</v>
      </c>
      <c r="G10117" t="s">
        <v>12</v>
      </c>
      <c r="H10117" s="5">
        <f>MONTH(Tabela1[[#This Row],[data]])</f>
        <v>2</v>
      </c>
      <c r="I10117">
        <f>YEAR(Tabela1[[#This Row],[data]])</f>
        <v>2026</v>
      </c>
    </row>
    <row r="10118" spans="1:9" x14ac:dyDescent="0.25">
      <c r="A10118" t="s">
        <v>6</v>
      </c>
      <c r="B10118" s="1">
        <v>46079</v>
      </c>
      <c r="C10118">
        <v>13</v>
      </c>
      <c r="D10118">
        <v>965.16</v>
      </c>
      <c r="E10118">
        <v>256.62</v>
      </c>
      <c r="F10118" t="s">
        <v>7</v>
      </c>
      <c r="G10118" t="s">
        <v>12</v>
      </c>
      <c r="H10118" s="5">
        <f>MONTH(Tabela1[[#This Row],[data]])</f>
        <v>2</v>
      </c>
      <c r="I10118">
        <f>YEAR(Tabela1[[#This Row],[data]])</f>
        <v>2026</v>
      </c>
    </row>
    <row r="10119" spans="1:9" x14ac:dyDescent="0.25">
      <c r="A10119" t="s">
        <v>6</v>
      </c>
      <c r="B10119" s="1">
        <v>46079</v>
      </c>
      <c r="C10119">
        <v>14</v>
      </c>
      <c r="D10119">
        <v>990.36</v>
      </c>
      <c r="E10119">
        <v>260.82</v>
      </c>
      <c r="F10119" t="s">
        <v>7</v>
      </c>
      <c r="G10119" t="s">
        <v>12</v>
      </c>
      <c r="H10119" s="5">
        <f>MONTH(Tabela1[[#This Row],[data]])</f>
        <v>2</v>
      </c>
      <c r="I10119">
        <f>YEAR(Tabela1[[#This Row],[data]])</f>
        <v>2026</v>
      </c>
    </row>
    <row r="10120" spans="1:9" x14ac:dyDescent="0.25">
      <c r="A10120" t="s">
        <v>6</v>
      </c>
      <c r="B10120" s="1">
        <v>46079</v>
      </c>
      <c r="C10120">
        <v>15</v>
      </c>
      <c r="D10120">
        <v>977.34</v>
      </c>
      <c r="E10120">
        <v>269.22000000000003</v>
      </c>
      <c r="F10120" t="s">
        <v>7</v>
      </c>
      <c r="G10120" t="s">
        <v>12</v>
      </c>
      <c r="H10120" s="5">
        <f>MONTH(Tabela1[[#This Row],[data]])</f>
        <v>2</v>
      </c>
      <c r="I10120">
        <f>YEAR(Tabela1[[#This Row],[data]])</f>
        <v>2026</v>
      </c>
    </row>
    <row r="10121" spans="1:9" x14ac:dyDescent="0.25">
      <c r="A10121" t="s">
        <v>6</v>
      </c>
      <c r="B10121" s="1">
        <v>46079</v>
      </c>
      <c r="C10121">
        <v>16</v>
      </c>
      <c r="D10121">
        <v>981.54</v>
      </c>
      <c r="E10121">
        <v>262.08</v>
      </c>
      <c r="F10121" t="s">
        <v>7</v>
      </c>
      <c r="G10121" t="s">
        <v>12</v>
      </c>
      <c r="H10121" s="5">
        <f>MONTH(Tabela1[[#This Row],[data]])</f>
        <v>2</v>
      </c>
      <c r="I10121">
        <f>YEAR(Tabela1[[#This Row],[data]])</f>
        <v>2026</v>
      </c>
    </row>
    <row r="10122" spans="1:9" x14ac:dyDescent="0.25">
      <c r="A10122" t="s">
        <v>6</v>
      </c>
      <c r="B10122" s="1">
        <v>46079</v>
      </c>
      <c r="C10122">
        <v>17</v>
      </c>
      <c r="D10122">
        <v>972.72</v>
      </c>
      <c r="E10122">
        <v>251.58</v>
      </c>
      <c r="F10122" t="s">
        <v>7</v>
      </c>
      <c r="G10122" t="s">
        <v>12</v>
      </c>
      <c r="H10122" s="5">
        <f>MONTH(Tabela1[[#This Row],[data]])</f>
        <v>2</v>
      </c>
      <c r="I10122">
        <f>YEAR(Tabela1[[#This Row],[data]])</f>
        <v>2026</v>
      </c>
    </row>
    <row r="10123" spans="1:9" x14ac:dyDescent="0.25">
      <c r="A10123" t="s">
        <v>6</v>
      </c>
      <c r="B10123" s="1">
        <v>46079</v>
      </c>
      <c r="C10123">
        <v>18</v>
      </c>
      <c r="D10123">
        <v>943.32</v>
      </c>
      <c r="E10123">
        <v>238.56</v>
      </c>
      <c r="F10123" t="s">
        <v>7</v>
      </c>
      <c r="G10123" t="s">
        <v>12</v>
      </c>
      <c r="H10123" s="5">
        <f>MONTH(Tabela1[[#This Row],[data]])</f>
        <v>2</v>
      </c>
      <c r="I10123">
        <f>YEAR(Tabela1[[#This Row],[data]])</f>
        <v>2026</v>
      </c>
    </row>
    <row r="10124" spans="1:9" x14ac:dyDescent="0.25">
      <c r="A10124" t="s">
        <v>6</v>
      </c>
      <c r="B10124" s="1">
        <v>46079</v>
      </c>
      <c r="C10124">
        <v>19</v>
      </c>
      <c r="D10124">
        <v>908.04</v>
      </c>
      <c r="E10124">
        <v>222.18</v>
      </c>
      <c r="F10124" t="s">
        <v>7</v>
      </c>
      <c r="G10124" t="s">
        <v>12</v>
      </c>
      <c r="H10124" s="5">
        <f>MONTH(Tabela1[[#This Row],[data]])</f>
        <v>2</v>
      </c>
      <c r="I10124">
        <f>YEAR(Tabela1[[#This Row],[data]])</f>
        <v>2026</v>
      </c>
    </row>
    <row r="10125" spans="1:9" x14ac:dyDescent="0.25">
      <c r="A10125" t="s">
        <v>6</v>
      </c>
      <c r="B10125" s="1">
        <v>46079</v>
      </c>
      <c r="C10125">
        <v>20</v>
      </c>
      <c r="D10125">
        <v>884.1</v>
      </c>
      <c r="E10125">
        <v>193.2</v>
      </c>
      <c r="F10125" t="s">
        <v>7</v>
      </c>
      <c r="G10125" t="s">
        <v>12</v>
      </c>
      <c r="H10125" s="5">
        <f>MONTH(Tabela1[[#This Row],[data]])</f>
        <v>2</v>
      </c>
      <c r="I10125">
        <f>YEAR(Tabela1[[#This Row],[data]])</f>
        <v>2026</v>
      </c>
    </row>
    <row r="10126" spans="1:9" x14ac:dyDescent="0.25">
      <c r="A10126" t="s">
        <v>6</v>
      </c>
      <c r="B10126" s="1">
        <v>46079</v>
      </c>
      <c r="C10126">
        <v>21</v>
      </c>
      <c r="D10126">
        <v>839.58</v>
      </c>
      <c r="E10126">
        <v>183.12</v>
      </c>
      <c r="F10126" t="s">
        <v>7</v>
      </c>
      <c r="G10126" t="s">
        <v>12</v>
      </c>
      <c r="H10126" s="5">
        <f>MONTH(Tabela1[[#This Row],[data]])</f>
        <v>2</v>
      </c>
      <c r="I10126">
        <f>YEAR(Tabela1[[#This Row],[data]])</f>
        <v>2026</v>
      </c>
    </row>
    <row r="10127" spans="1:9" x14ac:dyDescent="0.25">
      <c r="A10127" t="s">
        <v>6</v>
      </c>
      <c r="B10127" s="1">
        <v>46079</v>
      </c>
      <c r="C10127">
        <v>22</v>
      </c>
      <c r="D10127">
        <v>698.88</v>
      </c>
      <c r="E10127">
        <v>117.6</v>
      </c>
      <c r="F10127" t="s">
        <v>7</v>
      </c>
      <c r="G10127" t="s">
        <v>12</v>
      </c>
      <c r="H10127" s="5">
        <f>MONTH(Tabela1[[#This Row],[data]])</f>
        <v>2</v>
      </c>
      <c r="I10127">
        <f>YEAR(Tabela1[[#This Row],[data]])</f>
        <v>2026</v>
      </c>
    </row>
    <row r="10128" spans="1:9" x14ac:dyDescent="0.25">
      <c r="A10128" t="s">
        <v>6</v>
      </c>
      <c r="B10128" s="1">
        <v>46079</v>
      </c>
      <c r="C10128">
        <v>23</v>
      </c>
      <c r="D10128">
        <v>340.2</v>
      </c>
      <c r="E10128">
        <v>0</v>
      </c>
      <c r="F10128" t="s">
        <v>7</v>
      </c>
      <c r="G10128" t="s">
        <v>12</v>
      </c>
      <c r="H10128" s="5">
        <f>MONTH(Tabela1[[#This Row],[data]])</f>
        <v>2</v>
      </c>
      <c r="I10128">
        <f>YEAR(Tabela1[[#This Row],[data]])</f>
        <v>2026</v>
      </c>
    </row>
    <row r="10129" spans="1:9" x14ac:dyDescent="0.25">
      <c r="A10129" t="s">
        <v>6</v>
      </c>
      <c r="B10129" s="1">
        <v>46079</v>
      </c>
      <c r="C10129">
        <v>24</v>
      </c>
      <c r="D10129">
        <v>261.66000000000003</v>
      </c>
      <c r="E10129">
        <v>0</v>
      </c>
      <c r="F10129" t="s">
        <v>7</v>
      </c>
      <c r="G10129" t="s">
        <v>12</v>
      </c>
      <c r="H10129" s="5">
        <f>MONTH(Tabela1[[#This Row],[data]])</f>
        <v>2</v>
      </c>
      <c r="I10129">
        <f>YEAR(Tabela1[[#This Row],[data]])</f>
        <v>2026</v>
      </c>
    </row>
    <row r="10130" spans="1:9" x14ac:dyDescent="0.25">
      <c r="A10130" t="s">
        <v>6</v>
      </c>
      <c r="B10130" s="1">
        <v>46080</v>
      </c>
      <c r="C10130">
        <v>1</v>
      </c>
      <c r="D10130">
        <v>233.52</v>
      </c>
      <c r="E10130">
        <v>0</v>
      </c>
      <c r="F10130" t="s">
        <v>7</v>
      </c>
      <c r="G10130" t="s">
        <v>11</v>
      </c>
      <c r="H10130" s="5">
        <f>MONTH(Tabela1[[#This Row],[data]])</f>
        <v>2</v>
      </c>
      <c r="I10130">
        <f>YEAR(Tabela1[[#This Row],[data]])</f>
        <v>2026</v>
      </c>
    </row>
    <row r="10131" spans="1:9" x14ac:dyDescent="0.25">
      <c r="A10131" t="s">
        <v>6</v>
      </c>
      <c r="B10131" s="1">
        <v>46080</v>
      </c>
      <c r="C10131">
        <v>2</v>
      </c>
      <c r="D10131">
        <v>223.02</v>
      </c>
      <c r="E10131">
        <v>0</v>
      </c>
      <c r="F10131" t="s">
        <v>7</v>
      </c>
      <c r="G10131" t="s">
        <v>11</v>
      </c>
      <c r="H10131" s="5">
        <f>MONTH(Tabela1[[#This Row],[data]])</f>
        <v>2</v>
      </c>
      <c r="I10131">
        <f>YEAR(Tabela1[[#This Row],[data]])</f>
        <v>2026</v>
      </c>
    </row>
    <row r="10132" spans="1:9" x14ac:dyDescent="0.25">
      <c r="A10132" t="s">
        <v>6</v>
      </c>
      <c r="B10132" s="1">
        <v>46080</v>
      </c>
      <c r="C10132">
        <v>3</v>
      </c>
      <c r="D10132">
        <v>221.34</v>
      </c>
      <c r="E10132">
        <v>0</v>
      </c>
      <c r="F10132" t="s">
        <v>7</v>
      </c>
      <c r="G10132" t="s">
        <v>11</v>
      </c>
      <c r="H10132" s="5">
        <f>MONTH(Tabela1[[#This Row],[data]])</f>
        <v>2</v>
      </c>
      <c r="I10132">
        <f>YEAR(Tabela1[[#This Row],[data]])</f>
        <v>2026</v>
      </c>
    </row>
    <row r="10133" spans="1:9" x14ac:dyDescent="0.25">
      <c r="A10133" t="s">
        <v>6</v>
      </c>
      <c r="B10133" s="1">
        <v>46080</v>
      </c>
      <c r="C10133">
        <v>4</v>
      </c>
      <c r="D10133">
        <v>217.14</v>
      </c>
      <c r="E10133">
        <v>0</v>
      </c>
      <c r="F10133" t="s">
        <v>7</v>
      </c>
      <c r="G10133" t="s">
        <v>11</v>
      </c>
      <c r="H10133" s="5">
        <f>MONTH(Tabela1[[#This Row],[data]])</f>
        <v>2</v>
      </c>
      <c r="I10133">
        <f>YEAR(Tabela1[[#This Row],[data]])</f>
        <v>2026</v>
      </c>
    </row>
    <row r="10134" spans="1:9" x14ac:dyDescent="0.25">
      <c r="A10134" t="s">
        <v>6</v>
      </c>
      <c r="B10134" s="1">
        <v>46080</v>
      </c>
      <c r="C10134">
        <v>5</v>
      </c>
      <c r="D10134">
        <v>214.62</v>
      </c>
      <c r="E10134">
        <v>0</v>
      </c>
      <c r="F10134" t="s">
        <v>7</v>
      </c>
      <c r="G10134" t="s">
        <v>11</v>
      </c>
      <c r="H10134" s="5">
        <f>MONTH(Tabela1[[#This Row],[data]])</f>
        <v>2</v>
      </c>
      <c r="I10134">
        <f>YEAR(Tabela1[[#This Row],[data]])</f>
        <v>2026</v>
      </c>
    </row>
    <row r="10135" spans="1:9" x14ac:dyDescent="0.25">
      <c r="A10135" t="s">
        <v>6</v>
      </c>
      <c r="B10135" s="1">
        <v>46080</v>
      </c>
      <c r="C10135">
        <v>6</v>
      </c>
      <c r="D10135">
        <v>213.36</v>
      </c>
      <c r="E10135">
        <v>0</v>
      </c>
      <c r="F10135" t="s">
        <v>7</v>
      </c>
      <c r="G10135" t="s">
        <v>11</v>
      </c>
      <c r="H10135" s="5">
        <f>MONTH(Tabela1[[#This Row],[data]])</f>
        <v>2</v>
      </c>
      <c r="I10135">
        <f>YEAR(Tabela1[[#This Row],[data]])</f>
        <v>2026</v>
      </c>
    </row>
    <row r="10136" spans="1:9" x14ac:dyDescent="0.25">
      <c r="A10136" t="s">
        <v>6</v>
      </c>
      <c r="B10136" s="1">
        <v>46080</v>
      </c>
      <c r="C10136">
        <v>7</v>
      </c>
      <c r="D10136">
        <v>202.86</v>
      </c>
      <c r="E10136">
        <v>0</v>
      </c>
      <c r="F10136" t="s">
        <v>7</v>
      </c>
      <c r="G10136" t="s">
        <v>11</v>
      </c>
      <c r="H10136" s="5">
        <f>MONTH(Tabela1[[#This Row],[data]])</f>
        <v>2</v>
      </c>
      <c r="I10136">
        <f>YEAR(Tabela1[[#This Row],[data]])</f>
        <v>2026</v>
      </c>
    </row>
    <row r="10137" spans="1:9" x14ac:dyDescent="0.25">
      <c r="A10137" t="s">
        <v>6</v>
      </c>
      <c r="B10137" s="1">
        <v>46080</v>
      </c>
      <c r="C10137">
        <v>8</v>
      </c>
      <c r="D10137">
        <v>236.46</v>
      </c>
      <c r="E10137">
        <v>0</v>
      </c>
      <c r="F10137" t="s">
        <v>7</v>
      </c>
      <c r="G10137" t="s">
        <v>11</v>
      </c>
      <c r="H10137" s="5">
        <f>MONTH(Tabela1[[#This Row],[data]])</f>
        <v>2</v>
      </c>
      <c r="I10137">
        <f>YEAR(Tabela1[[#This Row],[data]])</f>
        <v>2026</v>
      </c>
    </row>
    <row r="10138" spans="1:9" x14ac:dyDescent="0.25">
      <c r="A10138" t="s">
        <v>6</v>
      </c>
      <c r="B10138" s="1">
        <v>46080</v>
      </c>
      <c r="C10138">
        <v>9</v>
      </c>
      <c r="D10138">
        <v>342.72</v>
      </c>
      <c r="E10138">
        <v>0</v>
      </c>
      <c r="F10138" t="s">
        <v>7</v>
      </c>
      <c r="G10138" t="s">
        <v>11</v>
      </c>
      <c r="H10138" s="5">
        <f>MONTH(Tabela1[[#This Row],[data]])</f>
        <v>2</v>
      </c>
      <c r="I10138">
        <f>YEAR(Tabela1[[#This Row],[data]])</f>
        <v>2026</v>
      </c>
    </row>
    <row r="10139" spans="1:9" x14ac:dyDescent="0.25">
      <c r="A10139" t="s">
        <v>6</v>
      </c>
      <c r="B10139" s="1">
        <v>46080</v>
      </c>
      <c r="C10139">
        <v>10</v>
      </c>
      <c r="D10139">
        <v>511.14</v>
      </c>
      <c r="E10139">
        <v>47.04</v>
      </c>
      <c r="F10139" t="s">
        <v>7</v>
      </c>
      <c r="G10139" t="s">
        <v>11</v>
      </c>
      <c r="H10139" s="5">
        <f>MONTH(Tabela1[[#This Row],[data]])</f>
        <v>2</v>
      </c>
      <c r="I10139">
        <f>YEAR(Tabela1[[#This Row],[data]])</f>
        <v>2026</v>
      </c>
    </row>
    <row r="10140" spans="1:9" x14ac:dyDescent="0.25">
      <c r="A10140" t="s">
        <v>6</v>
      </c>
      <c r="B10140" s="1">
        <v>46080</v>
      </c>
      <c r="C10140">
        <v>11</v>
      </c>
      <c r="D10140">
        <v>847.56</v>
      </c>
      <c r="E10140">
        <v>224.7</v>
      </c>
      <c r="F10140" t="s">
        <v>7</v>
      </c>
      <c r="G10140" t="s">
        <v>11</v>
      </c>
      <c r="H10140" s="5">
        <f>MONTH(Tabela1[[#This Row],[data]])</f>
        <v>2</v>
      </c>
      <c r="I10140">
        <f>YEAR(Tabela1[[#This Row],[data]])</f>
        <v>2026</v>
      </c>
    </row>
    <row r="10141" spans="1:9" x14ac:dyDescent="0.25">
      <c r="A10141" t="s">
        <v>6</v>
      </c>
      <c r="B10141" s="1">
        <v>46080</v>
      </c>
      <c r="C10141">
        <v>12</v>
      </c>
      <c r="D10141">
        <v>809.34</v>
      </c>
      <c r="E10141">
        <v>200.76</v>
      </c>
      <c r="F10141" t="s">
        <v>7</v>
      </c>
      <c r="G10141" t="s">
        <v>11</v>
      </c>
      <c r="H10141" s="5">
        <f>MONTH(Tabela1[[#This Row],[data]])</f>
        <v>2</v>
      </c>
      <c r="I10141">
        <f>YEAR(Tabela1[[#This Row],[data]])</f>
        <v>2026</v>
      </c>
    </row>
    <row r="10142" spans="1:9" x14ac:dyDescent="0.25">
      <c r="A10142" t="s">
        <v>6</v>
      </c>
      <c r="B10142" s="1">
        <v>46080</v>
      </c>
      <c r="C10142">
        <v>13</v>
      </c>
      <c r="D10142">
        <v>816.06</v>
      </c>
      <c r="E10142">
        <v>186.48</v>
      </c>
      <c r="F10142" t="s">
        <v>7</v>
      </c>
      <c r="G10142" t="s">
        <v>11</v>
      </c>
      <c r="H10142" s="5">
        <f>MONTH(Tabela1[[#This Row],[data]])</f>
        <v>2</v>
      </c>
      <c r="I10142">
        <f>YEAR(Tabela1[[#This Row],[data]])</f>
        <v>2026</v>
      </c>
    </row>
    <row r="10143" spans="1:9" x14ac:dyDescent="0.25">
      <c r="A10143" t="s">
        <v>6</v>
      </c>
      <c r="B10143" s="1">
        <v>46080</v>
      </c>
      <c r="C10143">
        <v>14</v>
      </c>
      <c r="D10143">
        <v>817.74</v>
      </c>
      <c r="E10143">
        <v>161.28</v>
      </c>
      <c r="F10143" t="s">
        <v>7</v>
      </c>
      <c r="G10143" t="s">
        <v>11</v>
      </c>
      <c r="H10143" s="5">
        <f>MONTH(Tabela1[[#This Row],[data]])</f>
        <v>2</v>
      </c>
      <c r="I10143">
        <f>YEAR(Tabela1[[#This Row],[data]])</f>
        <v>2026</v>
      </c>
    </row>
    <row r="10144" spans="1:9" x14ac:dyDescent="0.25">
      <c r="A10144" t="s">
        <v>6</v>
      </c>
      <c r="B10144" s="1">
        <v>46080</v>
      </c>
      <c r="C10144">
        <v>15</v>
      </c>
      <c r="D10144">
        <v>832.02</v>
      </c>
      <c r="E10144">
        <v>164.64</v>
      </c>
      <c r="F10144" t="s">
        <v>7</v>
      </c>
      <c r="G10144" t="s">
        <v>11</v>
      </c>
      <c r="H10144" s="5">
        <f>MONTH(Tabela1[[#This Row],[data]])</f>
        <v>2</v>
      </c>
      <c r="I10144">
        <f>YEAR(Tabela1[[#This Row],[data]])</f>
        <v>2026</v>
      </c>
    </row>
    <row r="10145" spans="1:9" x14ac:dyDescent="0.25">
      <c r="A10145" t="s">
        <v>6</v>
      </c>
      <c r="B10145" s="1">
        <v>46080</v>
      </c>
      <c r="C10145">
        <v>16</v>
      </c>
      <c r="D10145">
        <v>823.62</v>
      </c>
      <c r="E10145">
        <v>173.46</v>
      </c>
      <c r="F10145" t="s">
        <v>7</v>
      </c>
      <c r="G10145" t="s">
        <v>11</v>
      </c>
      <c r="H10145" s="5">
        <f>MONTH(Tabela1[[#This Row],[data]])</f>
        <v>2</v>
      </c>
      <c r="I10145">
        <f>YEAR(Tabela1[[#This Row],[data]])</f>
        <v>2026</v>
      </c>
    </row>
    <row r="10146" spans="1:9" x14ac:dyDescent="0.25">
      <c r="A10146" t="s">
        <v>6</v>
      </c>
      <c r="B10146" s="1">
        <v>46080</v>
      </c>
      <c r="C10146">
        <v>17</v>
      </c>
      <c r="D10146">
        <v>807.24</v>
      </c>
      <c r="E10146">
        <v>181.86</v>
      </c>
      <c r="F10146" t="s">
        <v>7</v>
      </c>
      <c r="G10146" t="s">
        <v>11</v>
      </c>
      <c r="H10146" s="5">
        <f>MONTH(Tabela1[[#This Row],[data]])</f>
        <v>2</v>
      </c>
      <c r="I10146">
        <f>YEAR(Tabela1[[#This Row],[data]])</f>
        <v>2026</v>
      </c>
    </row>
    <row r="10147" spans="1:9" x14ac:dyDescent="0.25">
      <c r="A10147" t="s">
        <v>6</v>
      </c>
      <c r="B10147" s="1">
        <v>46080</v>
      </c>
      <c r="C10147">
        <v>18</v>
      </c>
      <c r="D10147">
        <v>832.44</v>
      </c>
      <c r="E10147">
        <v>178.92</v>
      </c>
      <c r="F10147" t="s">
        <v>7</v>
      </c>
      <c r="G10147" t="s">
        <v>11</v>
      </c>
      <c r="H10147" s="5">
        <f>MONTH(Tabela1[[#This Row],[data]])</f>
        <v>2</v>
      </c>
      <c r="I10147">
        <f>YEAR(Tabela1[[#This Row],[data]])</f>
        <v>2026</v>
      </c>
    </row>
    <row r="10148" spans="1:9" x14ac:dyDescent="0.25">
      <c r="A10148" t="s">
        <v>6</v>
      </c>
      <c r="B10148" s="1">
        <v>46080</v>
      </c>
      <c r="C10148">
        <v>19</v>
      </c>
      <c r="D10148">
        <v>788.34</v>
      </c>
      <c r="E10148">
        <v>148.68</v>
      </c>
      <c r="F10148" t="s">
        <v>7</v>
      </c>
      <c r="G10148" t="s">
        <v>11</v>
      </c>
      <c r="H10148" s="5">
        <f>MONTH(Tabela1[[#This Row],[data]])</f>
        <v>2</v>
      </c>
      <c r="I10148">
        <f>YEAR(Tabela1[[#This Row],[data]])</f>
        <v>2026</v>
      </c>
    </row>
    <row r="10149" spans="1:9" x14ac:dyDescent="0.25">
      <c r="A10149" t="s">
        <v>6</v>
      </c>
      <c r="B10149" s="1">
        <v>46080</v>
      </c>
      <c r="C10149">
        <v>20</v>
      </c>
      <c r="D10149">
        <v>773.22</v>
      </c>
      <c r="E10149">
        <v>137.34</v>
      </c>
      <c r="F10149" t="s">
        <v>7</v>
      </c>
      <c r="G10149" t="s">
        <v>11</v>
      </c>
      <c r="H10149" s="5">
        <f>MONTH(Tabela1[[#This Row],[data]])</f>
        <v>2</v>
      </c>
      <c r="I10149">
        <f>YEAR(Tabela1[[#This Row],[data]])</f>
        <v>2026</v>
      </c>
    </row>
    <row r="10150" spans="1:9" x14ac:dyDescent="0.25">
      <c r="A10150" t="s">
        <v>6</v>
      </c>
      <c r="B10150" s="1">
        <v>46080</v>
      </c>
      <c r="C10150">
        <v>21</v>
      </c>
      <c r="D10150">
        <v>781.2</v>
      </c>
      <c r="E10150">
        <v>144.47999999999999</v>
      </c>
      <c r="F10150" t="s">
        <v>7</v>
      </c>
      <c r="G10150" t="s">
        <v>11</v>
      </c>
      <c r="H10150" s="5">
        <f>MONTH(Tabela1[[#This Row],[data]])</f>
        <v>2</v>
      </c>
      <c r="I10150">
        <f>YEAR(Tabela1[[#This Row],[data]])</f>
        <v>2026</v>
      </c>
    </row>
    <row r="10151" spans="1:9" x14ac:dyDescent="0.25">
      <c r="A10151" t="s">
        <v>6</v>
      </c>
      <c r="B10151" s="1">
        <v>46080</v>
      </c>
      <c r="C10151">
        <v>22</v>
      </c>
      <c r="D10151">
        <v>753.06</v>
      </c>
      <c r="E10151">
        <v>134.4</v>
      </c>
      <c r="F10151" t="s">
        <v>7</v>
      </c>
      <c r="G10151" t="s">
        <v>11</v>
      </c>
      <c r="H10151" s="5">
        <f>MONTH(Tabela1[[#This Row],[data]])</f>
        <v>2</v>
      </c>
      <c r="I10151">
        <f>YEAR(Tabela1[[#This Row],[data]])</f>
        <v>2026</v>
      </c>
    </row>
    <row r="10152" spans="1:9" x14ac:dyDescent="0.25">
      <c r="A10152" t="s">
        <v>6</v>
      </c>
      <c r="B10152" s="1">
        <v>46080</v>
      </c>
      <c r="C10152">
        <v>23</v>
      </c>
      <c r="D10152">
        <v>420.84</v>
      </c>
      <c r="E10152">
        <v>21</v>
      </c>
      <c r="F10152" t="s">
        <v>7</v>
      </c>
      <c r="G10152" t="s">
        <v>11</v>
      </c>
      <c r="H10152" s="5">
        <f>MONTH(Tabela1[[#This Row],[data]])</f>
        <v>2</v>
      </c>
      <c r="I10152">
        <f>YEAR(Tabela1[[#This Row],[data]])</f>
        <v>2026</v>
      </c>
    </row>
    <row r="10153" spans="1:9" x14ac:dyDescent="0.25">
      <c r="A10153" t="s">
        <v>6</v>
      </c>
      <c r="B10153" s="1">
        <v>46080</v>
      </c>
      <c r="C10153">
        <v>24</v>
      </c>
      <c r="D10153">
        <v>267.12</v>
      </c>
      <c r="E10153">
        <v>0</v>
      </c>
      <c r="F10153" t="s">
        <v>7</v>
      </c>
      <c r="G10153" t="s">
        <v>11</v>
      </c>
      <c r="H10153" s="5">
        <f>MONTH(Tabela1[[#This Row],[data]])</f>
        <v>2</v>
      </c>
      <c r="I10153">
        <f>YEAR(Tabela1[[#This Row],[data]])</f>
        <v>2026</v>
      </c>
    </row>
    <row r="10154" spans="1:9" x14ac:dyDescent="0.25">
      <c r="A10154" t="s">
        <v>6</v>
      </c>
      <c r="B10154" s="1">
        <v>46081</v>
      </c>
      <c r="C10154">
        <v>1</v>
      </c>
      <c r="D10154">
        <v>223.86</v>
      </c>
      <c r="E10154">
        <v>0</v>
      </c>
      <c r="F10154" t="s">
        <v>7</v>
      </c>
      <c r="G10154" t="s">
        <v>11</v>
      </c>
      <c r="H10154" s="5">
        <f>MONTH(Tabela1[[#This Row],[data]])</f>
        <v>2</v>
      </c>
      <c r="I10154">
        <f>YEAR(Tabela1[[#This Row],[data]])</f>
        <v>2026</v>
      </c>
    </row>
    <row r="10155" spans="1:9" x14ac:dyDescent="0.25">
      <c r="A10155" t="s">
        <v>6</v>
      </c>
      <c r="B10155" s="1">
        <v>46081</v>
      </c>
      <c r="C10155">
        <v>2</v>
      </c>
      <c r="D10155">
        <v>217.56</v>
      </c>
      <c r="E10155">
        <v>0</v>
      </c>
      <c r="F10155" t="s">
        <v>7</v>
      </c>
      <c r="G10155" t="s">
        <v>11</v>
      </c>
      <c r="H10155" s="5">
        <f>MONTH(Tabela1[[#This Row],[data]])</f>
        <v>2</v>
      </c>
      <c r="I10155">
        <f>YEAR(Tabela1[[#This Row],[data]])</f>
        <v>2026</v>
      </c>
    </row>
    <row r="10156" spans="1:9" x14ac:dyDescent="0.25">
      <c r="A10156" t="s">
        <v>6</v>
      </c>
      <c r="B10156" s="1">
        <v>46081</v>
      </c>
      <c r="C10156">
        <v>3</v>
      </c>
      <c r="D10156">
        <v>214.62</v>
      </c>
      <c r="E10156">
        <v>0</v>
      </c>
      <c r="F10156" t="s">
        <v>7</v>
      </c>
      <c r="G10156" t="s">
        <v>11</v>
      </c>
      <c r="H10156" s="5">
        <f>MONTH(Tabela1[[#This Row],[data]])</f>
        <v>2</v>
      </c>
      <c r="I10156">
        <f>YEAR(Tabela1[[#This Row],[data]])</f>
        <v>2026</v>
      </c>
    </row>
    <row r="10157" spans="1:9" x14ac:dyDescent="0.25">
      <c r="A10157" t="s">
        <v>6</v>
      </c>
      <c r="B10157" s="1">
        <v>46081</v>
      </c>
      <c r="C10157">
        <v>4</v>
      </c>
      <c r="D10157">
        <v>212.1</v>
      </c>
      <c r="E10157">
        <v>0</v>
      </c>
      <c r="F10157" t="s">
        <v>7</v>
      </c>
      <c r="G10157" t="s">
        <v>11</v>
      </c>
      <c r="H10157" s="5">
        <f>MONTH(Tabela1[[#This Row],[data]])</f>
        <v>2</v>
      </c>
      <c r="I10157">
        <f>YEAR(Tabela1[[#This Row],[data]])</f>
        <v>2026</v>
      </c>
    </row>
    <row r="10158" spans="1:9" x14ac:dyDescent="0.25">
      <c r="A10158" t="s">
        <v>6</v>
      </c>
      <c r="B10158" s="1">
        <v>46081</v>
      </c>
      <c r="C10158">
        <v>5</v>
      </c>
      <c r="D10158">
        <v>217.56</v>
      </c>
      <c r="E10158">
        <v>0</v>
      </c>
      <c r="F10158" t="s">
        <v>7</v>
      </c>
      <c r="G10158" t="s">
        <v>11</v>
      </c>
      <c r="H10158" s="5">
        <f>MONTH(Tabela1[[#This Row],[data]])</f>
        <v>2</v>
      </c>
      <c r="I10158">
        <f>YEAR(Tabela1[[#This Row],[data]])</f>
        <v>2026</v>
      </c>
    </row>
    <row r="10159" spans="1:9" x14ac:dyDescent="0.25">
      <c r="A10159" t="s">
        <v>6</v>
      </c>
      <c r="B10159" s="1">
        <v>46081</v>
      </c>
      <c r="C10159">
        <v>6</v>
      </c>
      <c r="D10159">
        <v>212.52</v>
      </c>
      <c r="E10159">
        <v>0</v>
      </c>
      <c r="F10159" t="s">
        <v>7</v>
      </c>
      <c r="G10159" t="s">
        <v>11</v>
      </c>
      <c r="H10159" s="5">
        <f>MONTH(Tabela1[[#This Row],[data]])</f>
        <v>2</v>
      </c>
      <c r="I10159">
        <f>YEAR(Tabela1[[#This Row],[data]])</f>
        <v>2026</v>
      </c>
    </row>
    <row r="10160" spans="1:9" x14ac:dyDescent="0.25">
      <c r="A10160" t="s">
        <v>6</v>
      </c>
      <c r="B10160" s="1">
        <v>46081</v>
      </c>
      <c r="C10160">
        <v>7</v>
      </c>
      <c r="D10160">
        <v>219.66</v>
      </c>
      <c r="E10160">
        <v>0</v>
      </c>
      <c r="F10160" t="s">
        <v>7</v>
      </c>
      <c r="G10160" t="s">
        <v>11</v>
      </c>
      <c r="H10160" s="5">
        <f>MONTH(Tabela1[[#This Row],[data]])</f>
        <v>2</v>
      </c>
      <c r="I10160">
        <f>YEAR(Tabela1[[#This Row],[data]])</f>
        <v>2026</v>
      </c>
    </row>
    <row r="10161" spans="1:9" x14ac:dyDescent="0.25">
      <c r="A10161" t="s">
        <v>6</v>
      </c>
      <c r="B10161" s="1">
        <v>46081</v>
      </c>
      <c r="C10161">
        <v>8</v>
      </c>
      <c r="D10161">
        <v>243.18</v>
      </c>
      <c r="E10161">
        <v>0</v>
      </c>
      <c r="F10161" t="s">
        <v>7</v>
      </c>
      <c r="G10161" t="s">
        <v>11</v>
      </c>
      <c r="H10161" s="5">
        <f>MONTH(Tabela1[[#This Row],[data]])</f>
        <v>2</v>
      </c>
      <c r="I10161">
        <f>YEAR(Tabela1[[#This Row],[data]])</f>
        <v>2026</v>
      </c>
    </row>
    <row r="10162" spans="1:9" x14ac:dyDescent="0.25">
      <c r="A10162" t="s">
        <v>6</v>
      </c>
      <c r="B10162" s="1">
        <v>46081</v>
      </c>
      <c r="C10162">
        <v>9</v>
      </c>
      <c r="D10162">
        <v>359.52</v>
      </c>
      <c r="E10162">
        <v>0</v>
      </c>
      <c r="F10162" t="s">
        <v>7</v>
      </c>
      <c r="G10162" t="s">
        <v>11</v>
      </c>
      <c r="H10162" s="5">
        <f>MONTH(Tabela1[[#This Row],[data]])</f>
        <v>2</v>
      </c>
      <c r="I10162">
        <f>YEAR(Tabela1[[#This Row],[data]])</f>
        <v>2026</v>
      </c>
    </row>
    <row r="10163" spans="1:9" x14ac:dyDescent="0.25">
      <c r="A10163" t="s">
        <v>6</v>
      </c>
      <c r="B10163" s="1">
        <v>46081</v>
      </c>
      <c r="C10163">
        <v>10</v>
      </c>
      <c r="D10163">
        <v>461.58</v>
      </c>
      <c r="E10163">
        <v>23.94</v>
      </c>
      <c r="F10163" t="s">
        <v>7</v>
      </c>
      <c r="G10163" t="s">
        <v>11</v>
      </c>
      <c r="H10163" s="5">
        <f>MONTH(Tabela1[[#This Row],[data]])</f>
        <v>2</v>
      </c>
      <c r="I10163">
        <f>YEAR(Tabela1[[#This Row],[data]])</f>
        <v>2026</v>
      </c>
    </row>
    <row r="10164" spans="1:9" x14ac:dyDescent="0.25">
      <c r="A10164" t="s">
        <v>6</v>
      </c>
      <c r="B10164" s="1">
        <v>46081</v>
      </c>
      <c r="C10164">
        <v>11</v>
      </c>
      <c r="D10164">
        <v>955.92</v>
      </c>
      <c r="E10164">
        <v>224.7</v>
      </c>
      <c r="F10164" t="s">
        <v>7</v>
      </c>
      <c r="G10164" t="s">
        <v>11</v>
      </c>
      <c r="H10164" s="5">
        <f>MONTH(Tabela1[[#This Row],[data]])</f>
        <v>2</v>
      </c>
      <c r="I10164">
        <f>YEAR(Tabela1[[#This Row],[data]])</f>
        <v>2026</v>
      </c>
    </row>
    <row r="10165" spans="1:9" x14ac:dyDescent="0.25">
      <c r="A10165" t="s">
        <v>6</v>
      </c>
      <c r="B10165" s="1">
        <v>46081</v>
      </c>
      <c r="C10165">
        <v>12</v>
      </c>
      <c r="D10165">
        <v>881.16</v>
      </c>
      <c r="E10165">
        <v>186.48</v>
      </c>
      <c r="F10165" t="s">
        <v>7</v>
      </c>
      <c r="G10165" t="s">
        <v>11</v>
      </c>
      <c r="H10165" s="5">
        <f>MONTH(Tabela1[[#This Row],[data]])</f>
        <v>2</v>
      </c>
      <c r="I10165">
        <f>YEAR(Tabela1[[#This Row],[data]])</f>
        <v>2026</v>
      </c>
    </row>
    <row r="10166" spans="1:9" x14ac:dyDescent="0.25">
      <c r="A10166" t="s">
        <v>6</v>
      </c>
      <c r="B10166" s="1">
        <v>46081</v>
      </c>
      <c r="C10166">
        <v>13</v>
      </c>
      <c r="D10166">
        <v>870.24</v>
      </c>
      <c r="E10166">
        <v>183.12</v>
      </c>
      <c r="F10166" t="s">
        <v>7</v>
      </c>
      <c r="G10166" t="s">
        <v>11</v>
      </c>
      <c r="H10166" s="5">
        <f>MONTH(Tabela1[[#This Row],[data]])</f>
        <v>2</v>
      </c>
      <c r="I10166">
        <f>YEAR(Tabela1[[#This Row],[data]])</f>
        <v>2026</v>
      </c>
    </row>
    <row r="10167" spans="1:9" x14ac:dyDescent="0.25">
      <c r="A10167" t="s">
        <v>6</v>
      </c>
      <c r="B10167" s="1">
        <v>46081</v>
      </c>
      <c r="C10167">
        <v>14</v>
      </c>
      <c r="D10167">
        <v>864.36</v>
      </c>
      <c r="E10167">
        <v>178.08</v>
      </c>
      <c r="F10167" t="s">
        <v>7</v>
      </c>
      <c r="G10167" t="s">
        <v>11</v>
      </c>
      <c r="H10167" s="5">
        <f>MONTH(Tabela1[[#This Row],[data]])</f>
        <v>2</v>
      </c>
      <c r="I10167">
        <f>YEAR(Tabela1[[#This Row],[data]])</f>
        <v>2026</v>
      </c>
    </row>
    <row r="10168" spans="1:9" x14ac:dyDescent="0.25">
      <c r="A10168" t="s">
        <v>6</v>
      </c>
      <c r="B10168" s="1">
        <v>46081</v>
      </c>
      <c r="C10168">
        <v>15</v>
      </c>
      <c r="D10168">
        <v>884.1</v>
      </c>
      <c r="E10168">
        <v>183.54</v>
      </c>
      <c r="F10168" t="s">
        <v>7</v>
      </c>
      <c r="G10168" t="s">
        <v>11</v>
      </c>
      <c r="H10168" s="5">
        <f>MONTH(Tabela1[[#This Row],[data]])</f>
        <v>2</v>
      </c>
      <c r="I10168">
        <f>YEAR(Tabela1[[#This Row],[data]])</f>
        <v>2026</v>
      </c>
    </row>
    <row r="10169" spans="1:9" x14ac:dyDescent="0.25">
      <c r="A10169" t="s">
        <v>6</v>
      </c>
      <c r="B10169" s="1">
        <v>46081</v>
      </c>
      <c r="C10169">
        <v>16</v>
      </c>
      <c r="D10169">
        <v>906.78</v>
      </c>
      <c r="E10169">
        <v>207.06</v>
      </c>
      <c r="F10169" t="s">
        <v>7</v>
      </c>
      <c r="G10169" t="s">
        <v>11</v>
      </c>
      <c r="H10169" s="5">
        <f>MONTH(Tabela1[[#This Row],[data]])</f>
        <v>2</v>
      </c>
      <c r="I10169">
        <f>YEAR(Tabela1[[#This Row],[data]])</f>
        <v>2026</v>
      </c>
    </row>
    <row r="10170" spans="1:9" x14ac:dyDescent="0.25">
      <c r="A10170" t="s">
        <v>6</v>
      </c>
      <c r="B10170" s="1">
        <v>46081</v>
      </c>
      <c r="C10170">
        <v>17</v>
      </c>
      <c r="D10170">
        <v>904.68</v>
      </c>
      <c r="E10170">
        <v>235.62</v>
      </c>
      <c r="F10170" t="s">
        <v>7</v>
      </c>
      <c r="G10170" t="s">
        <v>11</v>
      </c>
      <c r="H10170" s="5">
        <f>MONTH(Tabela1[[#This Row],[data]])</f>
        <v>2</v>
      </c>
      <c r="I10170">
        <f>YEAR(Tabela1[[#This Row],[data]])</f>
        <v>2026</v>
      </c>
    </row>
    <row r="10171" spans="1:9" x14ac:dyDescent="0.25">
      <c r="A10171" t="s">
        <v>6</v>
      </c>
      <c r="B10171" s="1">
        <v>46081</v>
      </c>
      <c r="C10171">
        <v>18</v>
      </c>
      <c r="D10171">
        <v>883.68</v>
      </c>
      <c r="E10171">
        <v>192.36</v>
      </c>
      <c r="F10171" t="s">
        <v>7</v>
      </c>
      <c r="G10171" t="s">
        <v>11</v>
      </c>
      <c r="H10171" s="5">
        <f>MONTH(Tabela1[[#This Row],[data]])</f>
        <v>2</v>
      </c>
      <c r="I10171">
        <f>YEAR(Tabela1[[#This Row],[data]])</f>
        <v>2026</v>
      </c>
    </row>
    <row r="10172" spans="1:9" x14ac:dyDescent="0.25">
      <c r="A10172" t="s">
        <v>6</v>
      </c>
      <c r="B10172" s="1">
        <v>46081</v>
      </c>
      <c r="C10172">
        <v>19</v>
      </c>
      <c r="D10172">
        <v>859.32</v>
      </c>
      <c r="E10172">
        <v>169.26</v>
      </c>
      <c r="F10172" t="s">
        <v>7</v>
      </c>
      <c r="G10172" t="s">
        <v>11</v>
      </c>
      <c r="H10172" s="5">
        <f>MONTH(Tabela1[[#This Row],[data]])</f>
        <v>2</v>
      </c>
      <c r="I10172">
        <f>YEAR(Tabela1[[#This Row],[data]])</f>
        <v>2026</v>
      </c>
    </row>
    <row r="10173" spans="1:9" x14ac:dyDescent="0.25">
      <c r="A10173" t="s">
        <v>6</v>
      </c>
      <c r="B10173" s="1">
        <v>46081</v>
      </c>
      <c r="C10173">
        <v>20</v>
      </c>
      <c r="D10173">
        <v>848.82</v>
      </c>
      <c r="E10173">
        <v>175.98</v>
      </c>
      <c r="F10173" t="s">
        <v>7</v>
      </c>
      <c r="G10173" t="s">
        <v>11</v>
      </c>
      <c r="H10173" s="5">
        <f>MONTH(Tabela1[[#This Row],[data]])</f>
        <v>2</v>
      </c>
      <c r="I10173">
        <f>YEAR(Tabela1[[#This Row],[data]])</f>
        <v>2026</v>
      </c>
    </row>
    <row r="10174" spans="1:9" x14ac:dyDescent="0.25">
      <c r="A10174" t="s">
        <v>6</v>
      </c>
      <c r="B10174" s="1">
        <v>46081</v>
      </c>
      <c r="C10174">
        <v>21</v>
      </c>
      <c r="D10174">
        <v>859.74</v>
      </c>
      <c r="E10174">
        <v>192.36</v>
      </c>
      <c r="F10174" t="s">
        <v>7</v>
      </c>
      <c r="G10174" t="s">
        <v>11</v>
      </c>
      <c r="H10174" s="5">
        <f>MONTH(Tabela1[[#This Row],[data]])</f>
        <v>2</v>
      </c>
      <c r="I10174">
        <f>YEAR(Tabela1[[#This Row],[data]])</f>
        <v>2026</v>
      </c>
    </row>
    <row r="10175" spans="1:9" x14ac:dyDescent="0.25">
      <c r="A10175" t="s">
        <v>6</v>
      </c>
      <c r="B10175" s="1">
        <v>46081</v>
      </c>
      <c r="C10175">
        <v>22</v>
      </c>
      <c r="D10175">
        <v>774.06</v>
      </c>
      <c r="E10175">
        <v>144.06</v>
      </c>
      <c r="F10175" t="s">
        <v>7</v>
      </c>
      <c r="G10175" t="s">
        <v>11</v>
      </c>
      <c r="H10175" s="5">
        <f>MONTH(Tabela1[[#This Row],[data]])</f>
        <v>2</v>
      </c>
      <c r="I10175">
        <f>YEAR(Tabela1[[#This Row],[data]])</f>
        <v>2026</v>
      </c>
    </row>
    <row r="10176" spans="1:9" x14ac:dyDescent="0.25">
      <c r="A10176" t="s">
        <v>6</v>
      </c>
      <c r="B10176" s="1">
        <v>46081</v>
      </c>
      <c r="C10176">
        <v>23</v>
      </c>
      <c r="D10176">
        <v>423.78</v>
      </c>
      <c r="E10176">
        <v>2.1</v>
      </c>
      <c r="F10176" t="s">
        <v>7</v>
      </c>
      <c r="G10176" t="s">
        <v>11</v>
      </c>
      <c r="H10176" s="5">
        <f>MONTH(Tabela1[[#This Row],[data]])</f>
        <v>2</v>
      </c>
      <c r="I10176">
        <f>YEAR(Tabela1[[#This Row],[data]])</f>
        <v>2026</v>
      </c>
    </row>
    <row r="10177" spans="1:9" x14ac:dyDescent="0.25">
      <c r="A10177" t="s">
        <v>6</v>
      </c>
      <c r="B10177" s="1">
        <v>46081</v>
      </c>
      <c r="C10177">
        <v>24</v>
      </c>
      <c r="D10177">
        <v>286.02</v>
      </c>
      <c r="E10177">
        <v>0</v>
      </c>
      <c r="F10177" t="s">
        <v>7</v>
      </c>
      <c r="G10177" t="s">
        <v>11</v>
      </c>
      <c r="H10177" s="5">
        <f>MONTH(Tabela1[[#This Row],[data]])</f>
        <v>2</v>
      </c>
      <c r="I10177">
        <f>YEAR(Tabela1[[#This Row],[data]])</f>
        <v>2026</v>
      </c>
    </row>
    <row r="10178" spans="1:9" x14ac:dyDescent="0.25">
      <c r="A10178" t="s">
        <v>6</v>
      </c>
      <c r="B10178" s="1">
        <v>46082</v>
      </c>
      <c r="C10178">
        <v>1</v>
      </c>
      <c r="D10178">
        <v>241.5</v>
      </c>
      <c r="E10178">
        <v>0</v>
      </c>
      <c r="F10178" t="s">
        <v>7</v>
      </c>
      <c r="G10178" t="s">
        <v>11</v>
      </c>
      <c r="H10178" s="5">
        <f>MONTH(Tabela1[[#This Row],[data]])</f>
        <v>3</v>
      </c>
      <c r="I10178">
        <f>YEAR(Tabela1[[#This Row],[data]])</f>
        <v>2026</v>
      </c>
    </row>
    <row r="10179" spans="1:9" x14ac:dyDescent="0.25">
      <c r="A10179" t="s">
        <v>6</v>
      </c>
      <c r="B10179" s="1">
        <v>46082</v>
      </c>
      <c r="C10179">
        <v>2</v>
      </c>
      <c r="D10179">
        <v>221.34</v>
      </c>
      <c r="E10179">
        <v>0</v>
      </c>
      <c r="F10179" t="s">
        <v>7</v>
      </c>
      <c r="G10179" t="s">
        <v>11</v>
      </c>
      <c r="H10179" s="5">
        <f>MONTH(Tabela1[[#This Row],[data]])</f>
        <v>3</v>
      </c>
      <c r="I10179">
        <f>YEAR(Tabela1[[#This Row],[data]])</f>
        <v>2026</v>
      </c>
    </row>
    <row r="10180" spans="1:9" x14ac:dyDescent="0.25">
      <c r="A10180" t="s">
        <v>6</v>
      </c>
      <c r="B10180" s="1">
        <v>46082</v>
      </c>
      <c r="C10180">
        <v>3</v>
      </c>
      <c r="D10180">
        <v>221.76</v>
      </c>
      <c r="E10180">
        <v>0</v>
      </c>
      <c r="F10180" t="s">
        <v>7</v>
      </c>
      <c r="G10180" t="s">
        <v>11</v>
      </c>
      <c r="H10180" s="5">
        <f>MONTH(Tabela1[[#This Row],[data]])</f>
        <v>3</v>
      </c>
      <c r="I10180">
        <f>YEAR(Tabela1[[#This Row],[data]])</f>
        <v>2026</v>
      </c>
    </row>
    <row r="10181" spans="1:9" x14ac:dyDescent="0.25">
      <c r="A10181" t="s">
        <v>6</v>
      </c>
      <c r="B10181" s="1">
        <v>46082</v>
      </c>
      <c r="C10181">
        <v>4</v>
      </c>
      <c r="D10181">
        <v>214.2</v>
      </c>
      <c r="E10181">
        <v>0</v>
      </c>
      <c r="F10181" t="s">
        <v>7</v>
      </c>
      <c r="G10181" t="s">
        <v>11</v>
      </c>
      <c r="H10181" s="5">
        <f>MONTH(Tabela1[[#This Row],[data]])</f>
        <v>3</v>
      </c>
      <c r="I10181">
        <f>YEAR(Tabela1[[#This Row],[data]])</f>
        <v>2026</v>
      </c>
    </row>
    <row r="10182" spans="1:9" x14ac:dyDescent="0.25">
      <c r="A10182" t="s">
        <v>6</v>
      </c>
      <c r="B10182" s="1">
        <v>46082</v>
      </c>
      <c r="C10182">
        <v>5</v>
      </c>
      <c r="D10182">
        <v>217.14</v>
      </c>
      <c r="E10182">
        <v>0</v>
      </c>
      <c r="F10182" t="s">
        <v>7</v>
      </c>
      <c r="G10182" t="s">
        <v>11</v>
      </c>
      <c r="H10182" s="5">
        <f>MONTH(Tabela1[[#This Row],[data]])</f>
        <v>3</v>
      </c>
      <c r="I10182">
        <f>YEAR(Tabela1[[#This Row],[data]])</f>
        <v>2026</v>
      </c>
    </row>
    <row r="10183" spans="1:9" x14ac:dyDescent="0.25">
      <c r="A10183" t="s">
        <v>6</v>
      </c>
      <c r="B10183" s="1">
        <v>46082</v>
      </c>
      <c r="C10183">
        <v>6</v>
      </c>
      <c r="D10183">
        <v>215.04</v>
      </c>
      <c r="E10183">
        <v>0</v>
      </c>
      <c r="F10183" t="s">
        <v>7</v>
      </c>
      <c r="G10183" t="s">
        <v>11</v>
      </c>
      <c r="H10183" s="5">
        <f>MONTH(Tabela1[[#This Row],[data]])</f>
        <v>3</v>
      </c>
      <c r="I10183">
        <f>YEAR(Tabela1[[#This Row],[data]])</f>
        <v>2026</v>
      </c>
    </row>
    <row r="10184" spans="1:9" x14ac:dyDescent="0.25">
      <c r="A10184" t="s">
        <v>6</v>
      </c>
      <c r="B10184" s="1">
        <v>46082</v>
      </c>
      <c r="C10184">
        <v>7</v>
      </c>
      <c r="D10184">
        <v>192.78</v>
      </c>
      <c r="E10184">
        <v>0</v>
      </c>
      <c r="F10184" t="s">
        <v>7</v>
      </c>
      <c r="G10184" t="s">
        <v>11</v>
      </c>
      <c r="H10184" s="5">
        <f>MONTH(Tabela1[[#This Row],[data]])</f>
        <v>3</v>
      </c>
      <c r="I10184">
        <f>YEAR(Tabela1[[#This Row],[data]])</f>
        <v>2026</v>
      </c>
    </row>
    <row r="10185" spans="1:9" x14ac:dyDescent="0.25">
      <c r="A10185" t="s">
        <v>6</v>
      </c>
      <c r="B10185" s="1">
        <v>46082</v>
      </c>
      <c r="C10185">
        <v>8</v>
      </c>
      <c r="D10185">
        <v>215.46</v>
      </c>
      <c r="E10185">
        <v>0</v>
      </c>
      <c r="F10185" t="s">
        <v>7</v>
      </c>
      <c r="G10185" t="s">
        <v>11</v>
      </c>
      <c r="H10185" s="5">
        <f>MONTH(Tabela1[[#This Row],[data]])</f>
        <v>3</v>
      </c>
      <c r="I10185">
        <f>YEAR(Tabela1[[#This Row],[data]])</f>
        <v>2026</v>
      </c>
    </row>
    <row r="10186" spans="1:9" x14ac:dyDescent="0.25">
      <c r="A10186" t="s">
        <v>6</v>
      </c>
      <c r="B10186" s="1">
        <v>46082</v>
      </c>
      <c r="C10186">
        <v>9</v>
      </c>
      <c r="D10186">
        <v>268.8</v>
      </c>
      <c r="E10186">
        <v>0</v>
      </c>
      <c r="F10186" t="s">
        <v>7</v>
      </c>
      <c r="G10186" t="s">
        <v>11</v>
      </c>
      <c r="H10186" s="5">
        <f>MONTH(Tabela1[[#This Row],[data]])</f>
        <v>3</v>
      </c>
      <c r="I10186">
        <f>YEAR(Tabela1[[#This Row],[data]])</f>
        <v>2026</v>
      </c>
    </row>
    <row r="10187" spans="1:9" x14ac:dyDescent="0.25">
      <c r="A10187" t="s">
        <v>6</v>
      </c>
      <c r="B10187" s="1">
        <v>46082</v>
      </c>
      <c r="C10187">
        <v>10</v>
      </c>
      <c r="D10187">
        <v>312.06</v>
      </c>
      <c r="E10187">
        <v>0</v>
      </c>
      <c r="F10187" t="s">
        <v>7</v>
      </c>
      <c r="G10187" t="s">
        <v>11</v>
      </c>
      <c r="H10187" s="5">
        <f>MONTH(Tabela1[[#This Row],[data]])</f>
        <v>3</v>
      </c>
      <c r="I10187">
        <f>YEAR(Tabela1[[#This Row],[data]])</f>
        <v>2026</v>
      </c>
    </row>
    <row r="10188" spans="1:9" x14ac:dyDescent="0.25">
      <c r="A10188" t="s">
        <v>6</v>
      </c>
      <c r="B10188" s="1">
        <v>46082</v>
      </c>
      <c r="C10188">
        <v>11</v>
      </c>
      <c r="D10188">
        <v>389.34</v>
      </c>
      <c r="E10188">
        <v>5.04</v>
      </c>
      <c r="F10188" t="s">
        <v>7</v>
      </c>
      <c r="G10188" t="s">
        <v>11</v>
      </c>
      <c r="H10188" s="5">
        <f>MONTH(Tabela1[[#This Row],[data]])</f>
        <v>3</v>
      </c>
      <c r="I10188">
        <f>YEAR(Tabela1[[#This Row],[data]])</f>
        <v>2026</v>
      </c>
    </row>
    <row r="10189" spans="1:9" x14ac:dyDescent="0.25">
      <c r="A10189" t="s">
        <v>6</v>
      </c>
      <c r="B10189" s="1">
        <v>46082</v>
      </c>
      <c r="C10189">
        <v>12</v>
      </c>
      <c r="D10189">
        <v>459.9</v>
      </c>
      <c r="E10189">
        <v>14.28</v>
      </c>
      <c r="F10189" t="s">
        <v>7</v>
      </c>
      <c r="G10189" t="s">
        <v>11</v>
      </c>
      <c r="H10189" s="5">
        <f>MONTH(Tabela1[[#This Row],[data]])</f>
        <v>3</v>
      </c>
      <c r="I10189">
        <f>YEAR(Tabela1[[#This Row],[data]])</f>
        <v>2026</v>
      </c>
    </row>
    <row r="10190" spans="1:9" x14ac:dyDescent="0.25">
      <c r="A10190" t="s">
        <v>6</v>
      </c>
      <c r="B10190" s="1">
        <v>46082</v>
      </c>
      <c r="C10190">
        <v>13</v>
      </c>
      <c r="D10190">
        <v>539.28</v>
      </c>
      <c r="E10190">
        <v>34.020000000000003</v>
      </c>
      <c r="F10190" t="s">
        <v>7</v>
      </c>
      <c r="G10190" t="s">
        <v>11</v>
      </c>
      <c r="H10190" s="5">
        <f>MONTH(Tabela1[[#This Row],[data]])</f>
        <v>3</v>
      </c>
      <c r="I10190">
        <f>YEAR(Tabela1[[#This Row],[data]])</f>
        <v>2026</v>
      </c>
    </row>
    <row r="10191" spans="1:9" x14ac:dyDescent="0.25">
      <c r="A10191" t="s">
        <v>6</v>
      </c>
      <c r="B10191" s="1">
        <v>46082</v>
      </c>
      <c r="C10191">
        <v>14</v>
      </c>
      <c r="D10191">
        <v>588.84</v>
      </c>
      <c r="E10191">
        <v>54.18</v>
      </c>
      <c r="F10191" t="s">
        <v>7</v>
      </c>
      <c r="G10191" t="s">
        <v>11</v>
      </c>
      <c r="H10191" s="5">
        <f>MONTH(Tabela1[[#This Row],[data]])</f>
        <v>3</v>
      </c>
      <c r="I10191">
        <f>YEAR(Tabela1[[#This Row],[data]])</f>
        <v>2026</v>
      </c>
    </row>
    <row r="10192" spans="1:9" x14ac:dyDescent="0.25">
      <c r="A10192" t="s">
        <v>6</v>
      </c>
      <c r="B10192" s="1">
        <v>46082</v>
      </c>
      <c r="C10192">
        <v>15</v>
      </c>
      <c r="D10192">
        <v>615.72</v>
      </c>
      <c r="E10192">
        <v>67.2</v>
      </c>
      <c r="F10192" t="s">
        <v>7</v>
      </c>
      <c r="G10192" t="s">
        <v>11</v>
      </c>
      <c r="H10192" s="5">
        <f>MONTH(Tabela1[[#This Row],[data]])</f>
        <v>3</v>
      </c>
      <c r="I10192">
        <f>YEAR(Tabela1[[#This Row],[data]])</f>
        <v>2026</v>
      </c>
    </row>
    <row r="10193" spans="1:9" x14ac:dyDescent="0.25">
      <c r="A10193" t="s">
        <v>6</v>
      </c>
      <c r="B10193" s="1">
        <v>46082</v>
      </c>
      <c r="C10193">
        <v>16</v>
      </c>
      <c r="D10193">
        <v>624.54</v>
      </c>
      <c r="E10193">
        <v>75.180000000000007</v>
      </c>
      <c r="F10193" t="s">
        <v>7</v>
      </c>
      <c r="G10193" t="s">
        <v>11</v>
      </c>
      <c r="H10193" s="5">
        <f>MONTH(Tabela1[[#This Row],[data]])</f>
        <v>3</v>
      </c>
      <c r="I10193">
        <f>YEAR(Tabela1[[#This Row],[data]])</f>
        <v>2026</v>
      </c>
    </row>
    <row r="10194" spans="1:9" x14ac:dyDescent="0.25">
      <c r="A10194" t="s">
        <v>6</v>
      </c>
      <c r="B10194" s="1">
        <v>46082</v>
      </c>
      <c r="C10194">
        <v>17</v>
      </c>
      <c r="D10194">
        <v>606.05999999999995</v>
      </c>
      <c r="E10194">
        <v>76.44</v>
      </c>
      <c r="F10194" t="s">
        <v>7</v>
      </c>
      <c r="G10194" t="s">
        <v>11</v>
      </c>
      <c r="H10194" s="5">
        <f>MONTH(Tabela1[[#This Row],[data]])</f>
        <v>3</v>
      </c>
      <c r="I10194">
        <f>YEAR(Tabela1[[#This Row],[data]])</f>
        <v>2026</v>
      </c>
    </row>
    <row r="10195" spans="1:9" x14ac:dyDescent="0.25">
      <c r="A10195" t="s">
        <v>6</v>
      </c>
      <c r="B10195" s="1">
        <v>46082</v>
      </c>
      <c r="C10195">
        <v>18</v>
      </c>
      <c r="D10195">
        <v>639.24</v>
      </c>
      <c r="E10195">
        <v>76.44</v>
      </c>
      <c r="F10195" t="s">
        <v>7</v>
      </c>
      <c r="G10195" t="s">
        <v>11</v>
      </c>
      <c r="H10195" s="5">
        <f>MONTH(Tabela1[[#This Row],[data]])</f>
        <v>3</v>
      </c>
      <c r="I10195">
        <f>YEAR(Tabela1[[#This Row],[data]])</f>
        <v>2026</v>
      </c>
    </row>
    <row r="10196" spans="1:9" x14ac:dyDescent="0.25">
      <c r="A10196" t="s">
        <v>6</v>
      </c>
      <c r="B10196" s="1">
        <v>46082</v>
      </c>
      <c r="C10196">
        <v>19</v>
      </c>
      <c r="D10196">
        <v>904.26</v>
      </c>
      <c r="E10196">
        <v>178.08</v>
      </c>
      <c r="F10196" t="s">
        <v>7</v>
      </c>
      <c r="G10196" t="s">
        <v>11</v>
      </c>
      <c r="H10196" s="5">
        <f>MONTH(Tabela1[[#This Row],[data]])</f>
        <v>3</v>
      </c>
      <c r="I10196">
        <f>YEAR(Tabela1[[#This Row],[data]])</f>
        <v>2026</v>
      </c>
    </row>
    <row r="10197" spans="1:9" x14ac:dyDescent="0.25">
      <c r="A10197" t="s">
        <v>6</v>
      </c>
      <c r="B10197" s="1">
        <v>46082</v>
      </c>
      <c r="C10197">
        <v>20</v>
      </c>
      <c r="D10197">
        <v>813.12</v>
      </c>
      <c r="E10197">
        <v>160.02000000000001</v>
      </c>
      <c r="F10197" t="s">
        <v>7</v>
      </c>
      <c r="G10197" t="s">
        <v>11</v>
      </c>
      <c r="H10197" s="5">
        <f>MONTH(Tabela1[[#This Row],[data]])</f>
        <v>3</v>
      </c>
      <c r="I10197">
        <f>YEAR(Tabela1[[#This Row],[data]])</f>
        <v>2026</v>
      </c>
    </row>
    <row r="10198" spans="1:9" x14ac:dyDescent="0.25">
      <c r="A10198" t="s">
        <v>6</v>
      </c>
      <c r="B10198" s="1">
        <v>46082</v>
      </c>
      <c r="C10198">
        <v>21</v>
      </c>
      <c r="D10198">
        <v>728.7</v>
      </c>
      <c r="E10198">
        <v>150.78</v>
      </c>
      <c r="F10198" t="s">
        <v>7</v>
      </c>
      <c r="G10198" t="s">
        <v>11</v>
      </c>
      <c r="H10198" s="5">
        <f>MONTH(Tabela1[[#This Row],[data]])</f>
        <v>3</v>
      </c>
      <c r="I10198">
        <f>YEAR(Tabela1[[#This Row],[data]])</f>
        <v>2026</v>
      </c>
    </row>
    <row r="10199" spans="1:9" x14ac:dyDescent="0.25">
      <c r="A10199" t="s">
        <v>6</v>
      </c>
      <c r="B10199" s="1">
        <v>46082</v>
      </c>
      <c r="C10199">
        <v>22</v>
      </c>
      <c r="D10199">
        <v>592.62</v>
      </c>
      <c r="E10199">
        <v>96.6</v>
      </c>
      <c r="F10199" t="s">
        <v>7</v>
      </c>
      <c r="G10199" t="s">
        <v>11</v>
      </c>
      <c r="H10199" s="5">
        <f>MONTH(Tabela1[[#This Row],[data]])</f>
        <v>3</v>
      </c>
      <c r="I10199">
        <f>YEAR(Tabela1[[#This Row],[data]])</f>
        <v>2026</v>
      </c>
    </row>
    <row r="10200" spans="1:9" x14ac:dyDescent="0.25">
      <c r="A10200" t="s">
        <v>6</v>
      </c>
      <c r="B10200" s="1">
        <v>46082</v>
      </c>
      <c r="C10200">
        <v>23</v>
      </c>
      <c r="D10200">
        <v>343.56</v>
      </c>
      <c r="E10200">
        <v>8.4</v>
      </c>
      <c r="F10200" t="s">
        <v>7</v>
      </c>
      <c r="G10200" t="s">
        <v>11</v>
      </c>
      <c r="H10200" s="5">
        <f>MONTH(Tabela1[[#This Row],[data]])</f>
        <v>3</v>
      </c>
      <c r="I10200">
        <f>YEAR(Tabela1[[#This Row],[data]])</f>
        <v>2026</v>
      </c>
    </row>
    <row r="10201" spans="1:9" x14ac:dyDescent="0.25">
      <c r="A10201" t="s">
        <v>6</v>
      </c>
      <c r="B10201" s="1">
        <v>46082</v>
      </c>
      <c r="C10201">
        <v>24</v>
      </c>
      <c r="D10201">
        <v>260.39999999999998</v>
      </c>
      <c r="E10201">
        <v>0</v>
      </c>
      <c r="F10201" t="s">
        <v>7</v>
      </c>
      <c r="G10201" t="s">
        <v>11</v>
      </c>
      <c r="H10201" s="5">
        <f>MONTH(Tabela1[[#This Row],[data]])</f>
        <v>3</v>
      </c>
      <c r="I10201">
        <f>YEAR(Tabela1[[#This Row],[data]])</f>
        <v>2026</v>
      </c>
    </row>
    <row r="10202" spans="1:9" x14ac:dyDescent="0.25">
      <c r="A10202" t="s">
        <v>6</v>
      </c>
      <c r="B10202" s="1">
        <v>46083</v>
      </c>
      <c r="C10202">
        <v>1</v>
      </c>
      <c r="D10202">
        <v>229.74</v>
      </c>
      <c r="E10202">
        <v>0</v>
      </c>
      <c r="F10202" t="s">
        <v>7</v>
      </c>
      <c r="G10202" t="s">
        <v>11</v>
      </c>
      <c r="H10202" s="5">
        <f>MONTH(Tabela1[[#This Row],[data]])</f>
        <v>3</v>
      </c>
      <c r="I10202">
        <f>YEAR(Tabela1[[#This Row],[data]])</f>
        <v>2026</v>
      </c>
    </row>
    <row r="10203" spans="1:9" x14ac:dyDescent="0.25">
      <c r="A10203" t="s">
        <v>6</v>
      </c>
      <c r="B10203" s="1">
        <v>46083</v>
      </c>
      <c r="C10203">
        <v>2</v>
      </c>
      <c r="D10203">
        <v>218.4</v>
      </c>
      <c r="E10203">
        <v>0</v>
      </c>
      <c r="F10203" t="s">
        <v>7</v>
      </c>
      <c r="G10203" t="s">
        <v>11</v>
      </c>
      <c r="H10203" s="5">
        <f>MONTH(Tabela1[[#This Row],[data]])</f>
        <v>3</v>
      </c>
      <c r="I10203">
        <f>YEAR(Tabela1[[#This Row],[data]])</f>
        <v>2026</v>
      </c>
    </row>
    <row r="10204" spans="1:9" x14ac:dyDescent="0.25">
      <c r="A10204" t="s">
        <v>6</v>
      </c>
      <c r="B10204" s="1">
        <v>46083</v>
      </c>
      <c r="C10204">
        <v>3</v>
      </c>
      <c r="D10204">
        <v>215.88</v>
      </c>
      <c r="E10204">
        <v>0</v>
      </c>
      <c r="F10204" t="s">
        <v>7</v>
      </c>
      <c r="G10204" t="s">
        <v>11</v>
      </c>
      <c r="H10204" s="5">
        <f>MONTH(Tabela1[[#This Row],[data]])</f>
        <v>3</v>
      </c>
      <c r="I10204">
        <f>YEAR(Tabela1[[#This Row],[data]])</f>
        <v>2026</v>
      </c>
    </row>
    <row r="10205" spans="1:9" x14ac:dyDescent="0.25">
      <c r="A10205" t="s">
        <v>6</v>
      </c>
      <c r="B10205" s="1">
        <v>46083</v>
      </c>
      <c r="C10205">
        <v>4</v>
      </c>
      <c r="D10205">
        <v>209.58</v>
      </c>
      <c r="E10205">
        <v>0</v>
      </c>
      <c r="F10205" t="s">
        <v>7</v>
      </c>
      <c r="G10205" t="s">
        <v>11</v>
      </c>
      <c r="H10205" s="5">
        <f>MONTH(Tabela1[[#This Row],[data]])</f>
        <v>3</v>
      </c>
      <c r="I10205">
        <f>YEAR(Tabela1[[#This Row],[data]])</f>
        <v>2026</v>
      </c>
    </row>
    <row r="10206" spans="1:9" x14ac:dyDescent="0.25">
      <c r="A10206" t="s">
        <v>6</v>
      </c>
      <c r="B10206" s="1">
        <v>46083</v>
      </c>
      <c r="C10206">
        <v>5</v>
      </c>
      <c r="D10206">
        <v>214.2</v>
      </c>
      <c r="E10206">
        <v>0</v>
      </c>
      <c r="F10206" t="s">
        <v>7</v>
      </c>
      <c r="G10206" t="s">
        <v>11</v>
      </c>
      <c r="H10206" s="5">
        <f>MONTH(Tabela1[[#This Row],[data]])</f>
        <v>3</v>
      </c>
      <c r="I10206">
        <f>YEAR(Tabela1[[#This Row],[data]])</f>
        <v>2026</v>
      </c>
    </row>
    <row r="10207" spans="1:9" x14ac:dyDescent="0.25">
      <c r="A10207" t="s">
        <v>6</v>
      </c>
      <c r="B10207" s="1">
        <v>46083</v>
      </c>
      <c r="C10207">
        <v>6</v>
      </c>
      <c r="D10207">
        <v>211.26</v>
      </c>
      <c r="E10207">
        <v>0</v>
      </c>
      <c r="F10207" t="s">
        <v>7</v>
      </c>
      <c r="G10207" t="s">
        <v>11</v>
      </c>
      <c r="H10207" s="5">
        <f>MONTH(Tabela1[[#This Row],[data]])</f>
        <v>3</v>
      </c>
      <c r="I10207">
        <f>YEAR(Tabela1[[#This Row],[data]])</f>
        <v>2026</v>
      </c>
    </row>
    <row r="10208" spans="1:9" x14ac:dyDescent="0.25">
      <c r="A10208" t="s">
        <v>6</v>
      </c>
      <c r="B10208" s="1">
        <v>46083</v>
      </c>
      <c r="C10208">
        <v>7</v>
      </c>
      <c r="D10208">
        <v>225.96</v>
      </c>
      <c r="E10208">
        <v>0</v>
      </c>
      <c r="F10208" t="s">
        <v>7</v>
      </c>
      <c r="G10208" t="s">
        <v>11</v>
      </c>
      <c r="H10208" s="5">
        <f>MONTH(Tabela1[[#This Row],[data]])</f>
        <v>3</v>
      </c>
      <c r="I10208">
        <f>YEAR(Tabela1[[#This Row],[data]])</f>
        <v>2026</v>
      </c>
    </row>
    <row r="10209" spans="1:9" x14ac:dyDescent="0.25">
      <c r="A10209" t="s">
        <v>6</v>
      </c>
      <c r="B10209" s="1">
        <v>46083</v>
      </c>
      <c r="C10209">
        <v>8</v>
      </c>
      <c r="D10209">
        <v>266.27999999999997</v>
      </c>
      <c r="E10209">
        <v>0</v>
      </c>
      <c r="F10209" t="s">
        <v>7</v>
      </c>
      <c r="G10209" t="s">
        <v>11</v>
      </c>
      <c r="H10209" s="5">
        <f>MONTH(Tabela1[[#This Row],[data]])</f>
        <v>3</v>
      </c>
      <c r="I10209">
        <f>YEAR(Tabela1[[#This Row],[data]])</f>
        <v>2026</v>
      </c>
    </row>
    <row r="10210" spans="1:9" x14ac:dyDescent="0.25">
      <c r="A10210" t="s">
        <v>6</v>
      </c>
      <c r="B10210" s="1">
        <v>46083</v>
      </c>
      <c r="C10210">
        <v>9</v>
      </c>
      <c r="D10210">
        <v>341.04</v>
      </c>
      <c r="E10210">
        <v>0</v>
      </c>
      <c r="F10210" t="s">
        <v>7</v>
      </c>
      <c r="G10210" t="s">
        <v>11</v>
      </c>
      <c r="H10210" s="5">
        <f>MONTH(Tabela1[[#This Row],[data]])</f>
        <v>3</v>
      </c>
      <c r="I10210">
        <f>YEAR(Tabela1[[#This Row],[data]])</f>
        <v>2026</v>
      </c>
    </row>
    <row r="10211" spans="1:9" x14ac:dyDescent="0.25">
      <c r="A10211" t="s">
        <v>6</v>
      </c>
      <c r="B10211" s="1">
        <v>46083</v>
      </c>
      <c r="C10211">
        <v>10</v>
      </c>
      <c r="D10211">
        <v>439.74</v>
      </c>
      <c r="E10211">
        <v>30.66</v>
      </c>
      <c r="F10211" t="s">
        <v>7</v>
      </c>
      <c r="G10211" t="s">
        <v>11</v>
      </c>
      <c r="H10211" s="5">
        <f>MONTH(Tabela1[[#This Row],[data]])</f>
        <v>3</v>
      </c>
      <c r="I10211">
        <f>YEAR(Tabela1[[#This Row],[data]])</f>
        <v>2026</v>
      </c>
    </row>
    <row r="10212" spans="1:9" x14ac:dyDescent="0.25">
      <c r="A10212" t="s">
        <v>6</v>
      </c>
      <c r="B10212" s="1">
        <v>46083</v>
      </c>
      <c r="C10212">
        <v>11</v>
      </c>
      <c r="D10212">
        <v>821.52</v>
      </c>
      <c r="E10212">
        <v>203.7</v>
      </c>
      <c r="F10212" t="s">
        <v>7</v>
      </c>
      <c r="G10212" t="s">
        <v>11</v>
      </c>
      <c r="H10212" s="5">
        <f>MONTH(Tabela1[[#This Row],[data]])</f>
        <v>3</v>
      </c>
      <c r="I10212">
        <f>YEAR(Tabela1[[#This Row],[data]])</f>
        <v>2026</v>
      </c>
    </row>
    <row r="10213" spans="1:9" x14ac:dyDescent="0.25">
      <c r="A10213" t="s">
        <v>6</v>
      </c>
      <c r="B10213" s="1">
        <v>46083</v>
      </c>
      <c r="C10213">
        <v>12</v>
      </c>
      <c r="D10213">
        <v>825.3</v>
      </c>
      <c r="E10213">
        <v>203.28</v>
      </c>
      <c r="F10213" t="s">
        <v>7</v>
      </c>
      <c r="G10213" t="s">
        <v>11</v>
      </c>
      <c r="H10213" s="5">
        <f>MONTH(Tabela1[[#This Row],[data]])</f>
        <v>3</v>
      </c>
      <c r="I10213">
        <f>YEAR(Tabela1[[#This Row],[data]])</f>
        <v>2026</v>
      </c>
    </row>
    <row r="10214" spans="1:9" x14ac:dyDescent="0.25">
      <c r="A10214" t="s">
        <v>6</v>
      </c>
      <c r="B10214" s="1">
        <v>46083</v>
      </c>
      <c r="C10214">
        <v>13</v>
      </c>
      <c r="D10214">
        <v>854.7</v>
      </c>
      <c r="E10214">
        <v>219.24</v>
      </c>
      <c r="F10214" t="s">
        <v>7</v>
      </c>
      <c r="G10214" t="s">
        <v>11</v>
      </c>
      <c r="H10214" s="5">
        <f>MONTH(Tabela1[[#This Row],[data]])</f>
        <v>3</v>
      </c>
      <c r="I10214">
        <f>YEAR(Tabela1[[#This Row],[data]])</f>
        <v>2026</v>
      </c>
    </row>
    <row r="10215" spans="1:9" x14ac:dyDescent="0.25">
      <c r="A10215" t="s">
        <v>6</v>
      </c>
      <c r="B10215" s="1">
        <v>46083</v>
      </c>
      <c r="C10215">
        <v>14</v>
      </c>
      <c r="D10215">
        <v>848.4</v>
      </c>
      <c r="E10215">
        <v>192.78</v>
      </c>
      <c r="F10215" t="s">
        <v>7</v>
      </c>
      <c r="G10215" t="s">
        <v>11</v>
      </c>
      <c r="H10215" s="5">
        <f>MONTH(Tabela1[[#This Row],[data]])</f>
        <v>3</v>
      </c>
      <c r="I10215">
        <f>YEAR(Tabela1[[#This Row],[data]])</f>
        <v>2026</v>
      </c>
    </row>
    <row r="10216" spans="1:9" x14ac:dyDescent="0.25">
      <c r="A10216" t="s">
        <v>6</v>
      </c>
      <c r="B10216" s="1">
        <v>46083</v>
      </c>
      <c r="C10216">
        <v>15</v>
      </c>
      <c r="D10216">
        <v>840.42</v>
      </c>
      <c r="E10216">
        <v>181.44</v>
      </c>
      <c r="F10216" t="s">
        <v>7</v>
      </c>
      <c r="G10216" t="s">
        <v>11</v>
      </c>
      <c r="H10216" s="5">
        <f>MONTH(Tabela1[[#This Row],[data]])</f>
        <v>3</v>
      </c>
      <c r="I10216">
        <f>YEAR(Tabela1[[#This Row],[data]])</f>
        <v>2026</v>
      </c>
    </row>
    <row r="10217" spans="1:9" x14ac:dyDescent="0.25">
      <c r="A10217" t="s">
        <v>6</v>
      </c>
      <c r="B10217" s="1">
        <v>46083</v>
      </c>
      <c r="C10217">
        <v>16</v>
      </c>
      <c r="D10217">
        <v>863.1</v>
      </c>
      <c r="E10217">
        <v>206.22</v>
      </c>
      <c r="F10217" t="s">
        <v>7</v>
      </c>
      <c r="G10217" t="s">
        <v>11</v>
      </c>
      <c r="H10217" s="5">
        <f>MONTH(Tabela1[[#This Row],[data]])</f>
        <v>3</v>
      </c>
      <c r="I10217">
        <f>YEAR(Tabela1[[#This Row],[data]])</f>
        <v>2026</v>
      </c>
    </row>
    <row r="10218" spans="1:9" x14ac:dyDescent="0.25">
      <c r="A10218" t="s">
        <v>6</v>
      </c>
      <c r="B10218" s="1">
        <v>46083</v>
      </c>
      <c r="C10218">
        <v>17</v>
      </c>
      <c r="D10218">
        <v>857.64</v>
      </c>
      <c r="E10218">
        <v>211.68</v>
      </c>
      <c r="F10218" t="s">
        <v>7</v>
      </c>
      <c r="G10218" t="s">
        <v>11</v>
      </c>
      <c r="H10218" s="5">
        <f>MONTH(Tabela1[[#This Row],[data]])</f>
        <v>3</v>
      </c>
      <c r="I10218">
        <f>YEAR(Tabela1[[#This Row],[data]])</f>
        <v>2026</v>
      </c>
    </row>
    <row r="10219" spans="1:9" x14ac:dyDescent="0.25">
      <c r="A10219" t="s">
        <v>6</v>
      </c>
      <c r="B10219" s="1">
        <v>46083</v>
      </c>
      <c r="C10219">
        <v>18</v>
      </c>
      <c r="D10219">
        <v>827.4</v>
      </c>
      <c r="E10219">
        <v>215.46</v>
      </c>
      <c r="F10219" t="s">
        <v>7</v>
      </c>
      <c r="G10219" t="s">
        <v>11</v>
      </c>
      <c r="H10219" s="5">
        <f>MONTH(Tabela1[[#This Row],[data]])</f>
        <v>3</v>
      </c>
      <c r="I10219">
        <f>YEAR(Tabela1[[#This Row],[data]])</f>
        <v>2026</v>
      </c>
    </row>
    <row r="10220" spans="1:9" x14ac:dyDescent="0.25">
      <c r="A10220" t="s">
        <v>6</v>
      </c>
      <c r="B10220" s="1">
        <v>46083</v>
      </c>
      <c r="C10220">
        <v>19</v>
      </c>
      <c r="D10220">
        <v>781.2</v>
      </c>
      <c r="E10220">
        <v>184.38</v>
      </c>
      <c r="F10220" t="s">
        <v>7</v>
      </c>
      <c r="G10220" t="s">
        <v>11</v>
      </c>
      <c r="H10220" s="5">
        <f>MONTH(Tabela1[[#This Row],[data]])</f>
        <v>3</v>
      </c>
      <c r="I10220">
        <f>YEAR(Tabela1[[#This Row],[data]])</f>
        <v>2026</v>
      </c>
    </row>
    <row r="10221" spans="1:9" x14ac:dyDescent="0.25">
      <c r="A10221" t="s">
        <v>6</v>
      </c>
      <c r="B10221" s="1">
        <v>46083</v>
      </c>
      <c r="C10221">
        <v>20</v>
      </c>
      <c r="D10221">
        <v>760.62</v>
      </c>
      <c r="E10221">
        <v>172.2</v>
      </c>
      <c r="F10221" t="s">
        <v>7</v>
      </c>
      <c r="G10221" t="s">
        <v>11</v>
      </c>
      <c r="H10221" s="5">
        <f>MONTH(Tabela1[[#This Row],[data]])</f>
        <v>3</v>
      </c>
      <c r="I10221">
        <f>YEAR(Tabela1[[#This Row],[data]])</f>
        <v>2026</v>
      </c>
    </row>
    <row r="10222" spans="1:9" x14ac:dyDescent="0.25">
      <c r="A10222" t="s">
        <v>6</v>
      </c>
      <c r="B10222" s="1">
        <v>46083</v>
      </c>
      <c r="C10222">
        <v>21</v>
      </c>
      <c r="D10222">
        <v>775.32</v>
      </c>
      <c r="E10222">
        <v>186.9</v>
      </c>
      <c r="F10222" t="s">
        <v>7</v>
      </c>
      <c r="G10222" t="s">
        <v>11</v>
      </c>
      <c r="H10222" s="5">
        <f>MONTH(Tabela1[[#This Row],[data]])</f>
        <v>3</v>
      </c>
      <c r="I10222">
        <f>YEAR(Tabela1[[#This Row],[data]])</f>
        <v>2026</v>
      </c>
    </row>
    <row r="10223" spans="1:9" x14ac:dyDescent="0.25">
      <c r="A10223" t="s">
        <v>6</v>
      </c>
      <c r="B10223" s="1">
        <v>46083</v>
      </c>
      <c r="C10223">
        <v>22</v>
      </c>
      <c r="D10223">
        <v>742.98</v>
      </c>
      <c r="E10223">
        <v>166.74</v>
      </c>
      <c r="F10223" t="s">
        <v>7</v>
      </c>
      <c r="G10223" t="s">
        <v>11</v>
      </c>
      <c r="H10223" s="5">
        <f>MONTH(Tabela1[[#This Row],[data]])</f>
        <v>3</v>
      </c>
      <c r="I10223">
        <f>YEAR(Tabela1[[#This Row],[data]])</f>
        <v>2026</v>
      </c>
    </row>
    <row r="10224" spans="1:9" x14ac:dyDescent="0.25">
      <c r="A10224" t="s">
        <v>6</v>
      </c>
      <c r="B10224" s="1">
        <v>46083</v>
      </c>
      <c r="C10224">
        <v>23</v>
      </c>
      <c r="D10224">
        <v>378</v>
      </c>
      <c r="E10224">
        <v>10.92</v>
      </c>
      <c r="F10224" t="s">
        <v>7</v>
      </c>
      <c r="G10224" t="s">
        <v>11</v>
      </c>
      <c r="H10224" s="5">
        <f>MONTH(Tabela1[[#This Row],[data]])</f>
        <v>3</v>
      </c>
      <c r="I10224">
        <f>YEAR(Tabela1[[#This Row],[data]])</f>
        <v>2026</v>
      </c>
    </row>
    <row r="10225" spans="1:9" x14ac:dyDescent="0.25">
      <c r="A10225" t="s">
        <v>6</v>
      </c>
      <c r="B10225" s="1">
        <v>46083</v>
      </c>
      <c r="C10225">
        <v>24</v>
      </c>
      <c r="D10225">
        <v>290.64</v>
      </c>
      <c r="E10225">
        <v>0</v>
      </c>
      <c r="F10225" t="s">
        <v>7</v>
      </c>
      <c r="G10225" t="s">
        <v>11</v>
      </c>
      <c r="H10225" s="5">
        <f>MONTH(Tabela1[[#This Row],[data]])</f>
        <v>3</v>
      </c>
      <c r="I10225">
        <f>YEAR(Tabela1[[#This Row],[data]])</f>
        <v>2026</v>
      </c>
    </row>
    <row r="10226" spans="1:9" x14ac:dyDescent="0.25">
      <c r="B10226" s="1"/>
      <c r="H10226" s="5"/>
    </row>
    <row r="10227" spans="1:9" x14ac:dyDescent="0.25">
      <c r="B10227" s="1"/>
      <c r="H10227" s="5"/>
    </row>
    <row r="10228" spans="1:9" x14ac:dyDescent="0.25">
      <c r="B10228" s="1"/>
      <c r="H10228" s="5"/>
    </row>
    <row r="10229" spans="1:9" x14ac:dyDescent="0.25">
      <c r="B10229" s="1"/>
      <c r="H10229" s="5"/>
    </row>
    <row r="10230" spans="1:9" x14ac:dyDescent="0.25">
      <c r="B10230" s="1"/>
      <c r="H10230" s="5"/>
    </row>
    <row r="10231" spans="1:9" x14ac:dyDescent="0.25">
      <c r="B10231" s="1"/>
      <c r="H10231" s="5"/>
    </row>
    <row r="10232" spans="1:9" x14ac:dyDescent="0.25">
      <c r="B10232" s="1"/>
      <c r="H10232" s="5"/>
    </row>
    <row r="10233" spans="1:9" x14ac:dyDescent="0.25">
      <c r="B10233" s="1"/>
      <c r="H10233" s="5"/>
    </row>
    <row r="10234" spans="1:9" x14ac:dyDescent="0.25">
      <c r="B10234" s="1"/>
      <c r="H10234" s="5"/>
    </row>
    <row r="10235" spans="1:9" x14ac:dyDescent="0.25">
      <c r="B10235" s="1"/>
      <c r="H10235" s="5"/>
    </row>
    <row r="10236" spans="1:9" x14ac:dyDescent="0.25">
      <c r="B10236" s="1"/>
      <c r="H10236" s="5"/>
    </row>
    <row r="10237" spans="1:9" x14ac:dyDescent="0.25">
      <c r="B10237" s="1"/>
      <c r="D10237" s="2"/>
      <c r="H10237" s="5"/>
    </row>
    <row r="10238" spans="1:9" x14ac:dyDescent="0.25">
      <c r="B10238" s="1"/>
      <c r="D10238" s="2"/>
      <c r="H10238" s="5"/>
    </row>
    <row r="10239" spans="1:9" x14ac:dyDescent="0.25">
      <c r="B10239" s="1"/>
      <c r="D10239" s="2"/>
      <c r="H10239" s="5"/>
    </row>
    <row r="10240" spans="1:9" x14ac:dyDescent="0.25">
      <c r="B10240" s="1"/>
      <c r="D10240" s="2"/>
      <c r="H10240" s="5"/>
    </row>
    <row r="10241" spans="2:8" x14ac:dyDescent="0.25">
      <c r="B10241" s="1"/>
      <c r="D10241" s="2"/>
      <c r="H10241" s="5"/>
    </row>
    <row r="10242" spans="2:8" x14ac:dyDescent="0.25">
      <c r="B10242" s="1"/>
      <c r="D10242" s="2"/>
      <c r="H10242" s="5"/>
    </row>
    <row r="10243" spans="2:8" x14ac:dyDescent="0.25">
      <c r="B10243" s="1"/>
      <c r="D10243" s="2"/>
      <c r="H10243" s="5"/>
    </row>
    <row r="10244" spans="2:8" x14ac:dyDescent="0.25">
      <c r="B10244" s="1"/>
      <c r="D10244" s="2"/>
      <c r="H10244" s="5"/>
    </row>
    <row r="10245" spans="2:8" x14ac:dyDescent="0.25">
      <c r="B10245" s="1"/>
      <c r="H10245" s="5"/>
    </row>
    <row r="10246" spans="2:8" x14ac:dyDescent="0.25">
      <c r="B10246" s="1"/>
      <c r="H10246" s="5"/>
    </row>
    <row r="10247" spans="2:8" x14ac:dyDescent="0.25">
      <c r="B10247" s="1"/>
      <c r="H10247" s="5"/>
    </row>
    <row r="10248" spans="2:8" x14ac:dyDescent="0.25">
      <c r="B10248" s="1"/>
      <c r="H10248" s="5"/>
    </row>
    <row r="10249" spans="2:8" x14ac:dyDescent="0.25">
      <c r="B10249" s="1"/>
      <c r="H10249" s="5"/>
    </row>
    <row r="10250" spans="2:8" x14ac:dyDescent="0.25">
      <c r="B10250" s="1"/>
      <c r="H10250" s="5"/>
    </row>
    <row r="10251" spans="2:8" x14ac:dyDescent="0.25">
      <c r="B10251" s="1"/>
      <c r="H10251" s="5"/>
    </row>
    <row r="10252" spans="2:8" x14ac:dyDescent="0.25">
      <c r="B10252" s="1"/>
      <c r="H10252" s="5"/>
    </row>
    <row r="10253" spans="2:8" x14ac:dyDescent="0.25">
      <c r="B10253" s="1"/>
      <c r="H10253" s="5"/>
    </row>
    <row r="10254" spans="2:8" x14ac:dyDescent="0.25">
      <c r="B10254" s="1"/>
      <c r="H10254" s="5"/>
    </row>
    <row r="10255" spans="2:8" x14ac:dyDescent="0.25">
      <c r="B10255" s="1"/>
      <c r="H10255" s="5"/>
    </row>
    <row r="10256" spans="2:8" x14ac:dyDescent="0.25">
      <c r="B10256" s="1"/>
      <c r="H10256" s="5"/>
    </row>
    <row r="10257" spans="2:8" x14ac:dyDescent="0.25">
      <c r="B10257" s="1"/>
      <c r="H10257" s="5"/>
    </row>
    <row r="10258" spans="2:8" x14ac:dyDescent="0.25">
      <c r="B10258" s="1"/>
      <c r="H10258" s="5"/>
    </row>
    <row r="10259" spans="2:8" x14ac:dyDescent="0.25">
      <c r="B10259" s="1"/>
      <c r="H10259" s="5"/>
    </row>
    <row r="10260" spans="2:8" x14ac:dyDescent="0.25">
      <c r="B10260" s="1"/>
      <c r="H10260" s="5"/>
    </row>
    <row r="10261" spans="2:8" x14ac:dyDescent="0.25">
      <c r="B10261" s="1"/>
      <c r="H10261" s="5"/>
    </row>
    <row r="10262" spans="2:8" x14ac:dyDescent="0.25">
      <c r="B10262" s="1"/>
      <c r="H10262" s="5"/>
    </row>
    <row r="10263" spans="2:8" x14ac:dyDescent="0.25">
      <c r="B10263" s="1"/>
      <c r="H10263" s="5"/>
    </row>
    <row r="10264" spans="2:8" x14ac:dyDescent="0.25">
      <c r="B10264" s="1"/>
      <c r="H10264" s="5"/>
    </row>
    <row r="10265" spans="2:8" x14ac:dyDescent="0.25">
      <c r="B10265" s="1"/>
      <c r="H10265" s="5"/>
    </row>
    <row r="10266" spans="2:8" x14ac:dyDescent="0.25">
      <c r="B10266" s="1"/>
      <c r="H10266" s="5"/>
    </row>
    <row r="10267" spans="2:8" x14ac:dyDescent="0.25">
      <c r="B10267" s="1"/>
      <c r="H10267" s="5"/>
    </row>
    <row r="10268" spans="2:8" x14ac:dyDescent="0.25">
      <c r="B10268" s="1"/>
      <c r="H10268" s="5"/>
    </row>
    <row r="10269" spans="2:8" x14ac:dyDescent="0.25">
      <c r="B10269" s="1"/>
      <c r="H10269" s="5"/>
    </row>
    <row r="10270" spans="2:8" x14ac:dyDescent="0.25">
      <c r="B10270" s="1"/>
      <c r="H10270" s="5"/>
    </row>
    <row r="10271" spans="2:8" x14ac:dyDescent="0.25">
      <c r="B10271" s="1"/>
      <c r="H10271" s="5"/>
    </row>
    <row r="10272" spans="2:8" x14ac:dyDescent="0.25">
      <c r="B10272" s="1"/>
      <c r="H10272" s="5"/>
    </row>
    <row r="10273" spans="2:8" x14ac:dyDescent="0.25">
      <c r="B10273" s="1"/>
      <c r="H10273" s="5"/>
    </row>
    <row r="10274" spans="2:8" x14ac:dyDescent="0.25">
      <c r="B10274" s="1"/>
      <c r="H10274" s="5"/>
    </row>
    <row r="10275" spans="2:8" x14ac:dyDescent="0.25">
      <c r="B10275" s="1"/>
      <c r="H10275" s="5"/>
    </row>
    <row r="10276" spans="2:8" x14ac:dyDescent="0.25">
      <c r="B10276" s="1"/>
      <c r="H10276" s="5"/>
    </row>
    <row r="10277" spans="2:8" x14ac:dyDescent="0.25">
      <c r="B10277" s="1"/>
      <c r="H10277" s="5"/>
    </row>
    <row r="10278" spans="2:8" x14ac:dyDescent="0.25">
      <c r="B10278" s="1"/>
      <c r="H10278" s="5"/>
    </row>
    <row r="10279" spans="2:8" x14ac:dyDescent="0.25">
      <c r="B10279" s="1"/>
      <c r="H10279" s="5"/>
    </row>
    <row r="10280" spans="2:8" x14ac:dyDescent="0.25">
      <c r="B10280" s="1"/>
      <c r="H10280" s="5"/>
    </row>
    <row r="10281" spans="2:8" x14ac:dyDescent="0.25">
      <c r="B10281" s="1"/>
      <c r="H10281" s="5"/>
    </row>
    <row r="10282" spans="2:8" x14ac:dyDescent="0.25">
      <c r="B10282" s="1"/>
      <c r="H10282" s="5"/>
    </row>
    <row r="10283" spans="2:8" x14ac:dyDescent="0.25">
      <c r="B10283" s="1"/>
      <c r="H10283" s="5"/>
    </row>
    <row r="10284" spans="2:8" x14ac:dyDescent="0.25">
      <c r="B10284" s="1"/>
      <c r="H10284" s="5"/>
    </row>
    <row r="10285" spans="2:8" x14ac:dyDescent="0.25">
      <c r="B10285" s="1"/>
      <c r="H10285" s="5"/>
    </row>
    <row r="10286" spans="2:8" x14ac:dyDescent="0.25">
      <c r="B10286" s="1"/>
      <c r="H10286" s="5"/>
    </row>
    <row r="10287" spans="2:8" x14ac:dyDescent="0.25">
      <c r="B10287" s="1"/>
      <c r="H10287" s="5"/>
    </row>
    <row r="10288" spans="2:8" x14ac:dyDescent="0.25">
      <c r="B10288" s="1"/>
      <c r="H10288" s="5"/>
    </row>
    <row r="10289" spans="2:8" x14ac:dyDescent="0.25">
      <c r="B10289" s="1"/>
      <c r="H10289" s="5"/>
    </row>
    <row r="10290" spans="2:8" x14ac:dyDescent="0.25">
      <c r="B10290" s="1"/>
      <c r="H10290" s="5"/>
    </row>
    <row r="10291" spans="2:8" x14ac:dyDescent="0.25">
      <c r="B10291" s="1"/>
      <c r="H10291" s="5"/>
    </row>
    <row r="10292" spans="2:8" x14ac:dyDescent="0.25">
      <c r="B10292" s="1"/>
      <c r="H10292" s="5"/>
    </row>
    <row r="10293" spans="2:8" x14ac:dyDescent="0.25">
      <c r="B10293" s="1"/>
      <c r="H10293" s="5"/>
    </row>
    <row r="10294" spans="2:8" x14ac:dyDescent="0.25">
      <c r="B10294" s="1"/>
      <c r="H10294" s="5"/>
    </row>
    <row r="10295" spans="2:8" x14ac:dyDescent="0.25">
      <c r="B10295" s="1"/>
      <c r="H10295" s="5"/>
    </row>
    <row r="10296" spans="2:8" x14ac:dyDescent="0.25">
      <c r="B10296" s="1"/>
      <c r="H10296" s="5"/>
    </row>
    <row r="10297" spans="2:8" x14ac:dyDescent="0.25">
      <c r="B10297" s="1"/>
      <c r="H10297" s="5"/>
    </row>
    <row r="10298" spans="2:8" x14ac:dyDescent="0.25">
      <c r="B10298" s="1"/>
      <c r="H10298" s="5"/>
    </row>
    <row r="10299" spans="2:8" x14ac:dyDescent="0.25">
      <c r="B10299" s="1"/>
      <c r="H10299" s="5"/>
    </row>
    <row r="10300" spans="2:8" x14ac:dyDescent="0.25">
      <c r="B10300" s="1"/>
      <c r="H10300" s="5"/>
    </row>
    <row r="10301" spans="2:8" x14ac:dyDescent="0.25">
      <c r="B10301" s="1"/>
      <c r="H10301" s="5"/>
    </row>
    <row r="10302" spans="2:8" x14ac:dyDescent="0.25">
      <c r="B10302" s="1"/>
      <c r="H10302" s="5"/>
    </row>
    <row r="10303" spans="2:8" x14ac:dyDescent="0.25">
      <c r="B10303" s="1"/>
      <c r="H10303" s="5"/>
    </row>
    <row r="10304" spans="2:8" x14ac:dyDescent="0.25">
      <c r="B10304" s="1"/>
      <c r="H10304" s="5"/>
    </row>
    <row r="10305" spans="2:8" x14ac:dyDescent="0.25">
      <c r="B10305" s="1"/>
      <c r="H10305" s="5"/>
    </row>
    <row r="10306" spans="2:8" x14ac:dyDescent="0.25">
      <c r="B10306" s="1"/>
      <c r="H10306" s="5"/>
    </row>
    <row r="10307" spans="2:8" x14ac:dyDescent="0.25">
      <c r="B10307" s="1"/>
      <c r="H10307" s="5"/>
    </row>
    <row r="10308" spans="2:8" x14ac:dyDescent="0.25">
      <c r="B10308" s="1"/>
      <c r="H10308" s="5"/>
    </row>
    <row r="10309" spans="2:8" x14ac:dyDescent="0.25">
      <c r="B10309" s="1"/>
      <c r="H10309" s="5"/>
    </row>
    <row r="10310" spans="2:8" x14ac:dyDescent="0.25">
      <c r="B10310" s="1"/>
      <c r="H10310" s="5"/>
    </row>
    <row r="10311" spans="2:8" x14ac:dyDescent="0.25">
      <c r="B10311" s="1"/>
      <c r="H10311" s="5"/>
    </row>
    <row r="10312" spans="2:8" x14ac:dyDescent="0.25">
      <c r="B10312" s="1"/>
      <c r="H10312" s="5"/>
    </row>
    <row r="10313" spans="2:8" x14ac:dyDescent="0.25">
      <c r="B10313" s="1"/>
      <c r="H10313" s="5"/>
    </row>
    <row r="10314" spans="2:8" x14ac:dyDescent="0.25">
      <c r="B10314" s="1"/>
      <c r="H10314" s="5"/>
    </row>
    <row r="10315" spans="2:8" x14ac:dyDescent="0.25">
      <c r="B10315" s="1"/>
      <c r="H10315" s="5"/>
    </row>
    <row r="10316" spans="2:8" x14ac:dyDescent="0.25">
      <c r="B10316" s="1"/>
      <c r="H10316" s="5"/>
    </row>
    <row r="10317" spans="2:8" x14ac:dyDescent="0.25">
      <c r="B10317" s="1"/>
      <c r="H10317" s="5"/>
    </row>
    <row r="10318" spans="2:8" x14ac:dyDescent="0.25">
      <c r="B10318" s="1"/>
      <c r="H10318" s="5"/>
    </row>
    <row r="10319" spans="2:8" x14ac:dyDescent="0.25">
      <c r="B10319" s="1"/>
      <c r="H10319" s="5"/>
    </row>
    <row r="10320" spans="2:8" x14ac:dyDescent="0.25">
      <c r="B10320" s="1"/>
      <c r="H10320" s="5"/>
    </row>
    <row r="10321" spans="2:8" x14ac:dyDescent="0.25">
      <c r="B10321" s="1"/>
      <c r="H10321" s="5"/>
    </row>
    <row r="10322" spans="2:8" x14ac:dyDescent="0.25">
      <c r="B10322" s="1"/>
      <c r="H10322" s="5"/>
    </row>
    <row r="10323" spans="2:8" x14ac:dyDescent="0.25">
      <c r="B10323" s="1"/>
      <c r="H10323" s="5"/>
    </row>
    <row r="10324" spans="2:8" x14ac:dyDescent="0.25">
      <c r="B10324" s="1"/>
      <c r="H10324" s="5"/>
    </row>
    <row r="10325" spans="2:8" x14ac:dyDescent="0.25">
      <c r="B10325" s="1"/>
      <c r="H10325" s="5"/>
    </row>
    <row r="10326" spans="2:8" x14ac:dyDescent="0.25">
      <c r="B10326" s="1"/>
      <c r="H10326" s="5"/>
    </row>
    <row r="10327" spans="2:8" x14ac:dyDescent="0.25">
      <c r="B10327" s="1"/>
      <c r="H10327" s="5"/>
    </row>
    <row r="10328" spans="2:8" x14ac:dyDescent="0.25">
      <c r="B10328" s="1"/>
      <c r="H10328" s="5"/>
    </row>
    <row r="10329" spans="2:8" x14ac:dyDescent="0.25">
      <c r="B10329" s="1"/>
      <c r="H10329" s="5"/>
    </row>
    <row r="10330" spans="2:8" x14ac:dyDescent="0.25">
      <c r="B10330" s="1"/>
      <c r="H10330" s="5"/>
    </row>
    <row r="10331" spans="2:8" x14ac:dyDescent="0.25">
      <c r="B10331" s="1"/>
      <c r="H10331" s="5"/>
    </row>
    <row r="10332" spans="2:8" x14ac:dyDescent="0.25">
      <c r="B10332" s="1"/>
      <c r="H10332" s="5"/>
    </row>
    <row r="10333" spans="2:8" x14ac:dyDescent="0.25">
      <c r="B10333" s="1"/>
      <c r="H10333" s="5"/>
    </row>
    <row r="10334" spans="2:8" x14ac:dyDescent="0.25">
      <c r="B10334" s="1"/>
      <c r="H10334" s="5"/>
    </row>
    <row r="10335" spans="2:8" x14ac:dyDescent="0.25">
      <c r="B10335" s="1"/>
      <c r="H10335" s="5"/>
    </row>
    <row r="10336" spans="2:8" x14ac:dyDescent="0.25">
      <c r="B10336" s="1"/>
      <c r="H10336" s="5"/>
    </row>
    <row r="10337" spans="2:8" x14ac:dyDescent="0.25">
      <c r="B10337" s="1"/>
      <c r="D10337" s="2"/>
      <c r="H10337" s="5"/>
    </row>
    <row r="10338" spans="2:8" x14ac:dyDescent="0.25">
      <c r="B10338" s="1"/>
      <c r="D10338" s="2"/>
      <c r="H10338" s="5"/>
    </row>
    <row r="10339" spans="2:8" x14ac:dyDescent="0.25">
      <c r="B10339" s="1"/>
      <c r="D10339" s="2"/>
      <c r="H10339" s="5"/>
    </row>
    <row r="10340" spans="2:8" x14ac:dyDescent="0.25">
      <c r="B10340" s="1"/>
      <c r="D10340" s="2"/>
      <c r="H10340" s="5"/>
    </row>
    <row r="10341" spans="2:8" x14ac:dyDescent="0.25">
      <c r="B10341" s="1"/>
      <c r="D10341" s="2"/>
      <c r="H10341" s="5"/>
    </row>
    <row r="10342" spans="2:8" x14ac:dyDescent="0.25">
      <c r="B10342" s="1"/>
      <c r="H10342" s="5"/>
    </row>
    <row r="10343" spans="2:8" x14ac:dyDescent="0.25">
      <c r="B10343" s="1"/>
      <c r="H10343" s="5"/>
    </row>
    <row r="10344" spans="2:8" x14ac:dyDescent="0.25">
      <c r="B10344" s="1"/>
      <c r="H10344" s="5"/>
    </row>
    <row r="10345" spans="2:8" x14ac:dyDescent="0.25">
      <c r="B10345" s="1"/>
      <c r="H10345" s="5"/>
    </row>
    <row r="10346" spans="2:8" x14ac:dyDescent="0.25">
      <c r="B10346" s="1"/>
      <c r="H10346" s="5"/>
    </row>
    <row r="10347" spans="2:8" x14ac:dyDescent="0.25">
      <c r="B10347" s="1"/>
      <c r="H10347" s="5"/>
    </row>
    <row r="10348" spans="2:8" x14ac:dyDescent="0.25">
      <c r="B10348" s="1"/>
      <c r="H10348" s="5"/>
    </row>
    <row r="10349" spans="2:8" x14ac:dyDescent="0.25">
      <c r="B10349" s="1"/>
      <c r="H10349" s="5"/>
    </row>
    <row r="10350" spans="2:8" x14ac:dyDescent="0.25">
      <c r="B10350" s="1"/>
      <c r="H10350" s="5"/>
    </row>
    <row r="10351" spans="2:8" x14ac:dyDescent="0.25">
      <c r="B10351" s="1"/>
      <c r="H10351" s="5"/>
    </row>
    <row r="10352" spans="2:8" x14ac:dyDescent="0.25">
      <c r="B10352" s="1"/>
      <c r="H10352" s="5"/>
    </row>
    <row r="10353" spans="2:8" x14ac:dyDescent="0.25">
      <c r="B10353" s="1"/>
      <c r="H10353" s="5"/>
    </row>
    <row r="10354" spans="2:8" x14ac:dyDescent="0.25">
      <c r="B10354" s="1"/>
      <c r="H10354" s="5"/>
    </row>
    <row r="10355" spans="2:8" x14ac:dyDescent="0.25">
      <c r="B10355" s="1"/>
      <c r="H10355" s="5"/>
    </row>
    <row r="10356" spans="2:8" x14ac:dyDescent="0.25">
      <c r="B10356" s="1"/>
      <c r="H10356" s="5"/>
    </row>
    <row r="10357" spans="2:8" x14ac:dyDescent="0.25">
      <c r="B10357" s="1"/>
      <c r="H10357" s="5"/>
    </row>
    <row r="10358" spans="2:8" x14ac:dyDescent="0.25">
      <c r="B10358" s="1"/>
      <c r="D10358" s="2"/>
      <c r="H10358" s="5"/>
    </row>
    <row r="10359" spans="2:8" x14ac:dyDescent="0.25">
      <c r="B10359" s="1"/>
      <c r="D10359" s="2"/>
      <c r="H10359" s="5"/>
    </row>
    <row r="10360" spans="2:8" x14ac:dyDescent="0.25">
      <c r="B10360" s="1"/>
      <c r="D10360" s="2"/>
      <c r="H10360" s="5"/>
    </row>
    <row r="10361" spans="2:8" x14ac:dyDescent="0.25">
      <c r="B10361" s="1"/>
      <c r="H10361" s="5"/>
    </row>
    <row r="10362" spans="2:8" x14ac:dyDescent="0.25">
      <c r="B10362" s="1"/>
      <c r="D10362" s="2"/>
      <c r="H10362" s="5"/>
    </row>
    <row r="10363" spans="2:8" x14ac:dyDescent="0.25">
      <c r="B10363" s="1"/>
      <c r="H10363" s="5"/>
    </row>
    <row r="10364" spans="2:8" x14ac:dyDescent="0.25">
      <c r="B10364" s="1"/>
      <c r="H10364" s="5"/>
    </row>
    <row r="10365" spans="2:8" x14ac:dyDescent="0.25">
      <c r="B10365" s="1"/>
      <c r="H10365" s="5"/>
    </row>
    <row r="10366" spans="2:8" x14ac:dyDescent="0.25">
      <c r="B10366" s="1"/>
      <c r="H10366" s="5"/>
    </row>
    <row r="10367" spans="2:8" x14ac:dyDescent="0.25">
      <c r="B10367" s="1"/>
      <c r="H10367" s="5"/>
    </row>
    <row r="10368" spans="2:8" x14ac:dyDescent="0.25">
      <c r="B10368" s="1"/>
      <c r="H10368" s="5"/>
    </row>
    <row r="10369" spans="2:8" x14ac:dyDescent="0.25">
      <c r="B10369" s="1"/>
      <c r="H10369" s="5"/>
    </row>
    <row r="10370" spans="2:8" x14ac:dyDescent="0.25">
      <c r="B10370" s="1"/>
      <c r="H10370" s="5"/>
    </row>
    <row r="10371" spans="2:8" x14ac:dyDescent="0.25">
      <c r="B10371" s="1"/>
      <c r="H10371" s="5"/>
    </row>
    <row r="10372" spans="2:8" x14ac:dyDescent="0.25">
      <c r="B10372" s="1"/>
      <c r="H10372" s="5"/>
    </row>
    <row r="10373" spans="2:8" x14ac:dyDescent="0.25">
      <c r="B10373" s="1"/>
      <c r="H10373" s="5"/>
    </row>
    <row r="10374" spans="2:8" x14ac:dyDescent="0.25">
      <c r="B10374" s="1"/>
      <c r="H10374" s="5"/>
    </row>
    <row r="10375" spans="2:8" x14ac:dyDescent="0.25">
      <c r="B10375" s="1"/>
      <c r="H10375" s="5"/>
    </row>
    <row r="10376" spans="2:8" x14ac:dyDescent="0.25">
      <c r="B10376" s="1"/>
      <c r="H10376" s="5"/>
    </row>
    <row r="10377" spans="2:8" x14ac:dyDescent="0.25">
      <c r="B10377" s="1"/>
      <c r="H10377" s="5"/>
    </row>
    <row r="10378" spans="2:8" x14ac:dyDescent="0.25">
      <c r="B10378" s="1"/>
      <c r="H10378" s="5"/>
    </row>
    <row r="10379" spans="2:8" x14ac:dyDescent="0.25">
      <c r="B10379" s="1"/>
      <c r="H10379" s="5"/>
    </row>
    <row r="10380" spans="2:8" x14ac:dyDescent="0.25">
      <c r="B10380" s="1"/>
      <c r="H10380" s="5"/>
    </row>
    <row r="10381" spans="2:8" x14ac:dyDescent="0.25">
      <c r="B10381" s="1"/>
      <c r="D10381" s="2"/>
      <c r="H10381" s="5"/>
    </row>
    <row r="10382" spans="2:8" x14ac:dyDescent="0.25">
      <c r="B10382" s="1"/>
      <c r="D10382" s="2"/>
      <c r="H10382" s="5"/>
    </row>
    <row r="10383" spans="2:8" x14ac:dyDescent="0.25">
      <c r="B10383" s="1"/>
      <c r="D10383" s="2"/>
      <c r="H10383" s="5"/>
    </row>
    <row r="10384" spans="2:8" x14ac:dyDescent="0.25">
      <c r="B10384" s="1"/>
      <c r="D10384" s="2"/>
      <c r="H10384" s="5"/>
    </row>
    <row r="10385" spans="2:8" x14ac:dyDescent="0.25">
      <c r="B10385" s="1"/>
      <c r="D10385" s="2"/>
      <c r="H10385" s="5"/>
    </row>
    <row r="10386" spans="2:8" x14ac:dyDescent="0.25">
      <c r="B10386" s="1"/>
      <c r="D10386" s="2"/>
      <c r="H10386" s="5"/>
    </row>
    <row r="10387" spans="2:8" x14ac:dyDescent="0.25">
      <c r="B10387" s="1"/>
      <c r="D10387" s="2"/>
      <c r="H10387" s="5"/>
    </row>
    <row r="10388" spans="2:8" x14ac:dyDescent="0.25">
      <c r="B10388" s="1"/>
      <c r="H10388" s="5"/>
    </row>
    <row r="10389" spans="2:8" x14ac:dyDescent="0.25">
      <c r="B10389" s="1"/>
      <c r="H10389" s="5"/>
    </row>
    <row r="10390" spans="2:8" x14ac:dyDescent="0.25">
      <c r="B10390" s="1"/>
      <c r="H10390" s="5"/>
    </row>
    <row r="10391" spans="2:8" x14ac:dyDescent="0.25">
      <c r="B10391" s="1"/>
      <c r="H10391" s="5"/>
    </row>
    <row r="10392" spans="2:8" x14ac:dyDescent="0.25">
      <c r="B10392" s="1"/>
      <c r="H10392" s="5"/>
    </row>
    <row r="10393" spans="2:8" x14ac:dyDescent="0.25">
      <c r="B10393" s="1"/>
      <c r="H10393" s="5"/>
    </row>
    <row r="10394" spans="2:8" x14ac:dyDescent="0.25">
      <c r="B10394" s="1"/>
      <c r="H10394" s="5"/>
    </row>
    <row r="10395" spans="2:8" x14ac:dyDescent="0.25">
      <c r="B10395" s="1"/>
      <c r="H10395" s="5"/>
    </row>
    <row r="10396" spans="2:8" x14ac:dyDescent="0.25">
      <c r="B10396" s="1"/>
      <c r="H10396" s="5"/>
    </row>
    <row r="10397" spans="2:8" x14ac:dyDescent="0.25">
      <c r="B10397" s="1"/>
      <c r="H10397" s="5"/>
    </row>
    <row r="10398" spans="2:8" x14ac:dyDescent="0.25">
      <c r="B10398" s="1"/>
      <c r="H10398" s="5"/>
    </row>
    <row r="10399" spans="2:8" x14ac:dyDescent="0.25">
      <c r="B10399" s="1"/>
      <c r="H10399" s="5"/>
    </row>
    <row r="10400" spans="2:8" x14ac:dyDescent="0.25">
      <c r="B10400" s="1"/>
      <c r="H10400" s="5"/>
    </row>
    <row r="10401" spans="2:8" x14ac:dyDescent="0.25">
      <c r="B10401" s="1"/>
      <c r="H10401" s="5"/>
    </row>
    <row r="10402" spans="2:8" x14ac:dyDescent="0.25">
      <c r="B10402" s="1"/>
      <c r="H10402" s="5"/>
    </row>
    <row r="10403" spans="2:8" x14ac:dyDescent="0.25">
      <c r="B10403" s="1"/>
      <c r="H10403" s="5"/>
    </row>
    <row r="10404" spans="2:8" x14ac:dyDescent="0.25">
      <c r="B10404" s="1"/>
      <c r="H10404" s="5"/>
    </row>
    <row r="10405" spans="2:8" x14ac:dyDescent="0.25">
      <c r="B10405" s="1"/>
      <c r="H10405" s="5"/>
    </row>
    <row r="10406" spans="2:8" x14ac:dyDescent="0.25">
      <c r="B10406" s="1"/>
      <c r="D10406" s="2"/>
      <c r="H10406" s="5"/>
    </row>
    <row r="10407" spans="2:8" x14ac:dyDescent="0.25">
      <c r="B10407" s="1"/>
      <c r="D10407" s="2"/>
      <c r="H10407" s="5"/>
    </row>
    <row r="10408" spans="2:8" x14ac:dyDescent="0.25">
      <c r="B10408" s="1"/>
      <c r="D10408" s="2"/>
      <c r="H10408" s="5"/>
    </row>
    <row r="10409" spans="2:8" x14ac:dyDescent="0.25">
      <c r="B10409" s="1"/>
      <c r="D10409" s="2"/>
      <c r="H10409" s="5"/>
    </row>
    <row r="10410" spans="2:8" x14ac:dyDescent="0.25">
      <c r="B10410" s="1"/>
      <c r="D10410" s="2"/>
      <c r="H10410" s="5"/>
    </row>
    <row r="10411" spans="2:8" x14ac:dyDescent="0.25">
      <c r="B10411" s="1"/>
      <c r="D10411" s="2"/>
      <c r="H10411" s="5"/>
    </row>
    <row r="10412" spans="2:8" x14ac:dyDescent="0.25">
      <c r="B10412" s="1"/>
      <c r="H10412" s="5"/>
    </row>
    <row r="10413" spans="2:8" x14ac:dyDescent="0.25">
      <c r="B10413" s="1"/>
      <c r="H10413" s="5"/>
    </row>
    <row r="10414" spans="2:8" x14ac:dyDescent="0.25">
      <c r="B10414" s="1"/>
      <c r="H10414" s="5"/>
    </row>
    <row r="10415" spans="2:8" x14ac:dyDescent="0.25">
      <c r="B10415" s="1"/>
      <c r="H10415" s="5"/>
    </row>
    <row r="10416" spans="2:8" x14ac:dyDescent="0.25">
      <c r="B10416" s="1"/>
      <c r="H10416" s="5"/>
    </row>
    <row r="10417" spans="2:8" x14ac:dyDescent="0.25">
      <c r="B10417" s="1"/>
      <c r="H10417" s="5"/>
    </row>
    <row r="10418" spans="2:8" x14ac:dyDescent="0.25">
      <c r="B10418" s="1"/>
      <c r="H10418" s="5"/>
    </row>
    <row r="10419" spans="2:8" x14ac:dyDescent="0.25">
      <c r="B10419" s="1"/>
      <c r="H10419" s="5"/>
    </row>
    <row r="10420" spans="2:8" x14ac:dyDescent="0.25">
      <c r="B10420" s="1"/>
      <c r="H10420" s="5"/>
    </row>
    <row r="10421" spans="2:8" x14ac:dyDescent="0.25">
      <c r="B10421" s="1"/>
      <c r="H10421" s="5"/>
    </row>
    <row r="10422" spans="2:8" x14ac:dyDescent="0.25">
      <c r="B10422" s="1"/>
      <c r="H10422" s="5"/>
    </row>
    <row r="10423" spans="2:8" x14ac:dyDescent="0.25">
      <c r="B10423" s="1"/>
      <c r="H10423" s="5"/>
    </row>
    <row r="10424" spans="2:8" x14ac:dyDescent="0.25">
      <c r="B10424" s="1"/>
      <c r="H10424" s="5"/>
    </row>
    <row r="10425" spans="2:8" x14ac:dyDescent="0.25">
      <c r="B10425" s="1"/>
      <c r="H10425" s="5"/>
    </row>
    <row r="10426" spans="2:8" x14ac:dyDescent="0.25">
      <c r="B10426" s="1"/>
      <c r="H10426" s="5"/>
    </row>
    <row r="10427" spans="2:8" x14ac:dyDescent="0.25">
      <c r="B10427" s="1"/>
      <c r="H10427" s="5"/>
    </row>
    <row r="10428" spans="2:8" x14ac:dyDescent="0.25">
      <c r="B10428" s="1"/>
      <c r="D10428" s="2"/>
      <c r="H10428" s="5"/>
    </row>
    <row r="10429" spans="2:8" x14ac:dyDescent="0.25">
      <c r="B10429" s="1"/>
      <c r="D10429" s="2"/>
      <c r="H10429" s="5"/>
    </row>
    <row r="10430" spans="2:8" x14ac:dyDescent="0.25">
      <c r="B10430" s="1"/>
      <c r="D10430" s="2"/>
      <c r="H10430" s="5"/>
    </row>
    <row r="10431" spans="2:8" x14ac:dyDescent="0.25">
      <c r="B10431" s="1"/>
      <c r="D10431" s="2"/>
      <c r="H10431" s="5"/>
    </row>
    <row r="10432" spans="2:8" x14ac:dyDescent="0.25">
      <c r="B10432" s="1"/>
      <c r="D10432" s="2"/>
      <c r="H10432" s="5"/>
    </row>
    <row r="10433" spans="2:8" x14ac:dyDescent="0.25">
      <c r="B10433" s="1"/>
      <c r="H10433" s="5"/>
    </row>
    <row r="10434" spans="2:8" x14ac:dyDescent="0.25">
      <c r="B10434" s="1"/>
      <c r="H10434" s="5"/>
    </row>
    <row r="10435" spans="2:8" x14ac:dyDescent="0.25">
      <c r="B10435" s="1"/>
      <c r="H10435" s="5"/>
    </row>
    <row r="10436" spans="2:8" x14ac:dyDescent="0.25">
      <c r="B10436" s="1"/>
      <c r="H10436" s="5"/>
    </row>
    <row r="10437" spans="2:8" x14ac:dyDescent="0.25">
      <c r="B10437" s="1"/>
      <c r="H10437" s="5"/>
    </row>
    <row r="10438" spans="2:8" x14ac:dyDescent="0.25">
      <c r="B10438" s="1"/>
      <c r="H10438" s="5"/>
    </row>
    <row r="10439" spans="2:8" x14ac:dyDescent="0.25">
      <c r="B10439" s="1"/>
      <c r="H10439" s="5"/>
    </row>
    <row r="10440" spans="2:8" x14ac:dyDescent="0.25">
      <c r="B10440" s="1"/>
      <c r="H10440" s="5"/>
    </row>
    <row r="10441" spans="2:8" x14ac:dyDescent="0.25">
      <c r="B10441" s="1"/>
      <c r="H10441" s="5"/>
    </row>
    <row r="10442" spans="2:8" x14ac:dyDescent="0.25">
      <c r="B10442" s="1"/>
      <c r="H10442" s="5"/>
    </row>
    <row r="10443" spans="2:8" x14ac:dyDescent="0.25">
      <c r="B10443" s="1"/>
      <c r="H10443" s="5"/>
    </row>
    <row r="10444" spans="2:8" x14ac:dyDescent="0.25">
      <c r="B10444" s="1"/>
      <c r="H10444" s="5"/>
    </row>
    <row r="10445" spans="2:8" x14ac:dyDescent="0.25">
      <c r="B10445" s="1"/>
      <c r="H10445" s="5"/>
    </row>
    <row r="10446" spans="2:8" x14ac:dyDescent="0.25">
      <c r="B10446" s="1"/>
      <c r="H10446" s="5"/>
    </row>
    <row r="10447" spans="2:8" x14ac:dyDescent="0.25">
      <c r="B10447" s="1"/>
      <c r="H10447" s="5"/>
    </row>
    <row r="10448" spans="2:8" x14ac:dyDescent="0.25">
      <c r="B10448" s="1"/>
      <c r="H10448" s="5"/>
    </row>
    <row r="10449" spans="2:8" x14ac:dyDescent="0.25">
      <c r="B10449" s="1"/>
      <c r="H10449" s="5"/>
    </row>
    <row r="10450" spans="2:8" x14ac:dyDescent="0.25">
      <c r="B10450" s="1"/>
      <c r="H10450" s="5"/>
    </row>
    <row r="10451" spans="2:8" x14ac:dyDescent="0.25">
      <c r="B10451" s="1"/>
      <c r="H10451" s="5"/>
    </row>
    <row r="10452" spans="2:8" x14ac:dyDescent="0.25">
      <c r="B10452" s="1"/>
      <c r="H10452" s="5"/>
    </row>
    <row r="10453" spans="2:8" x14ac:dyDescent="0.25">
      <c r="B10453" s="1"/>
      <c r="H10453" s="5"/>
    </row>
    <row r="10454" spans="2:8" x14ac:dyDescent="0.25">
      <c r="B10454" s="1"/>
      <c r="H10454" s="5"/>
    </row>
    <row r="10455" spans="2:8" x14ac:dyDescent="0.25">
      <c r="B10455" s="1"/>
      <c r="H10455" s="5"/>
    </row>
    <row r="10456" spans="2:8" x14ac:dyDescent="0.25">
      <c r="B10456" s="1"/>
      <c r="H10456" s="5"/>
    </row>
    <row r="10457" spans="2:8" x14ac:dyDescent="0.25">
      <c r="B10457" s="1"/>
      <c r="H10457" s="5"/>
    </row>
    <row r="10458" spans="2:8" x14ac:dyDescent="0.25">
      <c r="B10458" s="1"/>
      <c r="H10458" s="5"/>
    </row>
    <row r="10459" spans="2:8" x14ac:dyDescent="0.25">
      <c r="B10459" s="1"/>
      <c r="H10459" s="5"/>
    </row>
    <row r="10460" spans="2:8" x14ac:dyDescent="0.25">
      <c r="B10460" s="1"/>
      <c r="H10460" s="5"/>
    </row>
    <row r="10461" spans="2:8" x14ac:dyDescent="0.25">
      <c r="B10461" s="1"/>
      <c r="H10461" s="5"/>
    </row>
    <row r="10462" spans="2:8" x14ac:dyDescent="0.25">
      <c r="B10462" s="1"/>
      <c r="H10462" s="5"/>
    </row>
    <row r="10463" spans="2:8" x14ac:dyDescent="0.25">
      <c r="B10463" s="1"/>
      <c r="H10463" s="5"/>
    </row>
    <row r="10464" spans="2:8" x14ac:dyDescent="0.25">
      <c r="B10464" s="1"/>
      <c r="H10464" s="5"/>
    </row>
    <row r="10465" spans="2:8" x14ac:dyDescent="0.25">
      <c r="B10465" s="1"/>
      <c r="H10465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topLeftCell="A16"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46055</v>
      </c>
      <c r="B2">
        <f ca="1">SUMIFS(Tabela1[Ativa (kwh)],Tabela1[data],A2)</f>
        <v>13443.359999999999</v>
      </c>
      <c r="C2">
        <f ca="1">SUMIFS(Tabela1[Reativa (kvarh)],Tabela1[data],A2)</f>
        <v>2128.14</v>
      </c>
      <c r="D2">
        <f t="shared" ref="D2" ca="1" si="1">B2/1000</f>
        <v>13.443359999999998</v>
      </c>
      <c r="E2">
        <f t="shared" ref="E2" ca="1" si="2">C2/1000</f>
        <v>2.1281399999999997</v>
      </c>
    </row>
    <row r="3" spans="1:5" x14ac:dyDescent="0.25">
      <c r="A3" s="1">
        <f t="shared" ca="1" si="0"/>
        <v>46056</v>
      </c>
      <c r="B3">
        <f ca="1">SUMIFS(Tabela1[Ativa (kwh)],Tabela1[data],A3)</f>
        <v>14899.92</v>
      </c>
      <c r="C3">
        <f ca="1">SUMIFS(Tabela1[Reativa (kvarh)],Tabela1[data],A3)</f>
        <v>2819.4600000000005</v>
      </c>
      <c r="D3">
        <f t="shared" ref="D3" ca="1" si="3">B3/1000</f>
        <v>14.89992</v>
      </c>
      <c r="E3">
        <f t="shared" ref="E3" ca="1" si="4">C3/1000</f>
        <v>2.8194600000000003</v>
      </c>
    </row>
    <row r="4" spans="1:5" x14ac:dyDescent="0.25">
      <c r="A4" s="1">
        <f t="shared" ca="1" si="0"/>
        <v>46057</v>
      </c>
      <c r="B4">
        <f ca="1">SUMIFS(Tabela1[Ativa (kwh)],Tabela1[data],A4)</f>
        <v>13592.880000000001</v>
      </c>
      <c r="C4">
        <f ca="1">SUMIFS(Tabela1[Reativa (kvarh)],Tabela1[data],A4)</f>
        <v>2151.2400000000002</v>
      </c>
      <c r="D4">
        <f t="shared" ref="D4:D20" ca="1" si="5">B4/1000</f>
        <v>13.592880000000001</v>
      </c>
      <c r="E4">
        <f t="shared" ref="E4:E20" ca="1" si="6">C4/1000</f>
        <v>2.15124</v>
      </c>
    </row>
    <row r="5" spans="1:5" x14ac:dyDescent="0.25">
      <c r="A5" s="1">
        <f t="shared" ca="1" si="0"/>
        <v>46058</v>
      </c>
      <c r="B5">
        <f ca="1">SUMIFS(Tabela1[Ativa (kwh)],Tabela1[data],A5)</f>
        <v>14730.240000000003</v>
      </c>
      <c r="C5">
        <f ca="1">SUMIFS(Tabela1[Reativa (kvarh)],Tabela1[data],A5)</f>
        <v>2797.2</v>
      </c>
      <c r="D5">
        <f t="shared" ca="1" si="5"/>
        <v>14.730240000000004</v>
      </c>
      <c r="E5">
        <f t="shared" ca="1" si="6"/>
        <v>2.7971999999999997</v>
      </c>
    </row>
    <row r="6" spans="1:5" x14ac:dyDescent="0.25">
      <c r="A6" s="1">
        <f t="shared" ca="1" si="0"/>
        <v>46059</v>
      </c>
      <c r="B6">
        <f ca="1">SUMIFS(Tabela1[Ativa (kwh)],Tabela1[data],A6)</f>
        <v>14102.339999999998</v>
      </c>
      <c r="C6">
        <f ca="1">SUMIFS(Tabela1[Reativa (kvarh)],Tabela1[data],A6)</f>
        <v>2479.6800000000003</v>
      </c>
      <c r="D6">
        <f t="shared" ca="1" si="5"/>
        <v>14.102339999999998</v>
      </c>
      <c r="E6">
        <f t="shared" ca="1" si="6"/>
        <v>2.4796800000000001</v>
      </c>
    </row>
    <row r="7" spans="1:5" x14ac:dyDescent="0.25">
      <c r="A7" s="1">
        <f t="shared" ca="1" si="0"/>
        <v>46060</v>
      </c>
      <c r="B7">
        <f ca="1">SUMIFS(Tabela1[Ativa (kwh)],Tabela1[data],A7)</f>
        <v>14551.739999999998</v>
      </c>
      <c r="C7">
        <f ca="1">SUMIFS(Tabela1[Reativa (kvarh)],Tabela1[data],A7)</f>
        <v>2609.46</v>
      </c>
      <c r="D7">
        <f t="shared" ca="1" si="5"/>
        <v>14.551739999999999</v>
      </c>
      <c r="E7">
        <f t="shared" ca="1" si="6"/>
        <v>2.6094599999999999</v>
      </c>
    </row>
    <row r="8" spans="1:5" x14ac:dyDescent="0.25">
      <c r="A8" s="1">
        <f t="shared" ca="1" si="0"/>
        <v>46061</v>
      </c>
      <c r="B8">
        <f ca="1">SUMIFS(Tabela1[Ativa (kwh)],Tabela1[data],A8)</f>
        <v>10849.439999999999</v>
      </c>
      <c r="C8">
        <f ca="1">SUMIFS(Tabela1[Reativa (kvarh)],Tabela1[data],A8)</f>
        <v>1142.82</v>
      </c>
      <c r="D8">
        <f t="shared" ca="1" si="5"/>
        <v>10.84944</v>
      </c>
      <c r="E8">
        <f t="shared" ca="1" si="6"/>
        <v>1.1428199999999999</v>
      </c>
    </row>
    <row r="9" spans="1:5" x14ac:dyDescent="0.25">
      <c r="A9" s="1">
        <f t="shared" ca="1" si="0"/>
        <v>46062</v>
      </c>
      <c r="B9">
        <f ca="1">SUMIFS(Tabela1[Ativa (kwh)],Tabela1[data],A9)</f>
        <v>13959.96</v>
      </c>
      <c r="C9">
        <f ca="1">SUMIFS(Tabela1[Reativa (kvarh)],Tabela1[data],A9)</f>
        <v>2362.08</v>
      </c>
      <c r="D9">
        <f t="shared" ca="1" si="5"/>
        <v>13.959959999999999</v>
      </c>
      <c r="E9">
        <f t="shared" ca="1" si="6"/>
        <v>2.3620799999999997</v>
      </c>
    </row>
    <row r="10" spans="1:5" x14ac:dyDescent="0.25">
      <c r="A10" s="1">
        <f t="shared" ca="1" si="0"/>
        <v>46063</v>
      </c>
      <c r="B10">
        <f ca="1">SUMIFS(Tabela1[Ativa (kwh)],Tabela1[data],A10)</f>
        <v>13565.580000000002</v>
      </c>
      <c r="C10">
        <f ca="1">SUMIFS(Tabela1[Reativa (kvarh)],Tabela1[data],A10)</f>
        <v>2019.3600000000001</v>
      </c>
      <c r="D10">
        <f t="shared" ca="1" si="5"/>
        <v>13.565580000000002</v>
      </c>
      <c r="E10">
        <f t="shared" ca="1" si="6"/>
        <v>2.0193600000000003</v>
      </c>
    </row>
    <row r="11" spans="1:5" x14ac:dyDescent="0.25">
      <c r="A11" s="1">
        <f t="shared" ca="1" si="0"/>
        <v>46064</v>
      </c>
      <c r="B11">
        <f ca="1">SUMIFS(Tabela1[Ativa (kwh)],Tabela1[data],A11)</f>
        <v>14547.119999999999</v>
      </c>
      <c r="C11">
        <f ca="1">SUMIFS(Tabela1[Reativa (kvarh)],Tabela1[data],A11)</f>
        <v>2474.6400000000003</v>
      </c>
      <c r="D11">
        <f t="shared" ca="1" si="5"/>
        <v>14.54712</v>
      </c>
      <c r="E11">
        <f t="shared" ca="1" si="6"/>
        <v>2.4746400000000004</v>
      </c>
    </row>
    <row r="12" spans="1:5" x14ac:dyDescent="0.25">
      <c r="A12" s="1">
        <f t="shared" ca="1" si="0"/>
        <v>46065</v>
      </c>
      <c r="B12">
        <f ca="1">SUMIFS(Tabela1[Ativa (kwh)],Tabela1[data],A12)</f>
        <v>14613.9</v>
      </c>
      <c r="C12">
        <f ca="1">SUMIFS(Tabela1[Reativa (kvarh)],Tabela1[data],A12)</f>
        <v>2491.8599999999997</v>
      </c>
      <c r="D12">
        <f t="shared" ca="1" si="5"/>
        <v>14.613899999999999</v>
      </c>
      <c r="E12">
        <f t="shared" ca="1" si="6"/>
        <v>2.4918599999999995</v>
      </c>
    </row>
    <row r="13" spans="1:5" x14ac:dyDescent="0.25">
      <c r="A13" s="1">
        <f t="shared" ca="1" si="0"/>
        <v>46066</v>
      </c>
      <c r="B13">
        <f ca="1">SUMIFS(Tabela1[Ativa (kwh)],Tabela1[data],A13)</f>
        <v>15783.6</v>
      </c>
      <c r="C13">
        <f ca="1">SUMIFS(Tabela1[Reativa (kvarh)],Tabela1[data],A13)</f>
        <v>3041.2200000000003</v>
      </c>
      <c r="D13">
        <f t="shared" ca="1" si="5"/>
        <v>15.7836</v>
      </c>
      <c r="E13">
        <f t="shared" ca="1" si="6"/>
        <v>3.04122</v>
      </c>
    </row>
    <row r="14" spans="1:5" x14ac:dyDescent="0.25">
      <c r="A14" s="1">
        <f t="shared" ref="A14:A20" ca="1" si="7">A15-1</f>
        <v>46067</v>
      </c>
      <c r="B14">
        <f ca="1">SUMIFS(Tabela1[Ativa (kwh)],Tabela1[data],A14)</f>
        <v>14310.24</v>
      </c>
      <c r="C14">
        <f ca="1">SUMIFS(Tabela1[Reativa (kvarh)],Tabela1[data],A14)</f>
        <v>2245.3199999999997</v>
      </c>
      <c r="D14">
        <f t="shared" ca="1" si="5"/>
        <v>14.31024</v>
      </c>
      <c r="E14">
        <f t="shared" ca="1" si="6"/>
        <v>2.2453199999999995</v>
      </c>
    </row>
    <row r="15" spans="1:5" x14ac:dyDescent="0.25">
      <c r="A15" s="1">
        <f t="shared" ca="1" si="7"/>
        <v>46068</v>
      </c>
      <c r="B15">
        <f ca="1">SUMIFS(Tabela1[Ativa (kwh)],Tabela1[data],A15)</f>
        <v>13153.559999999998</v>
      </c>
      <c r="C15">
        <f ca="1">SUMIFS(Tabela1[Reativa (kvarh)],Tabela1[data],A15)</f>
        <v>2066.8200000000002</v>
      </c>
      <c r="D15">
        <f t="shared" ca="1" si="5"/>
        <v>13.153559999999997</v>
      </c>
      <c r="E15">
        <f t="shared" ca="1" si="6"/>
        <v>2.0668200000000003</v>
      </c>
    </row>
    <row r="16" spans="1:5" x14ac:dyDescent="0.25">
      <c r="A16" s="1">
        <f t="shared" ca="1" si="7"/>
        <v>46069</v>
      </c>
      <c r="B16">
        <f ca="1">SUMIFS(Tabela1[Ativa (kwh)],Tabela1[data],A16)</f>
        <v>14484.960000000001</v>
      </c>
      <c r="C16">
        <f ca="1">SUMIFS(Tabela1[Reativa (kvarh)],Tabela1[data],A16)</f>
        <v>2625.84</v>
      </c>
      <c r="D16">
        <f t="shared" ca="1" si="5"/>
        <v>14.484960000000001</v>
      </c>
      <c r="E16">
        <f t="shared" ca="1" si="6"/>
        <v>2.6258400000000002</v>
      </c>
    </row>
    <row r="17" spans="1:5" x14ac:dyDescent="0.25">
      <c r="A17" s="1">
        <f t="shared" ca="1" si="7"/>
        <v>46070</v>
      </c>
      <c r="B17">
        <f ca="1">SUMIFS(Tabela1[Ativa (kwh)],Tabela1[data],A17)</f>
        <v>13996.499999999995</v>
      </c>
      <c r="C17">
        <f ca="1">SUMIFS(Tabela1[Reativa (kvarh)],Tabela1[data],A17)</f>
        <v>2766.96</v>
      </c>
      <c r="D17">
        <f t="shared" ca="1" si="5"/>
        <v>13.996499999999994</v>
      </c>
      <c r="E17">
        <f t="shared" ca="1" si="6"/>
        <v>2.7669600000000001</v>
      </c>
    </row>
    <row r="18" spans="1:5" x14ac:dyDescent="0.25">
      <c r="A18" s="1">
        <f t="shared" ca="1" si="7"/>
        <v>46071</v>
      </c>
      <c r="B18">
        <f ca="1">SUMIFS(Tabela1[Ativa (kwh)],Tabela1[data],A18)</f>
        <v>14146.859999999997</v>
      </c>
      <c r="C18">
        <f ca="1">SUMIFS(Tabela1[Reativa (kvarh)],Tabela1[data],A18)</f>
        <v>2533.86</v>
      </c>
      <c r="D18">
        <f t="shared" ca="1" si="5"/>
        <v>14.146859999999997</v>
      </c>
      <c r="E18">
        <f t="shared" ca="1" si="6"/>
        <v>2.5338600000000002</v>
      </c>
    </row>
    <row r="19" spans="1:5" x14ac:dyDescent="0.25">
      <c r="A19" s="1">
        <f t="shared" ca="1" si="7"/>
        <v>46072</v>
      </c>
      <c r="B19">
        <f ca="1">SUMIFS(Tabela1[Ativa (kwh)],Tabela1[data],A19)</f>
        <v>15716.400000000001</v>
      </c>
      <c r="C19">
        <f ca="1">SUMIFS(Tabela1[Reativa (kvarh)],Tabela1[data],A19)</f>
        <v>3582.6000000000004</v>
      </c>
      <c r="D19">
        <f t="shared" ca="1" si="5"/>
        <v>15.716400000000002</v>
      </c>
      <c r="E19">
        <f t="shared" ca="1" si="6"/>
        <v>3.5826000000000002</v>
      </c>
    </row>
    <row r="20" spans="1:5" x14ac:dyDescent="0.25">
      <c r="A20" s="1">
        <f t="shared" ca="1" si="7"/>
        <v>46073</v>
      </c>
      <c r="B20">
        <f ca="1">SUMIFS(Tabela1[Ativa (kwh)],Tabela1[data],A20)</f>
        <v>15205.68</v>
      </c>
      <c r="C20">
        <f ca="1">SUMIFS(Tabela1[Reativa (kvarh)],Tabela1[data],A20)</f>
        <v>3071.0400000000004</v>
      </c>
      <c r="D20">
        <f t="shared" ca="1" si="5"/>
        <v>15.205680000000001</v>
      </c>
      <c r="E20">
        <f t="shared" ca="1" si="6"/>
        <v>3.0710400000000004</v>
      </c>
    </row>
    <row r="21" spans="1:5" x14ac:dyDescent="0.25">
      <c r="A21" s="1">
        <f t="shared" ref="A21:A26" ca="1" si="8">A22-1</f>
        <v>46074</v>
      </c>
      <c r="B21">
        <f ca="1">SUMIFS(Tabela1[Ativa (kwh)],Tabela1[data],A21)</f>
        <v>15608.880000000001</v>
      </c>
      <c r="C21">
        <f ca="1">SUMIFS(Tabela1[Reativa (kvarh)],Tabela1[data],A21)</f>
        <v>3656.52</v>
      </c>
      <c r="D21">
        <f ca="1">B21/1000</f>
        <v>15.608880000000001</v>
      </c>
      <c r="E21">
        <f ca="1">C21/1000</f>
        <v>3.65652</v>
      </c>
    </row>
    <row r="22" spans="1:5" x14ac:dyDescent="0.25">
      <c r="A22" s="1">
        <f t="shared" ca="1" si="8"/>
        <v>46075</v>
      </c>
      <c r="B22">
        <f ca="1">SUMIFS(Tabela1[Ativa (kwh)],Tabela1[data],A22)</f>
        <v>13204.8</v>
      </c>
      <c r="C22">
        <f ca="1">SUMIFS(Tabela1[Reativa (kvarh)],Tabela1[data],A22)</f>
        <v>2372.5800000000004</v>
      </c>
      <c r="D22">
        <f t="shared" ref="D22:D30" ca="1" si="9">B22/1000</f>
        <v>13.204799999999999</v>
      </c>
      <c r="E22">
        <f t="shared" ref="E22:E30" ca="1" si="10">C22/1000</f>
        <v>2.3725800000000006</v>
      </c>
    </row>
    <row r="23" spans="1:5" x14ac:dyDescent="0.25">
      <c r="A23" s="1">
        <f t="shared" ca="1" si="8"/>
        <v>46076</v>
      </c>
      <c r="B23">
        <f ca="1">SUMIFS(Tabela1[Ativa (kwh)],Tabela1[data],A23)</f>
        <v>15299.759999999998</v>
      </c>
      <c r="C23">
        <f ca="1">SUMIFS(Tabela1[Reativa (kvarh)],Tabela1[data],A23)</f>
        <v>3145.38</v>
      </c>
      <c r="D23">
        <f t="shared" ca="1" si="9"/>
        <v>15.299759999999999</v>
      </c>
      <c r="E23">
        <f t="shared" ca="1" si="10"/>
        <v>3.1453800000000003</v>
      </c>
    </row>
    <row r="24" spans="1:5" x14ac:dyDescent="0.25">
      <c r="A24" s="1">
        <f t="shared" ca="1" si="8"/>
        <v>46077</v>
      </c>
      <c r="B24">
        <f ca="1">SUMIFS(Tabela1[Ativa (kwh)],Tabela1[data],A24)</f>
        <v>15763.859999999999</v>
      </c>
      <c r="C24">
        <f ca="1">SUMIFS(Tabela1[Reativa (kvarh)],Tabela1[data],A24)</f>
        <v>3323.4599999999996</v>
      </c>
      <c r="D24">
        <f t="shared" ca="1" si="9"/>
        <v>15.763859999999999</v>
      </c>
      <c r="E24">
        <f t="shared" ca="1" si="10"/>
        <v>3.3234599999999994</v>
      </c>
    </row>
    <row r="25" spans="1:5" x14ac:dyDescent="0.25">
      <c r="A25" s="1">
        <f t="shared" ca="1" si="8"/>
        <v>46078</v>
      </c>
      <c r="B25">
        <f ca="1">SUMIFS(Tabela1[Ativa (kwh)],Tabela1[data],A25)</f>
        <v>15613.920000000004</v>
      </c>
      <c r="C25">
        <f ca="1">SUMIFS(Tabela1[Reativa (kvarh)],Tabela1[data],A25)</f>
        <v>3279.3599999999997</v>
      </c>
      <c r="D25">
        <f t="shared" ca="1" si="9"/>
        <v>15.613920000000004</v>
      </c>
      <c r="E25">
        <f t="shared" ca="1" si="10"/>
        <v>3.2793599999999996</v>
      </c>
    </row>
    <row r="26" spans="1:5" x14ac:dyDescent="0.25">
      <c r="A26" s="1">
        <f t="shared" ca="1" si="8"/>
        <v>46079</v>
      </c>
      <c r="B26">
        <f ca="1">SUMIFS(Tabela1[Ativa (kwh)],Tabela1[data],A26)</f>
        <v>14546.699999999999</v>
      </c>
      <c r="C26">
        <f ca="1">SUMIFS(Tabela1[Reativa (kvarh)],Tabela1[data],A26)</f>
        <v>2902.6199999999994</v>
      </c>
      <c r="D26">
        <f t="shared" ca="1" si="9"/>
        <v>14.5467</v>
      </c>
      <c r="E26">
        <f t="shared" ca="1" si="10"/>
        <v>2.9026199999999993</v>
      </c>
    </row>
    <row r="27" spans="1:5" x14ac:dyDescent="0.25">
      <c r="A27" s="1">
        <f ca="1">A28-1</f>
        <v>46080</v>
      </c>
      <c r="B27">
        <f ca="1">SUMIFS(Tabela1[Ativa (kwh)],Tabela1[data],A27)</f>
        <v>12985.980000000001</v>
      </c>
      <c r="C27">
        <f ca="1">SUMIFS(Tabela1[Reativa (kvarh)],Tabela1[data],A27)</f>
        <v>2105.04</v>
      </c>
      <c r="D27">
        <f t="shared" ca="1" si="9"/>
        <v>12.985980000000001</v>
      </c>
      <c r="E27">
        <f t="shared" ca="1" si="10"/>
        <v>2.1050399999999998</v>
      </c>
    </row>
    <row r="28" spans="1:5" x14ac:dyDescent="0.25">
      <c r="A28" s="1">
        <f ca="1">A29-1</f>
        <v>46081</v>
      </c>
      <c r="B28">
        <f ca="1">SUMIFS(Tabela1[Ativa (kwh)],Tabela1[data],A28)</f>
        <v>13784.82</v>
      </c>
      <c r="C28">
        <f ca="1">SUMIFS(Tabela1[Reativa (kvarh)],Tabela1[data],A28)</f>
        <v>2298.66</v>
      </c>
      <c r="D28">
        <f t="shared" ca="1" si="9"/>
        <v>13.78482</v>
      </c>
      <c r="E28">
        <f t="shared" ca="1" si="10"/>
        <v>2.2986599999999999</v>
      </c>
    </row>
    <row r="29" spans="1:5" x14ac:dyDescent="0.25">
      <c r="A29" s="1">
        <f ca="1">A30-1</f>
        <v>46082</v>
      </c>
      <c r="B29">
        <f ca="1">SUMIFS(Tabela1[Ativa (kwh)],Tabela1[data],A29)</f>
        <v>10425.660000000002</v>
      </c>
      <c r="C29">
        <f ca="1">SUMIFS(Tabela1[Reativa (kvarh)],Tabela1[data],A29)</f>
        <v>996.66</v>
      </c>
      <c r="D29">
        <f t="shared" ca="1" si="9"/>
        <v>10.425660000000002</v>
      </c>
      <c r="E29">
        <f t="shared" ca="1" si="10"/>
        <v>0.99665999999999999</v>
      </c>
    </row>
    <row r="30" spans="1:5" x14ac:dyDescent="0.25">
      <c r="A30" s="1">
        <f ca="1">TODAY()-1</f>
        <v>46083</v>
      </c>
      <c r="B30">
        <f ca="1">SUMIFS(Tabela1[Ativa (kwh)],Tabela1[data],A30)</f>
        <v>13039.32</v>
      </c>
      <c r="C30">
        <f ca="1">SUMIFS(Tabela1[Reativa (kvarh)],Tabela1[data],A30)</f>
        <v>2385.6000000000004</v>
      </c>
      <c r="D30">
        <f t="shared" ca="1" si="9"/>
        <v>13.03932</v>
      </c>
      <c r="E30">
        <f t="shared" ca="1" si="10"/>
        <v>2.3856000000000002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F36" sqref="F3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46083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229.74</v>
      </c>
      <c r="D5" s="4">
        <f ca="1">C5/1000</f>
        <v>0.22974</v>
      </c>
    </row>
    <row r="6" spans="2:4" x14ac:dyDescent="0.25">
      <c r="B6" s="4">
        <v>2</v>
      </c>
      <c r="C6" s="4">
        <f ca="1">SUMIFS(Tabela1[Ativa (kwh)],Tabela1[data],$C$2,Tabela1[Hora],B6)</f>
        <v>218.4</v>
      </c>
      <c r="D6" s="4">
        <f t="shared" ref="D6:D28" ca="1" si="0">C6/1000</f>
        <v>0.21840000000000001</v>
      </c>
    </row>
    <row r="7" spans="2:4" x14ac:dyDescent="0.25">
      <c r="B7" s="4">
        <v>3</v>
      </c>
      <c r="C7" s="4">
        <f ca="1">SUMIFS(Tabela1[Ativa (kwh)],Tabela1[data],$C$2,Tabela1[Hora],B7)</f>
        <v>215.88</v>
      </c>
      <c r="D7" s="4">
        <f t="shared" ca="1" si="0"/>
        <v>0.21587999999999999</v>
      </c>
    </row>
    <row r="8" spans="2:4" x14ac:dyDescent="0.25">
      <c r="B8" s="4">
        <v>4</v>
      </c>
      <c r="C8" s="4">
        <f ca="1">SUMIFS(Tabela1[Ativa (kwh)],Tabela1[data],$C$2,Tabela1[Hora],B8)</f>
        <v>209.58</v>
      </c>
      <c r="D8" s="4">
        <f t="shared" ca="1" si="0"/>
        <v>0.20958000000000002</v>
      </c>
    </row>
    <row r="9" spans="2:4" x14ac:dyDescent="0.25">
      <c r="B9" s="4">
        <v>5</v>
      </c>
      <c r="C9" s="4">
        <f ca="1">SUMIFS(Tabela1[Ativa (kwh)],Tabela1[data],$C$2,Tabela1[Hora],B9)</f>
        <v>214.2</v>
      </c>
      <c r="D9" s="4">
        <f t="shared" ca="1" si="0"/>
        <v>0.2142</v>
      </c>
    </row>
    <row r="10" spans="2:4" x14ac:dyDescent="0.25">
      <c r="B10" s="4">
        <v>6</v>
      </c>
      <c r="C10" s="4">
        <f ca="1">SUMIFS(Tabela1[Ativa (kwh)],Tabela1[data],$C$2,Tabela1[Hora],B10)</f>
        <v>211.26</v>
      </c>
      <c r="D10" s="4">
        <f t="shared" ca="1" si="0"/>
        <v>0.21126</v>
      </c>
    </row>
    <row r="11" spans="2:4" x14ac:dyDescent="0.25">
      <c r="B11" s="4">
        <v>7</v>
      </c>
      <c r="C11" s="4">
        <f ca="1">SUMIFS(Tabela1[Ativa (kwh)],Tabela1[data],$C$2,Tabela1[Hora],B11)</f>
        <v>225.96</v>
      </c>
      <c r="D11" s="4">
        <f t="shared" ca="1" si="0"/>
        <v>0.22595999999999999</v>
      </c>
    </row>
    <row r="12" spans="2:4" x14ac:dyDescent="0.25">
      <c r="B12" s="4">
        <v>8</v>
      </c>
      <c r="C12" s="4">
        <f ca="1">SUMIFS(Tabela1[Ativa (kwh)],Tabela1[data],$C$2,Tabela1[Hora],B12)</f>
        <v>266.27999999999997</v>
      </c>
      <c r="D12" s="4">
        <f t="shared" ca="1" si="0"/>
        <v>0.26627999999999996</v>
      </c>
    </row>
    <row r="13" spans="2:4" x14ac:dyDescent="0.25">
      <c r="B13" s="4">
        <v>9</v>
      </c>
      <c r="C13" s="4">
        <f ca="1">SUMIFS(Tabela1[Ativa (kwh)],Tabela1[data],$C$2,Tabela1[Hora],B13)</f>
        <v>341.04</v>
      </c>
      <c r="D13" s="4">
        <f t="shared" ca="1" si="0"/>
        <v>0.34104000000000001</v>
      </c>
    </row>
    <row r="14" spans="2:4" x14ac:dyDescent="0.25">
      <c r="B14" s="4">
        <v>10</v>
      </c>
      <c r="C14" s="4">
        <f ca="1">SUMIFS(Tabela1[Ativa (kwh)],Tabela1[data],$C$2,Tabela1[Hora],B14)</f>
        <v>439.74</v>
      </c>
      <c r="D14" s="4">
        <f t="shared" ca="1" si="0"/>
        <v>0.43974000000000002</v>
      </c>
    </row>
    <row r="15" spans="2:4" x14ac:dyDescent="0.25">
      <c r="B15" s="4">
        <v>11</v>
      </c>
      <c r="C15" s="4">
        <f ca="1">SUMIFS(Tabela1[Ativa (kwh)],Tabela1[data],$C$2,Tabela1[Hora],B15)</f>
        <v>821.52</v>
      </c>
      <c r="D15" s="4">
        <f t="shared" ca="1" si="0"/>
        <v>0.82152000000000003</v>
      </c>
    </row>
    <row r="16" spans="2:4" x14ac:dyDescent="0.25">
      <c r="B16" s="4">
        <v>12</v>
      </c>
      <c r="C16" s="4">
        <f ca="1">SUMIFS(Tabela1[Ativa (kwh)],Tabela1[data],$C$2,Tabela1[Hora],B16)</f>
        <v>825.3</v>
      </c>
      <c r="D16" s="4">
        <f t="shared" ca="1" si="0"/>
        <v>0.82529999999999992</v>
      </c>
    </row>
    <row r="17" spans="2:4" x14ac:dyDescent="0.25">
      <c r="B17" s="4">
        <v>13</v>
      </c>
      <c r="C17" s="4">
        <f ca="1">SUMIFS(Tabela1[Ativa (kwh)],Tabela1[data],$C$2,Tabela1[Hora],B17)</f>
        <v>854.7</v>
      </c>
      <c r="D17" s="4">
        <f t="shared" ca="1" si="0"/>
        <v>0.85470000000000002</v>
      </c>
    </row>
    <row r="18" spans="2:4" x14ac:dyDescent="0.25">
      <c r="B18" s="4">
        <v>14</v>
      </c>
      <c r="C18" s="4">
        <f ca="1">SUMIFS(Tabela1[Ativa (kwh)],Tabela1[data],$C$2,Tabela1[Hora],B18)</f>
        <v>848.4</v>
      </c>
      <c r="D18" s="4">
        <f t="shared" ca="1" si="0"/>
        <v>0.84839999999999993</v>
      </c>
    </row>
    <row r="19" spans="2:4" x14ac:dyDescent="0.25">
      <c r="B19" s="4">
        <v>15</v>
      </c>
      <c r="C19" s="4">
        <f ca="1">SUMIFS(Tabela1[Ativa (kwh)],Tabela1[data],$C$2,Tabela1[Hora],B19)</f>
        <v>840.42</v>
      </c>
      <c r="D19" s="4">
        <f t="shared" ca="1" si="0"/>
        <v>0.84041999999999994</v>
      </c>
    </row>
    <row r="20" spans="2:4" x14ac:dyDescent="0.25">
      <c r="B20" s="4">
        <v>16</v>
      </c>
      <c r="C20" s="4">
        <f ca="1">SUMIFS(Tabela1[Ativa (kwh)],Tabela1[data],$C$2,Tabela1[Hora],B20)</f>
        <v>863.1</v>
      </c>
      <c r="D20" s="4">
        <f t="shared" ca="1" si="0"/>
        <v>0.86309999999999998</v>
      </c>
    </row>
    <row r="21" spans="2:4" x14ac:dyDescent="0.25">
      <c r="B21" s="4">
        <v>17</v>
      </c>
      <c r="C21" s="4">
        <f ca="1">SUMIFS(Tabela1[Ativa (kwh)],Tabela1[data],$C$2,Tabela1[Hora],B21)</f>
        <v>857.64</v>
      </c>
      <c r="D21" s="4">
        <f t="shared" ca="1" si="0"/>
        <v>0.85763999999999996</v>
      </c>
    </row>
    <row r="22" spans="2:4" x14ac:dyDescent="0.25">
      <c r="B22" s="4">
        <v>18</v>
      </c>
      <c r="C22" s="4">
        <f ca="1">SUMIFS(Tabela1[Ativa (kwh)],Tabela1[data],$C$2,Tabela1[Hora],B22)</f>
        <v>827.4</v>
      </c>
      <c r="D22" s="4">
        <f t="shared" ca="1" si="0"/>
        <v>0.82740000000000002</v>
      </c>
    </row>
    <row r="23" spans="2:4" x14ac:dyDescent="0.25">
      <c r="B23" s="4">
        <v>19</v>
      </c>
      <c r="C23" s="4">
        <f ca="1">SUMIFS(Tabela1[Ativa (kwh)],Tabela1[data],$C$2,Tabela1[Hora],B23)</f>
        <v>781.2</v>
      </c>
      <c r="D23" s="4">
        <f t="shared" ca="1" si="0"/>
        <v>0.78120000000000001</v>
      </c>
    </row>
    <row r="24" spans="2:4" x14ac:dyDescent="0.25">
      <c r="B24" s="4">
        <v>20</v>
      </c>
      <c r="C24" s="4">
        <f ca="1">SUMIFS(Tabela1[Ativa (kwh)],Tabela1[data],$C$2,Tabela1[Hora],B24)</f>
        <v>760.62</v>
      </c>
      <c r="D24" s="4">
        <f t="shared" ca="1" si="0"/>
        <v>0.76061999999999996</v>
      </c>
    </row>
    <row r="25" spans="2:4" x14ac:dyDescent="0.25">
      <c r="B25" s="4">
        <v>21</v>
      </c>
      <c r="C25" s="4">
        <f ca="1">SUMIFS(Tabela1[Ativa (kwh)],Tabela1[data],$C$2,Tabela1[Hora],B25)</f>
        <v>775.32</v>
      </c>
      <c r="D25" s="4">
        <f t="shared" ca="1" si="0"/>
        <v>0.77532000000000001</v>
      </c>
    </row>
    <row r="26" spans="2:4" x14ac:dyDescent="0.25">
      <c r="B26" s="4">
        <v>22</v>
      </c>
      <c r="C26" s="4">
        <f ca="1">SUMIFS(Tabela1[Ativa (kwh)],Tabela1[data],$C$2,Tabela1[Hora],B26)</f>
        <v>742.98</v>
      </c>
      <c r="D26" s="4">
        <f t="shared" ca="1" si="0"/>
        <v>0.74297999999999997</v>
      </c>
    </row>
    <row r="27" spans="2:4" x14ac:dyDescent="0.25">
      <c r="B27" s="4">
        <v>23</v>
      </c>
      <c r="C27" s="4">
        <f ca="1">SUMIFS(Tabela1[Ativa (kwh)],Tabela1[data],$C$2,Tabela1[Hora],B27)</f>
        <v>378</v>
      </c>
      <c r="D27" s="4">
        <f t="shared" ca="1" si="0"/>
        <v>0.378</v>
      </c>
    </row>
    <row r="28" spans="2:4" x14ac:dyDescent="0.25">
      <c r="B28" s="4">
        <v>24</v>
      </c>
      <c r="C28" s="4">
        <f ca="1">SUMIFS(Tabela1[Ativa (kwh)],Tabela1[data],$C$2,Tabela1[Hora],B28)</f>
        <v>290.64</v>
      </c>
      <c r="D28" s="4">
        <f t="shared" ca="1" si="0"/>
        <v>0.29064000000000001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5"/>
  <sheetViews>
    <sheetView workbookViewId="0">
      <selection activeCell="D18" sqref="D18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434799.95999999973</v>
      </c>
      <c r="E14">
        <f>D14/1000</f>
        <v>434.79995999999971</v>
      </c>
    </row>
    <row r="15" spans="1:10" x14ac:dyDescent="0.25">
      <c r="A15" s="1">
        <v>46054</v>
      </c>
      <c r="B15" s="5">
        <f t="shared" ref="B15" si="3">MONTH(A15)</f>
        <v>2</v>
      </c>
      <c r="C15" s="5">
        <f t="shared" ref="C15" si="4">YEAR(A15)</f>
        <v>2026</v>
      </c>
      <c r="D15">
        <f>SUMIFS(Tabela1[Ativa (kwh)],Tabela1[Mês],B15,Tabela1[Ano],C15)</f>
        <v>398883.24000000028</v>
      </c>
      <c r="E15">
        <f>D15/1000</f>
        <v>398.88324000000028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2026-03-03T17:59:44Z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