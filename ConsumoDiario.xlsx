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62" documentId="8_{8D12E28F-71B1-4F28-B6C5-4462CC8675C5}" xr6:coauthVersionLast="47" xr6:coauthVersionMax="47" xr10:uidLastSave="{493500E5-4A08-4D77-B82D-2A9C224FD686}"/>
  <bookViews>
    <workbookView xWindow="-120" yWindow="-120" windowWidth="20730" windowHeight="1104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33" i="1" l="1"/>
  <c r="H10033" i="1"/>
  <c r="I10032" i="1"/>
  <c r="H10032" i="1"/>
  <c r="I10031" i="1"/>
  <c r="H10031" i="1"/>
  <c r="I10030" i="1"/>
  <c r="H10030" i="1"/>
  <c r="I10029" i="1"/>
  <c r="H10029" i="1"/>
  <c r="I10028" i="1"/>
  <c r="H10028" i="1"/>
  <c r="I10027" i="1"/>
  <c r="H10027" i="1"/>
  <c r="I10026" i="1"/>
  <c r="H10026" i="1"/>
  <c r="I10025" i="1"/>
  <c r="H10025" i="1"/>
  <c r="I10024" i="1"/>
  <c r="H10024" i="1"/>
  <c r="I10023" i="1"/>
  <c r="H10023" i="1"/>
  <c r="I10022" i="1"/>
  <c r="H10022" i="1"/>
  <c r="I10021" i="1"/>
  <c r="H10021" i="1"/>
  <c r="I10020" i="1"/>
  <c r="H10020" i="1"/>
  <c r="I10019" i="1"/>
  <c r="H10019" i="1"/>
  <c r="I10018" i="1"/>
  <c r="H10018" i="1"/>
  <c r="I10017" i="1"/>
  <c r="H10017" i="1"/>
  <c r="I10016" i="1"/>
  <c r="H10016" i="1"/>
  <c r="I10015" i="1"/>
  <c r="H10015" i="1"/>
  <c r="I10014" i="1"/>
  <c r="H10014" i="1"/>
  <c r="I10013" i="1"/>
  <c r="H10013" i="1"/>
  <c r="I10012" i="1"/>
  <c r="H10012" i="1"/>
  <c r="I10011" i="1"/>
  <c r="H10011" i="1"/>
  <c r="I10010" i="1"/>
  <c r="H10010" i="1"/>
  <c r="I10009" i="1"/>
  <c r="H10009" i="1"/>
  <c r="I10008" i="1"/>
  <c r="H10008" i="1"/>
  <c r="I10007" i="1"/>
  <c r="H10007" i="1"/>
  <c r="I10006" i="1"/>
  <c r="H10006" i="1"/>
  <c r="I10005" i="1"/>
  <c r="H10005" i="1"/>
  <c r="I10004" i="1"/>
  <c r="H10004" i="1"/>
  <c r="I10003" i="1"/>
  <c r="H10003" i="1"/>
  <c r="I10002" i="1"/>
  <c r="H10002" i="1"/>
  <c r="I10001" i="1"/>
  <c r="H10001" i="1"/>
  <c r="I10000" i="1"/>
  <c r="H10000" i="1"/>
  <c r="I9999" i="1"/>
  <c r="H9999" i="1"/>
  <c r="I9998" i="1"/>
  <c r="H9998" i="1"/>
  <c r="I9997" i="1"/>
  <c r="H9997" i="1"/>
  <c r="I9996" i="1"/>
  <c r="H9996" i="1"/>
  <c r="I9995" i="1"/>
  <c r="H9995" i="1"/>
  <c r="I9994" i="1"/>
  <c r="H9994" i="1"/>
  <c r="I9993" i="1"/>
  <c r="H9993" i="1"/>
  <c r="I9992" i="1"/>
  <c r="H9992" i="1"/>
  <c r="I9991" i="1"/>
  <c r="H9991" i="1"/>
  <c r="I9990" i="1"/>
  <c r="H9990" i="1"/>
  <c r="I9989" i="1"/>
  <c r="H9989" i="1"/>
  <c r="I9988" i="1"/>
  <c r="H9988" i="1"/>
  <c r="I9987" i="1"/>
  <c r="H9987" i="1"/>
  <c r="I9986" i="1"/>
  <c r="H9986" i="1"/>
  <c r="I9985" i="1"/>
  <c r="H9985" i="1"/>
  <c r="I9984" i="1"/>
  <c r="H9984" i="1"/>
  <c r="I9983" i="1"/>
  <c r="H9983" i="1"/>
  <c r="I9982" i="1"/>
  <c r="H9982" i="1"/>
  <c r="I9981" i="1"/>
  <c r="H9981" i="1"/>
  <c r="I9980" i="1"/>
  <c r="H9980" i="1"/>
  <c r="I9979" i="1"/>
  <c r="H9979" i="1"/>
  <c r="I9978" i="1"/>
  <c r="H9978" i="1"/>
  <c r="I9977" i="1"/>
  <c r="H9977" i="1"/>
  <c r="I9976" i="1"/>
  <c r="H9976" i="1"/>
  <c r="I9975" i="1"/>
  <c r="H9975" i="1"/>
  <c r="I9974" i="1"/>
  <c r="H9974" i="1"/>
  <c r="I9973" i="1"/>
  <c r="H9973" i="1"/>
  <c r="I9972" i="1"/>
  <c r="H9972" i="1"/>
  <c r="I9971" i="1"/>
  <c r="H9971" i="1"/>
  <c r="I9970" i="1"/>
  <c r="H9970" i="1"/>
  <c r="I9969" i="1"/>
  <c r="H9969" i="1"/>
  <c r="I9968" i="1"/>
  <c r="H9968" i="1"/>
  <c r="I9967" i="1"/>
  <c r="H9967" i="1"/>
  <c r="I9966" i="1"/>
  <c r="H9966" i="1"/>
  <c r="I9965" i="1"/>
  <c r="H9965" i="1"/>
  <c r="I9964" i="1"/>
  <c r="H9964" i="1"/>
  <c r="I9963" i="1"/>
  <c r="H9963" i="1"/>
  <c r="I9962" i="1"/>
  <c r="H9962" i="1"/>
  <c r="I9961" i="1"/>
  <c r="H9961" i="1"/>
  <c r="I9960" i="1"/>
  <c r="H9960" i="1"/>
  <c r="I9959" i="1"/>
  <c r="H9959" i="1"/>
  <c r="I9958" i="1"/>
  <c r="H9958" i="1"/>
  <c r="I9957" i="1"/>
  <c r="H9957" i="1"/>
  <c r="I9956" i="1"/>
  <c r="H9956" i="1"/>
  <c r="I9955" i="1"/>
  <c r="H9955" i="1"/>
  <c r="I9954" i="1"/>
  <c r="H9954" i="1"/>
  <c r="I9953" i="1"/>
  <c r="H9953" i="1"/>
  <c r="I9952" i="1"/>
  <c r="H9952" i="1"/>
  <c r="I9951" i="1"/>
  <c r="H9951" i="1"/>
  <c r="I9950" i="1"/>
  <c r="H9950" i="1"/>
  <c r="I9949" i="1"/>
  <c r="H9949" i="1"/>
  <c r="I9948" i="1"/>
  <c r="H9948" i="1"/>
  <c r="I9947" i="1"/>
  <c r="H9947" i="1"/>
  <c r="I9946" i="1"/>
  <c r="H9946" i="1"/>
  <c r="I9945" i="1"/>
  <c r="H9945" i="1"/>
  <c r="I9944" i="1"/>
  <c r="H9944" i="1"/>
  <c r="I9943" i="1"/>
  <c r="H9943" i="1"/>
  <c r="I9942" i="1"/>
  <c r="H9942" i="1"/>
  <c r="I9941" i="1"/>
  <c r="H9941" i="1"/>
  <c r="I9940" i="1"/>
  <c r="H9940" i="1"/>
  <c r="I9939" i="1"/>
  <c r="H9939" i="1"/>
  <c r="I9938" i="1"/>
  <c r="H9938" i="1"/>
  <c r="I9937" i="1"/>
  <c r="H9937" i="1"/>
  <c r="I9936" i="1"/>
  <c r="H9936" i="1"/>
  <c r="I9935" i="1"/>
  <c r="H9935" i="1"/>
  <c r="I9934" i="1"/>
  <c r="H9934" i="1"/>
  <c r="I9933" i="1"/>
  <c r="H9933" i="1"/>
  <c r="I9932" i="1"/>
  <c r="H9932" i="1"/>
  <c r="I9931" i="1"/>
  <c r="H9931" i="1"/>
  <c r="I9930" i="1"/>
  <c r="H9930" i="1"/>
  <c r="I9929" i="1"/>
  <c r="H9929" i="1"/>
  <c r="I9928" i="1"/>
  <c r="H9928" i="1"/>
  <c r="I9927" i="1"/>
  <c r="H9927" i="1"/>
  <c r="I9926" i="1"/>
  <c r="H9926" i="1"/>
  <c r="I9925" i="1"/>
  <c r="H9925" i="1"/>
  <c r="I9924" i="1"/>
  <c r="H9924" i="1"/>
  <c r="I9923" i="1"/>
  <c r="H9923" i="1"/>
  <c r="I9922" i="1"/>
  <c r="H9922" i="1"/>
  <c r="I9921" i="1"/>
  <c r="H9921" i="1"/>
  <c r="I9920" i="1"/>
  <c r="H9920" i="1"/>
  <c r="I9919" i="1"/>
  <c r="H9919" i="1"/>
  <c r="I9918" i="1"/>
  <c r="H9918" i="1"/>
  <c r="I9917" i="1"/>
  <c r="H9917" i="1"/>
  <c r="I9916" i="1"/>
  <c r="H9916" i="1"/>
  <c r="I9915" i="1"/>
  <c r="H9915" i="1"/>
  <c r="I9914" i="1"/>
  <c r="H9914" i="1"/>
  <c r="I9913" i="1"/>
  <c r="H9913" i="1"/>
  <c r="I9912" i="1"/>
  <c r="H9912" i="1"/>
  <c r="I9911" i="1"/>
  <c r="H9911" i="1"/>
  <c r="I9910" i="1"/>
  <c r="H9910" i="1"/>
  <c r="I9909" i="1"/>
  <c r="H9909" i="1"/>
  <c r="I9908" i="1"/>
  <c r="H9908" i="1"/>
  <c r="I9907" i="1"/>
  <c r="H9907" i="1"/>
  <c r="I9906" i="1"/>
  <c r="H9906" i="1"/>
  <c r="I9905" i="1"/>
  <c r="H9905" i="1"/>
  <c r="I9904" i="1"/>
  <c r="H9904" i="1"/>
  <c r="I9903" i="1"/>
  <c r="H9903" i="1"/>
  <c r="I9902" i="1"/>
  <c r="H9902" i="1"/>
  <c r="I9901" i="1"/>
  <c r="H9901" i="1"/>
  <c r="I9900" i="1"/>
  <c r="H9900" i="1"/>
  <c r="I9899" i="1"/>
  <c r="H9899" i="1"/>
  <c r="I9898" i="1"/>
  <c r="H9898" i="1"/>
  <c r="I9897" i="1"/>
  <c r="H9897" i="1"/>
  <c r="I9896" i="1"/>
  <c r="H9896" i="1"/>
  <c r="I9895" i="1"/>
  <c r="H9895" i="1"/>
  <c r="I9894" i="1"/>
  <c r="H9894" i="1"/>
  <c r="I9893" i="1"/>
  <c r="H9893" i="1"/>
  <c r="I9892" i="1"/>
  <c r="H9892" i="1"/>
  <c r="I9891" i="1"/>
  <c r="H9891" i="1"/>
  <c r="I9890" i="1"/>
  <c r="H9890" i="1"/>
  <c r="I9889" i="1"/>
  <c r="H9889" i="1"/>
  <c r="I9888" i="1"/>
  <c r="H9888" i="1"/>
  <c r="I9887" i="1"/>
  <c r="H9887" i="1"/>
  <c r="I9886" i="1"/>
  <c r="H9886" i="1"/>
  <c r="I9885" i="1"/>
  <c r="H9885" i="1"/>
  <c r="I9884" i="1"/>
  <c r="H9884" i="1"/>
  <c r="I9883" i="1"/>
  <c r="H9883" i="1"/>
  <c r="I9882" i="1"/>
  <c r="H9882" i="1"/>
  <c r="I9881" i="1"/>
  <c r="H9881" i="1"/>
  <c r="I9880" i="1"/>
  <c r="H9880" i="1"/>
  <c r="I9879" i="1"/>
  <c r="H9879" i="1"/>
  <c r="I9878" i="1"/>
  <c r="H9878" i="1"/>
  <c r="I9877" i="1"/>
  <c r="H9877" i="1"/>
  <c r="I9876" i="1"/>
  <c r="H9876" i="1"/>
  <c r="I9875" i="1"/>
  <c r="H9875" i="1"/>
  <c r="I9874" i="1"/>
  <c r="H9874" i="1"/>
  <c r="I9873" i="1"/>
  <c r="H9873" i="1"/>
  <c r="I9872" i="1"/>
  <c r="H9872" i="1"/>
  <c r="I9871" i="1"/>
  <c r="H9871" i="1"/>
  <c r="I9870" i="1"/>
  <c r="H9870" i="1"/>
  <c r="I9869" i="1"/>
  <c r="H9869" i="1"/>
  <c r="I9868" i="1"/>
  <c r="H9868" i="1"/>
  <c r="I9867" i="1"/>
  <c r="H9867" i="1"/>
  <c r="I9866" i="1"/>
  <c r="H9866" i="1"/>
  <c r="I9865" i="1"/>
  <c r="H9865" i="1"/>
  <c r="I9864" i="1"/>
  <c r="H9864" i="1"/>
  <c r="I9863" i="1"/>
  <c r="H9863" i="1"/>
  <c r="I9862" i="1"/>
  <c r="H9862" i="1"/>
  <c r="I9861" i="1"/>
  <c r="H9861" i="1"/>
  <c r="I9860" i="1"/>
  <c r="H9860" i="1"/>
  <c r="I9859" i="1"/>
  <c r="H9859" i="1"/>
  <c r="I9858" i="1"/>
  <c r="H9858" i="1"/>
  <c r="I9857" i="1"/>
  <c r="H9857" i="1"/>
  <c r="I9856" i="1"/>
  <c r="H9856" i="1"/>
  <c r="I9855" i="1"/>
  <c r="H9855" i="1"/>
  <c r="I9854" i="1"/>
  <c r="H9854" i="1"/>
  <c r="I9853" i="1"/>
  <c r="H9853" i="1"/>
  <c r="I9852" i="1"/>
  <c r="H9852" i="1"/>
  <c r="I9851" i="1"/>
  <c r="H9851" i="1"/>
  <c r="I9850" i="1"/>
  <c r="H9850" i="1"/>
  <c r="I9849" i="1"/>
  <c r="H9849" i="1"/>
  <c r="I9848" i="1"/>
  <c r="H9848" i="1"/>
  <c r="I9847" i="1"/>
  <c r="H9847" i="1"/>
  <c r="I9846" i="1"/>
  <c r="H9846" i="1"/>
  <c r="I9845" i="1"/>
  <c r="H9845" i="1"/>
  <c r="I9844" i="1"/>
  <c r="H9844" i="1"/>
  <c r="I9843" i="1"/>
  <c r="H9843" i="1"/>
  <c r="I9842" i="1"/>
  <c r="H9842" i="1"/>
  <c r="I9841" i="1"/>
  <c r="H9841" i="1"/>
  <c r="I9840" i="1"/>
  <c r="H9840" i="1"/>
  <c r="I9839" i="1"/>
  <c r="H9839" i="1"/>
  <c r="I9838" i="1"/>
  <c r="H9838" i="1"/>
  <c r="I9837" i="1"/>
  <c r="H9837" i="1"/>
  <c r="I9836" i="1"/>
  <c r="H9836" i="1"/>
  <c r="I9835" i="1"/>
  <c r="H9835" i="1"/>
  <c r="I9834" i="1"/>
  <c r="H9834" i="1"/>
  <c r="I9833" i="1"/>
  <c r="H9833" i="1"/>
  <c r="I9832" i="1"/>
  <c r="H9832" i="1"/>
  <c r="I9831" i="1"/>
  <c r="H9831" i="1"/>
  <c r="I9830" i="1"/>
  <c r="H9830" i="1"/>
  <c r="I9829" i="1"/>
  <c r="H9829" i="1"/>
  <c r="I9828" i="1"/>
  <c r="H9828" i="1"/>
  <c r="I9827" i="1"/>
  <c r="H9827" i="1"/>
  <c r="I9826" i="1"/>
  <c r="H9826" i="1"/>
  <c r="I9825" i="1"/>
  <c r="H9825" i="1"/>
  <c r="I9824" i="1"/>
  <c r="H9824" i="1"/>
  <c r="I9823" i="1"/>
  <c r="H9823" i="1"/>
  <c r="I9822" i="1"/>
  <c r="H9822" i="1"/>
  <c r="I9821" i="1"/>
  <c r="H9821" i="1"/>
  <c r="I9820" i="1"/>
  <c r="H9820" i="1"/>
  <c r="I9819" i="1"/>
  <c r="H9819" i="1"/>
  <c r="I9818" i="1"/>
  <c r="H9818" i="1"/>
  <c r="I9817" i="1"/>
  <c r="H9817" i="1"/>
  <c r="I9816" i="1"/>
  <c r="H9816" i="1"/>
  <c r="I9815" i="1"/>
  <c r="H9815" i="1"/>
  <c r="I9814" i="1"/>
  <c r="H9814" i="1"/>
  <c r="I9813" i="1"/>
  <c r="H9813" i="1"/>
  <c r="I9812" i="1"/>
  <c r="H9812" i="1"/>
  <c r="I9811" i="1"/>
  <c r="H9811" i="1"/>
  <c r="I9810" i="1"/>
  <c r="H9810" i="1"/>
  <c r="I9809" i="1"/>
  <c r="H9809" i="1"/>
  <c r="I9808" i="1"/>
  <c r="H9808" i="1"/>
  <c r="I9807" i="1"/>
  <c r="H9807" i="1"/>
  <c r="I9806" i="1"/>
  <c r="H9806" i="1"/>
  <c r="I9805" i="1"/>
  <c r="H9805" i="1"/>
  <c r="I9804" i="1"/>
  <c r="H9804" i="1"/>
  <c r="I9803" i="1"/>
  <c r="H9803" i="1"/>
  <c r="I9802" i="1"/>
  <c r="H9802" i="1"/>
  <c r="I9801" i="1"/>
  <c r="H9801" i="1"/>
  <c r="I9800" i="1"/>
  <c r="H9800" i="1"/>
  <c r="I9799" i="1"/>
  <c r="H9799" i="1"/>
  <c r="I9798" i="1"/>
  <c r="H9798" i="1"/>
  <c r="I9797" i="1"/>
  <c r="H9797" i="1"/>
  <c r="I9796" i="1"/>
  <c r="H9796" i="1"/>
  <c r="I9795" i="1"/>
  <c r="H9795" i="1"/>
  <c r="I9794" i="1"/>
  <c r="H9794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5" i="4" l="1"/>
  <c r="B15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D15" i="4" s="1"/>
  <c r="E15" i="4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<sst xmlns="http://schemas.openxmlformats.org/spreadsheetml/2006/main" count="38135" uniqueCount="44">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</sst>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465" totalsRowShown="0">
  <autoFilter ref="A1:I1046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465"/>
  <sheetViews>
    <sheetView topLeftCell="A10025" workbookViewId="0">
      <selection activeCell="A10032" sqref="A10032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B10034" s="1"/>
      <c r="H10034" s="5"/>
      <c r="I10034" s="6"/>
    </row>
    <row r="10035" spans="1:9" x14ac:dyDescent="0.25">
      <c r="B10035" s="1"/>
      <c r="H10035" s="5"/>
      <c r="I10035" s="6"/>
    </row>
    <row r="10036" spans="1:9" x14ac:dyDescent="0.25">
      <c r="B10036" s="1"/>
      <c r="H10036" s="5"/>
      <c r="I10036" s="6"/>
    </row>
    <row r="10037" spans="1:9" x14ac:dyDescent="0.25">
      <c r="B10037" s="1"/>
      <c r="H10037" s="5"/>
      <c r="I10037" s="6"/>
    </row>
    <row r="10038" spans="1:9" x14ac:dyDescent="0.25">
      <c r="B10038" s="1"/>
      <c r="H10038" s="5"/>
      <c r="I10038" s="6"/>
    </row>
    <row r="10039" spans="1:9" x14ac:dyDescent="0.25">
      <c r="B10039" s="1"/>
      <c r="H10039" s="5"/>
      <c r="I10039" s="6"/>
    </row>
    <row r="10040" spans="1:9" x14ac:dyDescent="0.25">
      <c r="B10040" s="1"/>
      <c r="H10040" s="5"/>
      <c r="I10040" s="6"/>
    </row>
    <row r="10041" spans="1:9" x14ac:dyDescent="0.25">
      <c r="B10041" s="1"/>
      <c r="H10041" s="5"/>
      <c r="I10041" s="6"/>
    </row>
    <row r="10042" spans="1:9" x14ac:dyDescent="0.25">
      <c r="B10042" s="1"/>
      <c r="H10042" s="5"/>
      <c r="I10042" s="6"/>
    </row>
    <row r="10043" spans="1:9" x14ac:dyDescent="0.25">
      <c r="B10043" s="1"/>
      <c r="H10043" s="5"/>
      <c r="I10043" s="6"/>
    </row>
    <row r="10044" spans="1:9" x14ac:dyDescent="0.25">
      <c r="B10044" s="1"/>
      <c r="H10044" s="5"/>
      <c r="I10044" s="6"/>
    </row>
    <row r="10045" spans="1:9" x14ac:dyDescent="0.25">
      <c r="B10045" s="1"/>
      <c r="H10045" s="5"/>
      <c r="I10045" s="6"/>
    </row>
    <row r="10046" spans="1:9" x14ac:dyDescent="0.25">
      <c r="B10046" s="1"/>
      <c r="H10046" s="5"/>
      <c r="I10046" s="6"/>
    </row>
    <row r="10047" spans="1:9" x14ac:dyDescent="0.25">
      <c r="B10047" s="1"/>
      <c r="H10047" s="5"/>
      <c r="I10047" s="6"/>
    </row>
    <row r="10048" spans="1:9" x14ac:dyDescent="0.25">
      <c r="B10048" s="1"/>
      <c r="H10048" s="5"/>
      <c r="I10048" s="6"/>
    </row>
    <row r="10049" spans="2:9" x14ac:dyDescent="0.25">
      <c r="B10049" s="1"/>
      <c r="H10049" s="5"/>
      <c r="I10049" s="6"/>
    </row>
    <row r="10050" spans="2:9" x14ac:dyDescent="0.25">
      <c r="B10050" s="1"/>
      <c r="H10050" s="5"/>
      <c r="I10050" s="6"/>
    </row>
    <row r="10051" spans="2:9" x14ac:dyDescent="0.25">
      <c r="B10051" s="1"/>
      <c r="H10051" s="5"/>
      <c r="I10051" s="6"/>
    </row>
    <row r="10052" spans="2:9" x14ac:dyDescent="0.25">
      <c r="B10052" s="1"/>
      <c r="H10052" s="5"/>
      <c r="I10052" s="6"/>
    </row>
    <row r="10053" spans="2:9" x14ac:dyDescent="0.25">
      <c r="B10053" s="1"/>
      <c r="H10053" s="5"/>
      <c r="I10053" s="6"/>
    </row>
    <row r="10054" spans="2:9" x14ac:dyDescent="0.25">
      <c r="B10054" s="1"/>
      <c r="H10054" s="5"/>
      <c r="I10054" s="6"/>
    </row>
    <row r="10055" spans="2:9" x14ac:dyDescent="0.25">
      <c r="B10055" s="1"/>
      <c r="H10055" s="5"/>
      <c r="I10055" s="6"/>
    </row>
    <row r="10056" spans="2:9" x14ac:dyDescent="0.25">
      <c r="B10056" s="1"/>
      <c r="H10056" s="5"/>
      <c r="I10056" s="6"/>
    </row>
    <row r="10057" spans="2:9" x14ac:dyDescent="0.25">
      <c r="B10057" s="1"/>
      <c r="H10057" s="5"/>
      <c r="I10057" s="6"/>
    </row>
    <row r="10058" spans="2:9" x14ac:dyDescent="0.25">
      <c r="B10058" s="1"/>
      <c r="H10058" s="5"/>
      <c r="I10058" s="6"/>
    </row>
    <row r="10059" spans="2:9" x14ac:dyDescent="0.25">
      <c r="B10059" s="1"/>
      <c r="H10059" s="5"/>
      <c r="I10059" s="6"/>
    </row>
    <row r="10060" spans="2:9" x14ac:dyDescent="0.25">
      <c r="B10060" s="1"/>
      <c r="H10060" s="5"/>
      <c r="I10060" s="6"/>
    </row>
    <row r="10061" spans="2:9" x14ac:dyDescent="0.25">
      <c r="B10061" s="1"/>
      <c r="H10061" s="5"/>
      <c r="I10061" s="6"/>
    </row>
    <row r="10062" spans="2:9" x14ac:dyDescent="0.25">
      <c r="B10062" s="1"/>
      <c r="H10062" s="5"/>
      <c r="I10062" s="6"/>
    </row>
    <row r="10063" spans="2:9" x14ac:dyDescent="0.25">
      <c r="B10063" s="1"/>
      <c r="H10063" s="5"/>
      <c r="I10063" s="6"/>
    </row>
    <row r="10064" spans="2:9" x14ac:dyDescent="0.25">
      <c r="B10064" s="1"/>
      <c r="H10064" s="5"/>
      <c r="I10064" s="6"/>
    </row>
    <row r="10065" spans="2:9" x14ac:dyDescent="0.25">
      <c r="B10065" s="1"/>
      <c r="H10065" s="5"/>
      <c r="I10065" s="6"/>
    </row>
    <row r="10066" spans="2:9" x14ac:dyDescent="0.25">
      <c r="B10066" s="1"/>
      <c r="H10066" s="5"/>
      <c r="I10066" s="6"/>
    </row>
    <row r="10067" spans="2:9" x14ac:dyDescent="0.25">
      <c r="B10067" s="1"/>
      <c r="H10067" s="5"/>
      <c r="I10067" s="6"/>
    </row>
    <row r="10068" spans="2:9" x14ac:dyDescent="0.25">
      <c r="B10068" s="1"/>
      <c r="H10068" s="5"/>
      <c r="I10068" s="6"/>
    </row>
    <row r="10069" spans="2:9" x14ac:dyDescent="0.25">
      <c r="B10069" s="1"/>
      <c r="H10069" s="5"/>
      <c r="I10069" s="6"/>
    </row>
    <row r="10070" spans="2:9" x14ac:dyDescent="0.25">
      <c r="B10070" s="1"/>
      <c r="H10070" s="5"/>
      <c r="I10070" s="6"/>
    </row>
    <row r="10071" spans="2:9" x14ac:dyDescent="0.25">
      <c r="B10071" s="1"/>
      <c r="H10071" s="5"/>
      <c r="I10071" s="6"/>
    </row>
    <row r="10072" spans="2:9" x14ac:dyDescent="0.25">
      <c r="B10072" s="1"/>
      <c r="H10072" s="5"/>
      <c r="I10072" s="6"/>
    </row>
    <row r="10073" spans="2:9" x14ac:dyDescent="0.25">
      <c r="B10073" s="1"/>
      <c r="H10073" s="5"/>
      <c r="I10073" s="6"/>
    </row>
    <row r="10074" spans="2:9" x14ac:dyDescent="0.25">
      <c r="B10074" s="1"/>
      <c r="H10074" s="5"/>
      <c r="I10074" s="6"/>
    </row>
    <row r="10075" spans="2:9" x14ac:dyDescent="0.25">
      <c r="B10075" s="1"/>
      <c r="H10075" s="5"/>
      <c r="I10075" s="6"/>
    </row>
    <row r="10076" spans="2:9" x14ac:dyDescent="0.25">
      <c r="B10076" s="1"/>
      <c r="H10076" s="5"/>
      <c r="I10076" s="6"/>
    </row>
    <row r="10077" spans="2:9" x14ac:dyDescent="0.25">
      <c r="B10077" s="1"/>
      <c r="H10077" s="5"/>
      <c r="I10077" s="6"/>
    </row>
    <row r="10078" spans="2:9" x14ac:dyDescent="0.25">
      <c r="B10078" s="1"/>
      <c r="H10078" s="5"/>
      <c r="I10078" s="6"/>
    </row>
    <row r="10079" spans="2:9" x14ac:dyDescent="0.25">
      <c r="B10079" s="1"/>
      <c r="H10079" s="5"/>
      <c r="I10079" s="6"/>
    </row>
    <row r="10080" spans="2:9" x14ac:dyDescent="0.25">
      <c r="B10080" s="1"/>
      <c r="H10080" s="5"/>
      <c r="I10080" s="6"/>
    </row>
    <row r="10081" spans="2:9" x14ac:dyDescent="0.25">
      <c r="B10081" s="1"/>
      <c r="H10081" s="5"/>
      <c r="I10081" s="6"/>
    </row>
    <row r="10082" spans="2:9" x14ac:dyDescent="0.25">
      <c r="B10082" s="1"/>
      <c r="H10082" s="5"/>
      <c r="I10082" s="6"/>
    </row>
    <row r="10083" spans="2:9" x14ac:dyDescent="0.25">
      <c r="B10083" s="1"/>
      <c r="H10083" s="5"/>
      <c r="I10083" s="6"/>
    </row>
    <row r="10084" spans="2:9" x14ac:dyDescent="0.25">
      <c r="B10084" s="1"/>
      <c r="H10084" s="5"/>
      <c r="I10084" s="6"/>
    </row>
    <row r="10085" spans="2:9" x14ac:dyDescent="0.25">
      <c r="B10085" s="1"/>
      <c r="H10085" s="5"/>
      <c r="I10085" s="6"/>
    </row>
    <row r="10086" spans="2:9" x14ac:dyDescent="0.25">
      <c r="B10086" s="1"/>
      <c r="H10086" s="5"/>
      <c r="I10086" s="6"/>
    </row>
    <row r="10087" spans="2:9" x14ac:dyDescent="0.25">
      <c r="B10087" s="1"/>
      <c r="H10087" s="5"/>
      <c r="I10087" s="6"/>
    </row>
    <row r="10088" spans="2:9" x14ac:dyDescent="0.25">
      <c r="B10088" s="1"/>
      <c r="H10088" s="5"/>
      <c r="I10088" s="6"/>
    </row>
    <row r="10089" spans="2:9" x14ac:dyDescent="0.25">
      <c r="B10089" s="1"/>
      <c r="H10089" s="5"/>
      <c r="I10089" s="6"/>
    </row>
    <row r="10090" spans="2:9" x14ac:dyDescent="0.25">
      <c r="B10090" s="1"/>
      <c r="H10090" s="5"/>
      <c r="I10090" s="6"/>
    </row>
    <row r="10091" spans="2:9" x14ac:dyDescent="0.25">
      <c r="B10091" s="1"/>
      <c r="H10091" s="5"/>
      <c r="I10091" s="6"/>
    </row>
    <row r="10092" spans="2:9" x14ac:dyDescent="0.25">
      <c r="B10092" s="1"/>
      <c r="H10092" s="5"/>
      <c r="I10092" s="6"/>
    </row>
    <row r="10093" spans="2:9" x14ac:dyDescent="0.25">
      <c r="B10093" s="1"/>
      <c r="D10093" s="2"/>
      <c r="H10093" s="5"/>
      <c r="I10093" s="6"/>
    </row>
    <row r="10094" spans="2:9" x14ac:dyDescent="0.25">
      <c r="B10094" s="1"/>
      <c r="H10094" s="5"/>
      <c r="I10094" s="6"/>
    </row>
    <row r="10095" spans="2:9" x14ac:dyDescent="0.25">
      <c r="B10095" s="1"/>
      <c r="D10095" s="2"/>
      <c r="H10095" s="5"/>
      <c r="I10095" s="6"/>
    </row>
    <row r="10096" spans="2:9" x14ac:dyDescent="0.25">
      <c r="B10096" s="1"/>
      <c r="H10096" s="5"/>
      <c r="I10096" s="6"/>
    </row>
    <row r="10097" spans="2:9" x14ac:dyDescent="0.25">
      <c r="B10097" s="1"/>
      <c r="H10097" s="5"/>
      <c r="I10097" s="6"/>
    </row>
    <row r="10098" spans="2:9" x14ac:dyDescent="0.25">
      <c r="B10098" s="1"/>
      <c r="H10098" s="5"/>
      <c r="I10098" s="6"/>
    </row>
    <row r="10099" spans="2:9" x14ac:dyDescent="0.25">
      <c r="B10099" s="1"/>
      <c r="H10099" s="5"/>
      <c r="I10099" s="6"/>
    </row>
    <row r="10100" spans="2:9" x14ac:dyDescent="0.25">
      <c r="B10100" s="1"/>
      <c r="H10100" s="5"/>
      <c r="I10100" s="6"/>
    </row>
    <row r="10101" spans="2:9" x14ac:dyDescent="0.25">
      <c r="B10101" s="1"/>
      <c r="H10101" s="5"/>
      <c r="I10101" s="6"/>
    </row>
    <row r="10102" spans="2:9" x14ac:dyDescent="0.25">
      <c r="B10102" s="1"/>
      <c r="H10102" s="5"/>
      <c r="I10102" s="6"/>
    </row>
    <row r="10103" spans="2:9" x14ac:dyDescent="0.25">
      <c r="B10103" s="1"/>
      <c r="H10103" s="5"/>
      <c r="I10103" s="6"/>
    </row>
    <row r="10104" spans="2:9" x14ac:dyDescent="0.25">
      <c r="B10104" s="1"/>
      <c r="H10104" s="5"/>
      <c r="I10104" s="6"/>
    </row>
    <row r="10105" spans="2:9" x14ac:dyDescent="0.25">
      <c r="B10105" s="1"/>
      <c r="H10105" s="5"/>
      <c r="I10105" s="6"/>
    </row>
    <row r="10106" spans="2:9" x14ac:dyDescent="0.25">
      <c r="B10106" s="1"/>
      <c r="H10106" s="5"/>
      <c r="I10106" s="6"/>
    </row>
    <row r="10107" spans="2:9" x14ac:dyDescent="0.25">
      <c r="B10107" s="1"/>
      <c r="H10107" s="5"/>
      <c r="I10107" s="6"/>
    </row>
    <row r="10108" spans="2:9" x14ac:dyDescent="0.25">
      <c r="B10108" s="1"/>
      <c r="H10108" s="5"/>
      <c r="I10108" s="6"/>
    </row>
    <row r="10109" spans="2:9" x14ac:dyDescent="0.25">
      <c r="B10109" s="1"/>
      <c r="H10109" s="5"/>
      <c r="I10109" s="6"/>
    </row>
    <row r="10110" spans="2:9" x14ac:dyDescent="0.25">
      <c r="B10110" s="1"/>
      <c r="H10110" s="5"/>
      <c r="I10110" s="6"/>
    </row>
    <row r="10111" spans="2:9" x14ac:dyDescent="0.25">
      <c r="B10111" s="1"/>
      <c r="H10111" s="5"/>
      <c r="I10111" s="6"/>
    </row>
    <row r="10112" spans="2:9" x14ac:dyDescent="0.25">
      <c r="B10112" s="1"/>
      <c r="H10112" s="5"/>
      <c r="I10112" s="6"/>
    </row>
    <row r="10113" spans="2:9" x14ac:dyDescent="0.25">
      <c r="B10113" s="1"/>
      <c r="H10113" s="5"/>
      <c r="I10113" s="6"/>
    </row>
    <row r="10114" spans="2:9" x14ac:dyDescent="0.25">
      <c r="B10114" s="1"/>
      <c r="H10114" s="5"/>
      <c r="I10114" s="6"/>
    </row>
    <row r="10115" spans="2:9" x14ac:dyDescent="0.25">
      <c r="B10115" s="1"/>
      <c r="H10115" s="5"/>
      <c r="I10115" s="6"/>
    </row>
    <row r="10116" spans="2:9" x14ac:dyDescent="0.25">
      <c r="B10116" s="1"/>
      <c r="H10116" s="5"/>
      <c r="I10116" s="6"/>
    </row>
    <row r="10117" spans="2:9" x14ac:dyDescent="0.25">
      <c r="B10117" s="1"/>
      <c r="H10117" s="5"/>
      <c r="I10117" s="6"/>
    </row>
    <row r="10118" spans="2:9" x14ac:dyDescent="0.25">
      <c r="B10118" s="1"/>
      <c r="H10118" s="5"/>
      <c r="I10118" s="6"/>
    </row>
    <row r="10119" spans="2:9" x14ac:dyDescent="0.25">
      <c r="B10119" s="1"/>
      <c r="H10119" s="5"/>
      <c r="I10119" s="6"/>
    </row>
    <row r="10120" spans="2:9" x14ac:dyDescent="0.25">
      <c r="B10120" s="1"/>
      <c r="H10120" s="5"/>
      <c r="I10120" s="6"/>
    </row>
    <row r="10121" spans="2:9" x14ac:dyDescent="0.25">
      <c r="B10121" s="1"/>
      <c r="H10121" s="5"/>
      <c r="I10121" s="6"/>
    </row>
    <row r="10122" spans="2:9" x14ac:dyDescent="0.25">
      <c r="B10122" s="1"/>
      <c r="H10122" s="5"/>
      <c r="I10122" s="6"/>
    </row>
    <row r="10123" spans="2:9" x14ac:dyDescent="0.25">
      <c r="B10123" s="1"/>
      <c r="H10123" s="5"/>
      <c r="I10123" s="6"/>
    </row>
    <row r="10124" spans="2:9" x14ac:dyDescent="0.25">
      <c r="B10124" s="1"/>
      <c r="H10124" s="5"/>
      <c r="I10124" s="6"/>
    </row>
    <row r="10125" spans="2:9" x14ac:dyDescent="0.25">
      <c r="B10125" s="1"/>
      <c r="H10125" s="5"/>
      <c r="I10125" s="6"/>
    </row>
    <row r="10126" spans="2:9" x14ac:dyDescent="0.25">
      <c r="B10126" s="1"/>
      <c r="H10126" s="5"/>
      <c r="I10126" s="6"/>
    </row>
    <row r="10127" spans="2:9" x14ac:dyDescent="0.25">
      <c r="B10127" s="1"/>
      <c r="H10127" s="5"/>
      <c r="I10127" s="6"/>
    </row>
    <row r="10128" spans="2:9" x14ac:dyDescent="0.25">
      <c r="B10128" s="1"/>
      <c r="H10128" s="5"/>
      <c r="I10128" s="6"/>
    </row>
    <row r="10129" spans="2:9" x14ac:dyDescent="0.25">
      <c r="B10129" s="1"/>
      <c r="H10129" s="5"/>
      <c r="I10129" s="6"/>
    </row>
    <row r="10130" spans="2:9" x14ac:dyDescent="0.25">
      <c r="B10130" s="1"/>
      <c r="H10130" s="5"/>
      <c r="I10130" s="6"/>
    </row>
    <row r="10131" spans="2:9" x14ac:dyDescent="0.25">
      <c r="B10131" s="1"/>
      <c r="H10131" s="5"/>
      <c r="I10131" s="6"/>
    </row>
    <row r="10132" spans="2:9" x14ac:dyDescent="0.25">
      <c r="B10132" s="1"/>
      <c r="H10132" s="5"/>
      <c r="I10132" s="6"/>
    </row>
    <row r="10133" spans="2:9" x14ac:dyDescent="0.25">
      <c r="B10133" s="1"/>
      <c r="H10133" s="5"/>
      <c r="I10133" s="6"/>
    </row>
    <row r="10134" spans="2:9" x14ac:dyDescent="0.25">
      <c r="B10134" s="1"/>
      <c r="H10134" s="5"/>
      <c r="I10134" s="6"/>
    </row>
    <row r="10135" spans="2:9" x14ac:dyDescent="0.25">
      <c r="B10135" s="1"/>
      <c r="H10135" s="5"/>
      <c r="I10135" s="6"/>
    </row>
    <row r="10136" spans="2:9" x14ac:dyDescent="0.25">
      <c r="B10136" s="1"/>
      <c r="H10136" s="5"/>
      <c r="I10136" s="6"/>
    </row>
    <row r="10137" spans="2:9" x14ac:dyDescent="0.25">
      <c r="B10137" s="1"/>
      <c r="H10137" s="5"/>
      <c r="I10137" s="6"/>
    </row>
    <row r="10138" spans="2:9" x14ac:dyDescent="0.25">
      <c r="B10138" s="1"/>
      <c r="H10138" s="5"/>
      <c r="I10138" s="6"/>
    </row>
    <row r="10139" spans="2:9" x14ac:dyDescent="0.25">
      <c r="B10139" s="1"/>
      <c r="H10139" s="5"/>
      <c r="I10139" s="6"/>
    </row>
    <row r="10140" spans="2:9" x14ac:dyDescent="0.25">
      <c r="B10140" s="1"/>
      <c r="H10140" s="5"/>
      <c r="I10140" s="6"/>
    </row>
    <row r="10141" spans="2:9" x14ac:dyDescent="0.25">
      <c r="B10141" s="1"/>
      <c r="H10141" s="5"/>
      <c r="I10141" s="6"/>
    </row>
    <row r="10142" spans="2:9" x14ac:dyDescent="0.25">
      <c r="B10142" s="1"/>
      <c r="H10142" s="5"/>
      <c r="I10142" s="6"/>
    </row>
    <row r="10143" spans="2:9" x14ac:dyDescent="0.25">
      <c r="B10143" s="1"/>
      <c r="H10143" s="5"/>
      <c r="I10143" s="6"/>
    </row>
    <row r="10144" spans="2:9" x14ac:dyDescent="0.25">
      <c r="B10144" s="1"/>
      <c r="H10144" s="5"/>
      <c r="I10144" s="6"/>
    </row>
    <row r="10145" spans="2:9" x14ac:dyDescent="0.25">
      <c r="B10145" s="1"/>
      <c r="H10145" s="5"/>
      <c r="I10145" s="6"/>
    </row>
    <row r="10146" spans="2:9" x14ac:dyDescent="0.25">
      <c r="B10146" s="1"/>
      <c r="H10146" s="5"/>
      <c r="I10146" s="6"/>
    </row>
    <row r="10147" spans="2:9" x14ac:dyDescent="0.25">
      <c r="B10147" s="1"/>
      <c r="H10147" s="5"/>
      <c r="I10147" s="6"/>
    </row>
    <row r="10148" spans="2:9" x14ac:dyDescent="0.25">
      <c r="B10148" s="1"/>
      <c r="H10148" s="5"/>
      <c r="I10148" s="6"/>
    </row>
    <row r="10149" spans="2:9" x14ac:dyDescent="0.25">
      <c r="B10149" s="1"/>
      <c r="H10149" s="5"/>
      <c r="I10149" s="6"/>
    </row>
    <row r="10150" spans="2:9" x14ac:dyDescent="0.25">
      <c r="B10150" s="1"/>
      <c r="H10150" s="5"/>
      <c r="I10150" s="6"/>
    </row>
    <row r="10151" spans="2:9" x14ac:dyDescent="0.25">
      <c r="B10151" s="1"/>
      <c r="H10151" s="5"/>
      <c r="I10151" s="6"/>
    </row>
    <row r="10152" spans="2:9" x14ac:dyDescent="0.25">
      <c r="B10152" s="1"/>
      <c r="H10152" s="5"/>
      <c r="I10152" s="6"/>
    </row>
    <row r="10153" spans="2:9" x14ac:dyDescent="0.25">
      <c r="B10153" s="1"/>
      <c r="H10153" s="5"/>
      <c r="I10153" s="6"/>
    </row>
    <row r="10154" spans="2:9" x14ac:dyDescent="0.25">
      <c r="B10154" s="1"/>
      <c r="H10154" s="5"/>
      <c r="I10154" s="6"/>
    </row>
    <row r="10155" spans="2:9" x14ac:dyDescent="0.25">
      <c r="B10155" s="1"/>
      <c r="H10155" s="5"/>
      <c r="I10155" s="6"/>
    </row>
    <row r="10156" spans="2:9" x14ac:dyDescent="0.25">
      <c r="B10156" s="1"/>
      <c r="H10156" s="5"/>
      <c r="I10156" s="6"/>
    </row>
    <row r="10157" spans="2:9" x14ac:dyDescent="0.25">
      <c r="B10157" s="1"/>
      <c r="H10157" s="5"/>
      <c r="I10157" s="6"/>
    </row>
    <row r="10158" spans="2:9" x14ac:dyDescent="0.25">
      <c r="B10158" s="1"/>
      <c r="H10158" s="5"/>
      <c r="I10158" s="6"/>
    </row>
    <row r="10159" spans="2:9" x14ac:dyDescent="0.25">
      <c r="B10159" s="1"/>
      <c r="H10159" s="5"/>
      <c r="I10159" s="6"/>
    </row>
    <row r="10160" spans="2:9" x14ac:dyDescent="0.25">
      <c r="B10160" s="1"/>
      <c r="H10160" s="5"/>
      <c r="I10160" s="6"/>
    </row>
    <row r="10161" spans="2:9" x14ac:dyDescent="0.25">
      <c r="B10161" s="1"/>
      <c r="H10161" s="5"/>
      <c r="I10161" s="6"/>
    </row>
    <row r="10162" spans="2:9" x14ac:dyDescent="0.25">
      <c r="B10162" s="1"/>
      <c r="H10162" s="5"/>
      <c r="I10162" s="6"/>
    </row>
    <row r="10163" spans="2:9" x14ac:dyDescent="0.25">
      <c r="B10163" s="1"/>
      <c r="H10163" s="5"/>
      <c r="I10163" s="6"/>
    </row>
    <row r="10164" spans="2:9" x14ac:dyDescent="0.25">
      <c r="B10164" s="1"/>
      <c r="H10164" s="5"/>
      <c r="I10164" s="6"/>
    </row>
    <row r="10165" spans="2:9" x14ac:dyDescent="0.25">
      <c r="B10165" s="1"/>
      <c r="H10165" s="5"/>
      <c r="I10165" s="6"/>
    </row>
    <row r="10166" spans="2:9" x14ac:dyDescent="0.25">
      <c r="B10166" s="1"/>
      <c r="H10166" s="5"/>
      <c r="I10166" s="6"/>
    </row>
    <row r="10167" spans="2:9" x14ac:dyDescent="0.25">
      <c r="B10167" s="1"/>
      <c r="H10167" s="5"/>
      <c r="I10167" s="6"/>
    </row>
    <row r="10168" spans="2:9" x14ac:dyDescent="0.25">
      <c r="B10168" s="1"/>
      <c r="H10168" s="5"/>
      <c r="I10168" s="6"/>
    </row>
    <row r="10169" spans="2:9" x14ac:dyDescent="0.25">
      <c r="B10169" s="1"/>
      <c r="H10169" s="5"/>
      <c r="I10169" s="6"/>
    </row>
    <row r="10170" spans="2:9" x14ac:dyDescent="0.25">
      <c r="B10170" s="1"/>
      <c r="H10170" s="5"/>
      <c r="I10170" s="6"/>
    </row>
    <row r="10171" spans="2:9" x14ac:dyDescent="0.25">
      <c r="B10171" s="1"/>
      <c r="H10171" s="5"/>
      <c r="I10171" s="6"/>
    </row>
    <row r="10172" spans="2:9" x14ac:dyDescent="0.25">
      <c r="B10172" s="1"/>
      <c r="H10172" s="5"/>
      <c r="I10172" s="6"/>
    </row>
    <row r="10173" spans="2:9" x14ac:dyDescent="0.25">
      <c r="B10173" s="1"/>
      <c r="H10173" s="5"/>
      <c r="I10173" s="6"/>
    </row>
    <row r="10174" spans="2:9" x14ac:dyDescent="0.25">
      <c r="B10174" s="1"/>
      <c r="H10174" s="5"/>
      <c r="I10174" s="6"/>
    </row>
    <row r="10175" spans="2:9" x14ac:dyDescent="0.25">
      <c r="B10175" s="1"/>
      <c r="H10175" s="5"/>
      <c r="I10175" s="6"/>
    </row>
    <row r="10176" spans="2:9" x14ac:dyDescent="0.25">
      <c r="B10176" s="1"/>
      <c r="H10176" s="5"/>
      <c r="I10176" s="6"/>
    </row>
    <row r="10177" spans="2:9" x14ac:dyDescent="0.25">
      <c r="B10177" s="1"/>
      <c r="H10177" s="5"/>
      <c r="I10177" s="6"/>
    </row>
    <row r="10178" spans="2:9" x14ac:dyDescent="0.25">
      <c r="B10178" s="1"/>
      <c r="H10178" s="5"/>
      <c r="I10178" s="6"/>
    </row>
    <row r="10179" spans="2:9" x14ac:dyDescent="0.25">
      <c r="B10179" s="1"/>
      <c r="H10179" s="5"/>
      <c r="I10179" s="6"/>
    </row>
    <row r="10180" spans="2:9" x14ac:dyDescent="0.25">
      <c r="B10180" s="1"/>
      <c r="H10180" s="5"/>
      <c r="I10180" s="6"/>
    </row>
    <row r="10181" spans="2:9" x14ac:dyDescent="0.25">
      <c r="B10181" s="1"/>
      <c r="H10181" s="5"/>
      <c r="I10181" s="6"/>
    </row>
    <row r="10182" spans="2:9" x14ac:dyDescent="0.25">
      <c r="B10182" s="1"/>
      <c r="H10182" s="5"/>
      <c r="I10182" s="6"/>
    </row>
    <row r="10183" spans="2:9" x14ac:dyDescent="0.25">
      <c r="B10183" s="1"/>
      <c r="H10183" s="5"/>
      <c r="I10183" s="6"/>
    </row>
    <row r="10184" spans="2:9" x14ac:dyDescent="0.25">
      <c r="B10184" s="1"/>
      <c r="H10184" s="5"/>
      <c r="I10184" s="6"/>
    </row>
    <row r="10185" spans="2:9" x14ac:dyDescent="0.25">
      <c r="B10185" s="1"/>
      <c r="H10185" s="5"/>
      <c r="I10185" s="6"/>
    </row>
    <row r="10186" spans="2:9" x14ac:dyDescent="0.25">
      <c r="B10186" s="1"/>
      <c r="H10186" s="5"/>
      <c r="I10186" s="6"/>
    </row>
    <row r="10187" spans="2:9" x14ac:dyDescent="0.25">
      <c r="B10187" s="1"/>
      <c r="H10187" s="5"/>
      <c r="I10187" s="6"/>
    </row>
    <row r="10188" spans="2:9" x14ac:dyDescent="0.25">
      <c r="B10188" s="1"/>
      <c r="H10188" s="5"/>
      <c r="I10188" s="6"/>
    </row>
    <row r="10189" spans="2:9" x14ac:dyDescent="0.25">
      <c r="B10189" s="1"/>
      <c r="H10189" s="5"/>
      <c r="I10189" s="6"/>
    </row>
    <row r="10190" spans="2:9" x14ac:dyDescent="0.25">
      <c r="B10190" s="1"/>
      <c r="H10190" s="5"/>
      <c r="I10190" s="6"/>
    </row>
    <row r="10191" spans="2:9" x14ac:dyDescent="0.25">
      <c r="B10191" s="1"/>
      <c r="H10191" s="5"/>
      <c r="I10191" s="6"/>
    </row>
    <row r="10192" spans="2:9" x14ac:dyDescent="0.25">
      <c r="B10192" s="1"/>
      <c r="H10192" s="5"/>
      <c r="I10192" s="6"/>
    </row>
    <row r="10193" spans="2:9" x14ac:dyDescent="0.25">
      <c r="B10193" s="1"/>
      <c r="H10193" s="5"/>
      <c r="I10193" s="6"/>
    </row>
    <row r="10194" spans="2:9" x14ac:dyDescent="0.25">
      <c r="B10194" s="1"/>
      <c r="H10194" s="5"/>
      <c r="I10194" s="6"/>
    </row>
    <row r="10195" spans="2:9" x14ac:dyDescent="0.25">
      <c r="B10195" s="1"/>
      <c r="H10195" s="5"/>
      <c r="I10195" s="6"/>
    </row>
    <row r="10196" spans="2:9" x14ac:dyDescent="0.25">
      <c r="B10196" s="1"/>
      <c r="H10196" s="5"/>
      <c r="I10196" s="6"/>
    </row>
    <row r="10197" spans="2:9" x14ac:dyDescent="0.25">
      <c r="B10197" s="1"/>
      <c r="H10197" s="5"/>
      <c r="I10197" s="6"/>
    </row>
    <row r="10198" spans="2:9" x14ac:dyDescent="0.25">
      <c r="B10198" s="1"/>
      <c r="H10198" s="5"/>
      <c r="I10198" s="6"/>
    </row>
    <row r="10199" spans="2:9" x14ac:dyDescent="0.25">
      <c r="B10199" s="1"/>
      <c r="H10199" s="5"/>
      <c r="I10199" s="6"/>
    </row>
    <row r="10200" spans="2:9" x14ac:dyDescent="0.25">
      <c r="B10200" s="1"/>
      <c r="H10200" s="5"/>
      <c r="I10200" s="6"/>
    </row>
    <row r="10201" spans="2:9" x14ac:dyDescent="0.25">
      <c r="B10201" s="1"/>
      <c r="H10201" s="5"/>
      <c r="I10201" s="6"/>
    </row>
    <row r="10202" spans="2:9" x14ac:dyDescent="0.25">
      <c r="B10202" s="1"/>
      <c r="H10202" s="5"/>
      <c r="I10202" s="6"/>
    </row>
    <row r="10203" spans="2:9" x14ac:dyDescent="0.25">
      <c r="B10203" s="1"/>
      <c r="H10203" s="5"/>
      <c r="I10203" s="6"/>
    </row>
    <row r="10204" spans="2:9" x14ac:dyDescent="0.25">
      <c r="B10204" s="1"/>
      <c r="H10204" s="5"/>
      <c r="I10204" s="6"/>
    </row>
    <row r="10205" spans="2:9" x14ac:dyDescent="0.25">
      <c r="B10205" s="1"/>
      <c r="H10205" s="5"/>
      <c r="I10205" s="6"/>
    </row>
    <row r="10206" spans="2:9" x14ac:dyDescent="0.25">
      <c r="B10206" s="1"/>
      <c r="H10206" s="5"/>
      <c r="I10206" s="6"/>
    </row>
    <row r="10207" spans="2:9" x14ac:dyDescent="0.25">
      <c r="B10207" s="1"/>
      <c r="H10207" s="5"/>
      <c r="I10207" s="6"/>
    </row>
    <row r="10208" spans="2:9" x14ac:dyDescent="0.25">
      <c r="B10208" s="1"/>
      <c r="H10208" s="5"/>
      <c r="I10208" s="6"/>
    </row>
    <row r="10209" spans="2:9" x14ac:dyDescent="0.25">
      <c r="B10209" s="1"/>
      <c r="H10209" s="5"/>
      <c r="I10209" s="6"/>
    </row>
    <row r="10210" spans="2:9" x14ac:dyDescent="0.25">
      <c r="B10210" s="1"/>
      <c r="H10210" s="5"/>
      <c r="I10210" s="6"/>
    </row>
    <row r="10211" spans="2:9" x14ac:dyDescent="0.25">
      <c r="B10211" s="1"/>
      <c r="H10211" s="5"/>
      <c r="I10211" s="6"/>
    </row>
    <row r="10212" spans="2:9" x14ac:dyDescent="0.25">
      <c r="B10212" s="1"/>
      <c r="H10212" s="5"/>
      <c r="I10212" s="6"/>
    </row>
    <row r="10213" spans="2:9" x14ac:dyDescent="0.25">
      <c r="B10213" s="1"/>
      <c r="D10213" s="2"/>
      <c r="H10213" s="5"/>
      <c r="I10213" s="6"/>
    </row>
    <row r="10214" spans="2:9" x14ac:dyDescent="0.25">
      <c r="B10214" s="1"/>
      <c r="D10214" s="2"/>
      <c r="H10214" s="5"/>
      <c r="I10214" s="6"/>
    </row>
    <row r="10215" spans="2:9" x14ac:dyDescent="0.25">
      <c r="B10215" s="1"/>
      <c r="D10215" s="2"/>
      <c r="H10215" s="5"/>
      <c r="I10215" s="6"/>
    </row>
    <row r="10216" spans="2:9" x14ac:dyDescent="0.25">
      <c r="B10216" s="1"/>
      <c r="H10216" s="5"/>
      <c r="I10216" s="6"/>
    </row>
    <row r="10217" spans="2:9" x14ac:dyDescent="0.25">
      <c r="B10217" s="1"/>
      <c r="H10217" s="5"/>
      <c r="I10217" s="6"/>
    </row>
    <row r="10218" spans="2:9" x14ac:dyDescent="0.25">
      <c r="B10218" s="1"/>
      <c r="H10218" s="5"/>
      <c r="I10218" s="6"/>
    </row>
    <row r="10219" spans="2:9" x14ac:dyDescent="0.25">
      <c r="B10219" s="1"/>
      <c r="H10219" s="5"/>
      <c r="I10219" s="6"/>
    </row>
    <row r="10220" spans="2:9" x14ac:dyDescent="0.25">
      <c r="B10220" s="1"/>
      <c r="H10220" s="5"/>
      <c r="I10220" s="6"/>
    </row>
    <row r="10221" spans="2:9" x14ac:dyDescent="0.25">
      <c r="B10221" s="1"/>
      <c r="H10221" s="5"/>
      <c r="I10221" s="6"/>
    </row>
    <row r="10222" spans="2:9" x14ac:dyDescent="0.25">
      <c r="B10222" s="1"/>
      <c r="H10222" s="5"/>
      <c r="I10222" s="6"/>
    </row>
    <row r="10223" spans="2:9" x14ac:dyDescent="0.25">
      <c r="B10223" s="1"/>
      <c r="H10223" s="5"/>
      <c r="I10223" s="6"/>
    </row>
    <row r="10224" spans="2:9" x14ac:dyDescent="0.25">
      <c r="B10224" s="1"/>
      <c r="H10224" s="5"/>
      <c r="I10224" s="6"/>
    </row>
    <row r="10225" spans="2:9" x14ac:dyDescent="0.25">
      <c r="B10225" s="1"/>
      <c r="H10225" s="5"/>
      <c r="I10225" s="6"/>
    </row>
    <row r="10226" spans="2:9" x14ac:dyDescent="0.25">
      <c r="B10226" s="1"/>
      <c r="H10226" s="5"/>
      <c r="I10226" s="6"/>
    </row>
    <row r="10227" spans="2:9" x14ac:dyDescent="0.25">
      <c r="B10227" s="1"/>
      <c r="H10227" s="5"/>
      <c r="I10227" s="6"/>
    </row>
    <row r="10228" spans="2:9" x14ac:dyDescent="0.25">
      <c r="B10228" s="1"/>
      <c r="H10228" s="5"/>
      <c r="I10228" s="6"/>
    </row>
    <row r="10229" spans="2:9" x14ac:dyDescent="0.25">
      <c r="B10229" s="1"/>
      <c r="H10229" s="5"/>
      <c r="I10229" s="6"/>
    </row>
    <row r="10230" spans="2:9" x14ac:dyDescent="0.25">
      <c r="B10230" s="1"/>
      <c r="H10230" s="5"/>
      <c r="I10230" s="6"/>
    </row>
    <row r="10231" spans="2:9" x14ac:dyDescent="0.25">
      <c r="B10231" s="1"/>
      <c r="H10231" s="5"/>
      <c r="I10231" s="6"/>
    </row>
    <row r="10232" spans="2:9" x14ac:dyDescent="0.25">
      <c r="B10232" s="1"/>
      <c r="H10232" s="5"/>
      <c r="I10232" s="6"/>
    </row>
    <row r="10233" spans="2:9" x14ac:dyDescent="0.25">
      <c r="B10233" s="1"/>
      <c r="H10233" s="5"/>
      <c r="I10233" s="6"/>
    </row>
    <row r="10234" spans="2:9" x14ac:dyDescent="0.25">
      <c r="B10234" s="1"/>
      <c r="H10234" s="5"/>
      <c r="I10234" s="6"/>
    </row>
    <row r="10235" spans="2:9" x14ac:dyDescent="0.25">
      <c r="B10235" s="1"/>
      <c r="H10235" s="5"/>
      <c r="I10235" s="6"/>
    </row>
    <row r="10236" spans="2:9" x14ac:dyDescent="0.25">
      <c r="B10236" s="1"/>
      <c r="H10236" s="5"/>
      <c r="I10236" s="6"/>
    </row>
    <row r="10237" spans="2:9" x14ac:dyDescent="0.25">
      <c r="B10237" s="1"/>
      <c r="D10237" s="2"/>
      <c r="H10237" s="5"/>
      <c r="I10237" s="6"/>
    </row>
    <row r="10238" spans="2:9" x14ac:dyDescent="0.25">
      <c r="B10238" s="1"/>
      <c r="D10238" s="2"/>
      <c r="H10238" s="5"/>
      <c r="I10238" s="6"/>
    </row>
    <row r="10239" spans="2:9" x14ac:dyDescent="0.25">
      <c r="B10239" s="1"/>
      <c r="D10239" s="2"/>
      <c r="H10239" s="5"/>
      <c r="I10239" s="6"/>
    </row>
    <row r="10240" spans="2:9" x14ac:dyDescent="0.25">
      <c r="B10240" s="1"/>
      <c r="D10240" s="2"/>
      <c r="H10240" s="5"/>
      <c r="I10240" s="6"/>
    </row>
    <row r="10241" spans="2:9" x14ac:dyDescent="0.25">
      <c r="B10241" s="1"/>
      <c r="D10241" s="2"/>
      <c r="H10241" s="5"/>
      <c r="I10241" s="6"/>
    </row>
    <row r="10242" spans="2:9" x14ac:dyDescent="0.25">
      <c r="B10242" s="1"/>
      <c r="D10242" s="2"/>
      <c r="H10242" s="5"/>
      <c r="I10242" s="6"/>
    </row>
    <row r="10243" spans="2:9" x14ac:dyDescent="0.25">
      <c r="B10243" s="1"/>
      <c r="D10243" s="2"/>
      <c r="H10243" s="5"/>
      <c r="I10243" s="6"/>
    </row>
    <row r="10244" spans="2:9" x14ac:dyDescent="0.25">
      <c r="B10244" s="1"/>
      <c r="D10244" s="2"/>
      <c r="H10244" s="5"/>
      <c r="I10244" s="6"/>
    </row>
    <row r="10245" spans="2:9" x14ac:dyDescent="0.25">
      <c r="B10245" s="1"/>
      <c r="H10245" s="5"/>
      <c r="I10245" s="6"/>
    </row>
    <row r="10246" spans="2:9" x14ac:dyDescent="0.25">
      <c r="B10246" s="1"/>
      <c r="H10246" s="5"/>
      <c r="I10246" s="6"/>
    </row>
    <row r="10247" spans="2:9" x14ac:dyDescent="0.25">
      <c r="B10247" s="1"/>
      <c r="H10247" s="5"/>
      <c r="I10247" s="6"/>
    </row>
    <row r="10248" spans="2:9" x14ac:dyDescent="0.25">
      <c r="B10248" s="1"/>
      <c r="H10248" s="5"/>
      <c r="I10248" s="6"/>
    </row>
    <row r="10249" spans="2:9" x14ac:dyDescent="0.25">
      <c r="B10249" s="1"/>
      <c r="H10249" s="5"/>
      <c r="I10249" s="6"/>
    </row>
    <row r="10250" spans="2:9" x14ac:dyDescent="0.25">
      <c r="B10250" s="1"/>
      <c r="H10250" s="5"/>
      <c r="I10250" s="6"/>
    </row>
    <row r="10251" spans="2:9" x14ac:dyDescent="0.25">
      <c r="B10251" s="1"/>
      <c r="H10251" s="5"/>
      <c r="I10251" s="6"/>
    </row>
    <row r="10252" spans="2:9" x14ac:dyDescent="0.25">
      <c r="B10252" s="1"/>
      <c r="H10252" s="5"/>
      <c r="I10252" s="6"/>
    </row>
    <row r="10253" spans="2:9" x14ac:dyDescent="0.25">
      <c r="B10253" s="1"/>
      <c r="H10253" s="5"/>
      <c r="I10253" s="6"/>
    </row>
    <row r="10254" spans="2:9" x14ac:dyDescent="0.25">
      <c r="B10254" s="1"/>
      <c r="H10254" s="5"/>
      <c r="I10254" s="6"/>
    </row>
    <row r="10255" spans="2:9" x14ac:dyDescent="0.25">
      <c r="B10255" s="1"/>
      <c r="H10255" s="5"/>
      <c r="I10255" s="6"/>
    </row>
    <row r="10256" spans="2:9" x14ac:dyDescent="0.25">
      <c r="B10256" s="1"/>
      <c r="H10256" s="5"/>
      <c r="I10256" s="6"/>
    </row>
    <row r="10257" spans="2:9" x14ac:dyDescent="0.25">
      <c r="B10257" s="1"/>
      <c r="H10257" s="5"/>
      <c r="I10257" s="6"/>
    </row>
    <row r="10258" spans="2:9" x14ac:dyDescent="0.25">
      <c r="B10258" s="1"/>
      <c r="H10258" s="5"/>
      <c r="I10258" s="6"/>
    </row>
    <row r="10259" spans="2:9" x14ac:dyDescent="0.25">
      <c r="B10259" s="1"/>
      <c r="H10259" s="5"/>
      <c r="I10259" s="6"/>
    </row>
    <row r="10260" spans="2:9" x14ac:dyDescent="0.25">
      <c r="B10260" s="1"/>
      <c r="H10260" s="5"/>
      <c r="I10260" s="6"/>
    </row>
    <row r="10261" spans="2:9" x14ac:dyDescent="0.25">
      <c r="B10261" s="1"/>
      <c r="H10261" s="5"/>
      <c r="I10261" s="6"/>
    </row>
    <row r="10262" spans="2:9" x14ac:dyDescent="0.25">
      <c r="B10262" s="1"/>
      <c r="H10262" s="5"/>
      <c r="I10262" s="6"/>
    </row>
    <row r="10263" spans="2:9" x14ac:dyDescent="0.25">
      <c r="B10263" s="1"/>
      <c r="H10263" s="5"/>
      <c r="I10263" s="6"/>
    </row>
    <row r="10264" spans="2:9" x14ac:dyDescent="0.25">
      <c r="B10264" s="1"/>
      <c r="H10264" s="5"/>
      <c r="I10264" s="6"/>
    </row>
    <row r="10265" spans="2:9" x14ac:dyDescent="0.25">
      <c r="B10265" s="1"/>
      <c r="H10265" s="5"/>
      <c r="I10265" s="6"/>
    </row>
    <row r="10266" spans="2:9" x14ac:dyDescent="0.25">
      <c r="B10266" s="1"/>
      <c r="H10266" s="5"/>
      <c r="I10266" s="6"/>
    </row>
    <row r="10267" spans="2:9" x14ac:dyDescent="0.25">
      <c r="B10267" s="1"/>
      <c r="H10267" s="5"/>
      <c r="I10267" s="6"/>
    </row>
    <row r="10268" spans="2:9" x14ac:dyDescent="0.25">
      <c r="B10268" s="1"/>
      <c r="H10268" s="5"/>
      <c r="I10268" s="6"/>
    </row>
    <row r="10269" spans="2:9" x14ac:dyDescent="0.25">
      <c r="B10269" s="1"/>
      <c r="H10269" s="5"/>
      <c r="I10269" s="6"/>
    </row>
    <row r="10270" spans="2:9" x14ac:dyDescent="0.25">
      <c r="B10270" s="1"/>
      <c r="H10270" s="5"/>
      <c r="I10270" s="6"/>
    </row>
    <row r="10271" spans="2:9" x14ac:dyDescent="0.25">
      <c r="B10271" s="1"/>
      <c r="H10271" s="5"/>
      <c r="I10271" s="6"/>
    </row>
    <row r="10272" spans="2:9" x14ac:dyDescent="0.25">
      <c r="B10272" s="1"/>
      <c r="H10272" s="5"/>
      <c r="I10272" s="6"/>
    </row>
    <row r="10273" spans="2:9" x14ac:dyDescent="0.25">
      <c r="B10273" s="1"/>
      <c r="H10273" s="5"/>
      <c r="I10273" s="6"/>
    </row>
    <row r="10274" spans="2:9" x14ac:dyDescent="0.25">
      <c r="B10274" s="1"/>
      <c r="H10274" s="5"/>
      <c r="I10274" s="6"/>
    </row>
    <row r="10275" spans="2:9" x14ac:dyDescent="0.25">
      <c r="B10275" s="1"/>
      <c r="H10275" s="5"/>
      <c r="I10275" s="6"/>
    </row>
    <row r="10276" spans="2:9" x14ac:dyDescent="0.25">
      <c r="B10276" s="1"/>
      <c r="H10276" s="5"/>
      <c r="I10276" s="6"/>
    </row>
    <row r="10277" spans="2:9" x14ac:dyDescent="0.25">
      <c r="B10277" s="1"/>
      <c r="H10277" s="5"/>
      <c r="I10277" s="6"/>
    </row>
    <row r="10278" spans="2:9" x14ac:dyDescent="0.25">
      <c r="B10278" s="1"/>
      <c r="H10278" s="5"/>
      <c r="I10278" s="6"/>
    </row>
    <row r="10279" spans="2:9" x14ac:dyDescent="0.25">
      <c r="B10279" s="1"/>
      <c r="H10279" s="5"/>
      <c r="I10279" s="6"/>
    </row>
    <row r="10280" spans="2:9" x14ac:dyDescent="0.25">
      <c r="B10280" s="1"/>
      <c r="H10280" s="5"/>
      <c r="I10280" s="6"/>
    </row>
    <row r="10281" spans="2:9" x14ac:dyDescent="0.25">
      <c r="B10281" s="1"/>
      <c r="H10281" s="5"/>
      <c r="I10281" s="6"/>
    </row>
    <row r="10282" spans="2:9" x14ac:dyDescent="0.25">
      <c r="B10282" s="1"/>
      <c r="H10282" s="5"/>
      <c r="I10282" s="6"/>
    </row>
    <row r="10283" spans="2:9" x14ac:dyDescent="0.25">
      <c r="B10283" s="1"/>
      <c r="H10283" s="5"/>
      <c r="I10283" s="6"/>
    </row>
    <row r="10284" spans="2:9" x14ac:dyDescent="0.25">
      <c r="B10284" s="1"/>
      <c r="H10284" s="5"/>
      <c r="I10284" s="6"/>
    </row>
    <row r="10285" spans="2:9" x14ac:dyDescent="0.25">
      <c r="B10285" s="1"/>
      <c r="H10285" s="5"/>
      <c r="I10285" s="6"/>
    </row>
    <row r="10286" spans="2:9" x14ac:dyDescent="0.25">
      <c r="B10286" s="1"/>
      <c r="H10286" s="5"/>
      <c r="I10286" s="6"/>
    </row>
    <row r="10287" spans="2:9" x14ac:dyDescent="0.25">
      <c r="B10287" s="1"/>
      <c r="H10287" s="5"/>
      <c r="I10287" s="6"/>
    </row>
    <row r="10288" spans="2:9" x14ac:dyDescent="0.25">
      <c r="B10288" s="1"/>
      <c r="H10288" s="5"/>
      <c r="I10288" s="6"/>
    </row>
    <row r="10289" spans="2:9" x14ac:dyDescent="0.25">
      <c r="B10289" s="1"/>
      <c r="H10289" s="5"/>
      <c r="I10289" s="6"/>
    </row>
    <row r="10290" spans="2:9" x14ac:dyDescent="0.25">
      <c r="B10290" s="1"/>
      <c r="H10290" s="5"/>
      <c r="I10290" s="6"/>
    </row>
    <row r="10291" spans="2:9" x14ac:dyDescent="0.25">
      <c r="B10291" s="1"/>
      <c r="H10291" s="5"/>
      <c r="I10291" s="6"/>
    </row>
    <row r="10292" spans="2:9" x14ac:dyDescent="0.25">
      <c r="B10292" s="1"/>
      <c r="H10292" s="5"/>
      <c r="I10292" s="6"/>
    </row>
    <row r="10293" spans="2:9" x14ac:dyDescent="0.25">
      <c r="B10293" s="1"/>
      <c r="H10293" s="5"/>
      <c r="I10293" s="6"/>
    </row>
    <row r="10294" spans="2:9" x14ac:dyDescent="0.25">
      <c r="B10294" s="1"/>
      <c r="H10294" s="5"/>
      <c r="I10294" s="6"/>
    </row>
    <row r="10295" spans="2:9" x14ac:dyDescent="0.25">
      <c r="B10295" s="1"/>
      <c r="H10295" s="5"/>
      <c r="I10295" s="6"/>
    </row>
    <row r="10296" spans="2:9" x14ac:dyDescent="0.25">
      <c r="B10296" s="1"/>
      <c r="H10296" s="5"/>
      <c r="I10296" s="6"/>
    </row>
    <row r="10297" spans="2:9" x14ac:dyDescent="0.25">
      <c r="B10297" s="1"/>
      <c r="H10297" s="5"/>
      <c r="I10297" s="6"/>
    </row>
    <row r="10298" spans="2:9" x14ac:dyDescent="0.25">
      <c r="B10298" s="1"/>
      <c r="H10298" s="5"/>
      <c r="I10298" s="6"/>
    </row>
    <row r="10299" spans="2:9" x14ac:dyDescent="0.25">
      <c r="B10299" s="1"/>
      <c r="H10299" s="5"/>
      <c r="I10299" s="6"/>
    </row>
    <row r="10300" spans="2:9" x14ac:dyDescent="0.25">
      <c r="B10300" s="1"/>
      <c r="H10300" s="5"/>
      <c r="I10300" s="6"/>
    </row>
    <row r="10301" spans="2:9" x14ac:dyDescent="0.25">
      <c r="B10301" s="1"/>
      <c r="H10301" s="5"/>
      <c r="I10301" s="6"/>
    </row>
    <row r="10302" spans="2:9" x14ac:dyDescent="0.25">
      <c r="B10302" s="1"/>
      <c r="H10302" s="5"/>
      <c r="I10302" s="6"/>
    </row>
    <row r="10303" spans="2:9" x14ac:dyDescent="0.25">
      <c r="B10303" s="1"/>
      <c r="H10303" s="5"/>
      <c r="I10303" s="6"/>
    </row>
    <row r="10304" spans="2:9" x14ac:dyDescent="0.25">
      <c r="B10304" s="1"/>
      <c r="H10304" s="5"/>
      <c r="I10304" s="6"/>
    </row>
    <row r="10305" spans="2:9" x14ac:dyDescent="0.25">
      <c r="B10305" s="1"/>
      <c r="H10305" s="5"/>
      <c r="I10305" s="6"/>
    </row>
    <row r="10306" spans="2:9" x14ac:dyDescent="0.25">
      <c r="B10306" s="1"/>
      <c r="H10306" s="5"/>
      <c r="I10306" s="6"/>
    </row>
    <row r="10307" spans="2:9" x14ac:dyDescent="0.25">
      <c r="B10307" s="1"/>
      <c r="H10307" s="5"/>
      <c r="I10307" s="6"/>
    </row>
    <row r="10308" spans="2:9" x14ac:dyDescent="0.25">
      <c r="B10308" s="1"/>
      <c r="H10308" s="5"/>
      <c r="I10308" s="6"/>
    </row>
    <row r="10309" spans="2:9" x14ac:dyDescent="0.25">
      <c r="B10309" s="1"/>
      <c r="H10309" s="5"/>
      <c r="I10309" s="6"/>
    </row>
    <row r="10310" spans="2:9" x14ac:dyDescent="0.25">
      <c r="B10310" s="1"/>
      <c r="H10310" s="5"/>
      <c r="I10310" s="6"/>
    </row>
    <row r="10311" spans="2:9" x14ac:dyDescent="0.25">
      <c r="B10311" s="1"/>
      <c r="H10311" s="5"/>
      <c r="I10311" s="6"/>
    </row>
    <row r="10312" spans="2:9" x14ac:dyDescent="0.25">
      <c r="B10312" s="1"/>
      <c r="H10312" s="5"/>
      <c r="I10312" s="6"/>
    </row>
    <row r="10313" spans="2:9" x14ac:dyDescent="0.25">
      <c r="B10313" s="1"/>
      <c r="H10313" s="5"/>
      <c r="I10313" s="6"/>
    </row>
    <row r="10314" spans="2:9" x14ac:dyDescent="0.25">
      <c r="B10314" s="1"/>
      <c r="H10314" s="5"/>
      <c r="I10314" s="6"/>
    </row>
    <row r="10315" spans="2:9" x14ac:dyDescent="0.25">
      <c r="B10315" s="1"/>
      <c r="H10315" s="5"/>
      <c r="I10315" s="6"/>
    </row>
    <row r="10316" spans="2:9" x14ac:dyDescent="0.25">
      <c r="B10316" s="1"/>
      <c r="H10316" s="5"/>
      <c r="I10316" s="6"/>
    </row>
    <row r="10317" spans="2:9" x14ac:dyDescent="0.25">
      <c r="B10317" s="1"/>
      <c r="H10317" s="5"/>
      <c r="I10317" s="6"/>
    </row>
    <row r="10318" spans="2:9" x14ac:dyDescent="0.25">
      <c r="B10318" s="1"/>
      <c r="H10318" s="5"/>
      <c r="I10318" s="6"/>
    </row>
    <row r="10319" spans="2:9" x14ac:dyDescent="0.25">
      <c r="B10319" s="1"/>
      <c r="H10319" s="5"/>
      <c r="I10319" s="6"/>
    </row>
    <row r="10320" spans="2:9" x14ac:dyDescent="0.25">
      <c r="B10320" s="1"/>
      <c r="H10320" s="5"/>
      <c r="I10320" s="6"/>
    </row>
    <row r="10321" spans="2:9" x14ac:dyDescent="0.25">
      <c r="B10321" s="1"/>
      <c r="H10321" s="5"/>
      <c r="I10321" s="6"/>
    </row>
    <row r="10322" spans="2:9" x14ac:dyDescent="0.25">
      <c r="B10322" s="1"/>
      <c r="H10322" s="5"/>
      <c r="I10322" s="6"/>
    </row>
    <row r="10323" spans="2:9" x14ac:dyDescent="0.25">
      <c r="B10323" s="1"/>
      <c r="H10323" s="5"/>
      <c r="I10323" s="6"/>
    </row>
    <row r="10324" spans="2:9" x14ac:dyDescent="0.25">
      <c r="B10324" s="1"/>
      <c r="H10324" s="5"/>
      <c r="I10324" s="6"/>
    </row>
    <row r="10325" spans="2:9" x14ac:dyDescent="0.25">
      <c r="B10325" s="1"/>
      <c r="H10325" s="5"/>
      <c r="I10325" s="6"/>
    </row>
    <row r="10326" spans="2:9" x14ac:dyDescent="0.25">
      <c r="B10326" s="1"/>
      <c r="H10326" s="5"/>
      <c r="I10326" s="6"/>
    </row>
    <row r="10327" spans="2:9" x14ac:dyDescent="0.25">
      <c r="B10327" s="1"/>
      <c r="H10327" s="5"/>
      <c r="I10327" s="6"/>
    </row>
    <row r="10328" spans="2:9" x14ac:dyDescent="0.25">
      <c r="B10328" s="1"/>
      <c r="H10328" s="5"/>
      <c r="I10328" s="6"/>
    </row>
    <row r="10329" spans="2:9" x14ac:dyDescent="0.25">
      <c r="B10329" s="1"/>
      <c r="H10329" s="5"/>
      <c r="I10329" s="6"/>
    </row>
    <row r="10330" spans="2:9" x14ac:dyDescent="0.25">
      <c r="B10330" s="1"/>
      <c r="H10330" s="5"/>
      <c r="I10330" s="6"/>
    </row>
    <row r="10331" spans="2:9" x14ac:dyDescent="0.25">
      <c r="B10331" s="1"/>
      <c r="H10331" s="5"/>
      <c r="I10331" s="6"/>
    </row>
    <row r="10332" spans="2:9" x14ac:dyDescent="0.25">
      <c r="B10332" s="1"/>
      <c r="H10332" s="5"/>
      <c r="I10332" s="6"/>
    </row>
    <row r="10333" spans="2:9" x14ac:dyDescent="0.25">
      <c r="B10333" s="1"/>
      <c r="H10333" s="5"/>
      <c r="I10333" s="6"/>
    </row>
    <row r="10334" spans="2:9" x14ac:dyDescent="0.25">
      <c r="B10334" s="1"/>
      <c r="H10334" s="5"/>
      <c r="I10334" s="6"/>
    </row>
    <row r="10335" spans="2:9" x14ac:dyDescent="0.25">
      <c r="B10335" s="1"/>
      <c r="H10335" s="5"/>
      <c r="I10335" s="6"/>
    </row>
    <row r="10336" spans="2:9" x14ac:dyDescent="0.25">
      <c r="B10336" s="1"/>
      <c r="H10336" s="5"/>
      <c r="I10336" s="6"/>
    </row>
    <row r="10337" spans="2:9" x14ac:dyDescent="0.25">
      <c r="B10337" s="1"/>
      <c r="D10337" s="2"/>
      <c r="H10337" s="5"/>
      <c r="I10337" s="6"/>
    </row>
    <row r="10338" spans="2:9" x14ac:dyDescent="0.25">
      <c r="B10338" s="1"/>
      <c r="D10338" s="2"/>
      <c r="H10338" s="5"/>
      <c r="I10338" s="6"/>
    </row>
    <row r="10339" spans="2:9" x14ac:dyDescent="0.25">
      <c r="B10339" s="1"/>
      <c r="D10339" s="2"/>
      <c r="H10339" s="5"/>
      <c r="I10339" s="6"/>
    </row>
    <row r="10340" spans="2:9" x14ac:dyDescent="0.25">
      <c r="B10340" s="1"/>
      <c r="D10340" s="2"/>
      <c r="H10340" s="5"/>
      <c r="I10340" s="6"/>
    </row>
    <row r="10341" spans="2:9" x14ac:dyDescent="0.25">
      <c r="B10341" s="1"/>
      <c r="D10341" s="2"/>
      <c r="H10341" s="5"/>
      <c r="I10341" s="6"/>
    </row>
    <row r="10342" spans="2:9" x14ac:dyDescent="0.25">
      <c r="B10342" s="1"/>
      <c r="H10342" s="5"/>
      <c r="I10342" s="6"/>
    </row>
    <row r="10343" spans="2:9" x14ac:dyDescent="0.25">
      <c r="B10343" s="1"/>
      <c r="H10343" s="5"/>
      <c r="I10343" s="6"/>
    </row>
    <row r="10344" spans="2:9" x14ac:dyDescent="0.25">
      <c r="B10344" s="1"/>
      <c r="H10344" s="5"/>
      <c r="I10344" s="6"/>
    </row>
    <row r="10345" spans="2:9" x14ac:dyDescent="0.25">
      <c r="B10345" s="1"/>
      <c r="H10345" s="5"/>
      <c r="I10345" s="6"/>
    </row>
    <row r="10346" spans="2:9" x14ac:dyDescent="0.25">
      <c r="B10346" s="1"/>
      <c r="H10346" s="5"/>
      <c r="I10346" s="6"/>
    </row>
    <row r="10347" spans="2:9" x14ac:dyDescent="0.25">
      <c r="B10347" s="1"/>
      <c r="H10347" s="5"/>
      <c r="I10347" s="6"/>
    </row>
    <row r="10348" spans="2:9" x14ac:dyDescent="0.25">
      <c r="B10348" s="1"/>
      <c r="H10348" s="5"/>
      <c r="I10348" s="6"/>
    </row>
    <row r="10349" spans="2:9" x14ac:dyDescent="0.25">
      <c r="B10349" s="1"/>
      <c r="H10349" s="5"/>
      <c r="I10349" s="6"/>
    </row>
    <row r="10350" spans="2:9" x14ac:dyDescent="0.25">
      <c r="B10350" s="1"/>
      <c r="H10350" s="5"/>
      <c r="I10350" s="6"/>
    </row>
    <row r="10351" spans="2:9" x14ac:dyDescent="0.25">
      <c r="B10351" s="1"/>
      <c r="H10351" s="5"/>
      <c r="I10351" s="6"/>
    </row>
    <row r="10352" spans="2:9" x14ac:dyDescent="0.25">
      <c r="B10352" s="1"/>
      <c r="H10352" s="5"/>
      <c r="I10352" s="6"/>
    </row>
    <row r="10353" spans="2:9" x14ac:dyDescent="0.25">
      <c r="B10353" s="1"/>
      <c r="H10353" s="5"/>
      <c r="I10353" s="6"/>
    </row>
    <row r="10354" spans="2:9" x14ac:dyDescent="0.25">
      <c r="B10354" s="1"/>
      <c r="H10354" s="5"/>
      <c r="I10354" s="6"/>
    </row>
    <row r="10355" spans="2:9" x14ac:dyDescent="0.25">
      <c r="B10355" s="1"/>
      <c r="H10355" s="5"/>
      <c r="I10355" s="6"/>
    </row>
    <row r="10356" spans="2:9" x14ac:dyDescent="0.25">
      <c r="B10356" s="1"/>
      <c r="H10356" s="5"/>
      <c r="I10356" s="6"/>
    </row>
    <row r="10357" spans="2:9" x14ac:dyDescent="0.25">
      <c r="B10357" s="1"/>
      <c r="H10357" s="5"/>
      <c r="I10357" s="6"/>
    </row>
    <row r="10358" spans="2:9" x14ac:dyDescent="0.25">
      <c r="B10358" s="1"/>
      <c r="D10358" s="2"/>
      <c r="H10358" s="5"/>
      <c r="I10358" s="6"/>
    </row>
    <row r="10359" spans="2:9" x14ac:dyDescent="0.25">
      <c r="B10359" s="1"/>
      <c r="D10359" s="2"/>
      <c r="H10359" s="5"/>
      <c r="I10359" s="6"/>
    </row>
    <row r="10360" spans="2:9" x14ac:dyDescent="0.25">
      <c r="B10360" s="1"/>
      <c r="D10360" s="2"/>
      <c r="H10360" s="5"/>
      <c r="I10360" s="6"/>
    </row>
    <row r="10361" spans="2:9" x14ac:dyDescent="0.25">
      <c r="B10361" s="1"/>
      <c r="H10361" s="5"/>
      <c r="I10361" s="6"/>
    </row>
    <row r="10362" spans="2:9" x14ac:dyDescent="0.25">
      <c r="B10362" s="1"/>
      <c r="D10362" s="2"/>
      <c r="H10362" s="5"/>
      <c r="I10362" s="6"/>
    </row>
    <row r="10363" spans="2:9" x14ac:dyDescent="0.25">
      <c r="B10363" s="1"/>
      <c r="H10363" s="5"/>
      <c r="I10363" s="6"/>
    </row>
    <row r="10364" spans="2:9" x14ac:dyDescent="0.25">
      <c r="B10364" s="1"/>
      <c r="H10364" s="5"/>
      <c r="I10364" s="6"/>
    </row>
    <row r="10365" spans="2:9" x14ac:dyDescent="0.25">
      <c r="B10365" s="1"/>
      <c r="H10365" s="5"/>
      <c r="I10365" s="6"/>
    </row>
    <row r="10366" spans="2:9" x14ac:dyDescent="0.25">
      <c r="B10366" s="1"/>
      <c r="H10366" s="5"/>
      <c r="I10366" s="6"/>
    </row>
    <row r="10367" spans="2:9" x14ac:dyDescent="0.25">
      <c r="B10367" s="1"/>
      <c r="H10367" s="5"/>
      <c r="I10367" s="6"/>
    </row>
    <row r="10368" spans="2:9" x14ac:dyDescent="0.25">
      <c r="B10368" s="1"/>
      <c r="H10368" s="5"/>
      <c r="I10368" s="6"/>
    </row>
    <row r="10369" spans="2:9" x14ac:dyDescent="0.25">
      <c r="B10369" s="1"/>
      <c r="H10369" s="5"/>
      <c r="I10369" s="6"/>
    </row>
    <row r="10370" spans="2:9" x14ac:dyDescent="0.25">
      <c r="B10370" s="1"/>
      <c r="H10370" s="5"/>
      <c r="I10370" s="6"/>
    </row>
    <row r="10371" spans="2:9" x14ac:dyDescent="0.25">
      <c r="B10371" s="1"/>
      <c r="H10371" s="5"/>
      <c r="I10371" s="6"/>
    </row>
    <row r="10372" spans="2:9" x14ac:dyDescent="0.25">
      <c r="B10372" s="1"/>
      <c r="H10372" s="5"/>
      <c r="I10372" s="6"/>
    </row>
    <row r="10373" spans="2:9" x14ac:dyDescent="0.25">
      <c r="B10373" s="1"/>
      <c r="H10373" s="5"/>
      <c r="I10373" s="6"/>
    </row>
    <row r="10374" spans="2:9" x14ac:dyDescent="0.25">
      <c r="B10374" s="1"/>
      <c r="H10374" s="5"/>
      <c r="I10374" s="6"/>
    </row>
    <row r="10375" spans="2:9" x14ac:dyDescent="0.25">
      <c r="B10375" s="1"/>
      <c r="H10375" s="5"/>
      <c r="I10375" s="6"/>
    </row>
    <row r="10376" spans="2:9" x14ac:dyDescent="0.25">
      <c r="B10376" s="1"/>
      <c r="H10376" s="5"/>
      <c r="I10376" s="6"/>
    </row>
    <row r="10377" spans="2:9" x14ac:dyDescent="0.25">
      <c r="B10377" s="1"/>
      <c r="H10377" s="5"/>
      <c r="I10377" s="6"/>
    </row>
    <row r="10378" spans="2:9" x14ac:dyDescent="0.25">
      <c r="B10378" s="1"/>
      <c r="H10378" s="5"/>
      <c r="I10378" s="6"/>
    </row>
    <row r="10379" spans="2:9" x14ac:dyDescent="0.25">
      <c r="B10379" s="1"/>
      <c r="H10379" s="5"/>
      <c r="I10379" s="6"/>
    </row>
    <row r="10380" spans="2:9" x14ac:dyDescent="0.25">
      <c r="B10380" s="1"/>
      <c r="H10380" s="5"/>
      <c r="I10380" s="6"/>
    </row>
    <row r="10381" spans="2:9" x14ac:dyDescent="0.25">
      <c r="B10381" s="1"/>
      <c r="D10381" s="2"/>
      <c r="H10381" s="5"/>
      <c r="I10381" s="6"/>
    </row>
    <row r="10382" spans="2:9" x14ac:dyDescent="0.25">
      <c r="B10382" s="1"/>
      <c r="D10382" s="2"/>
      <c r="H10382" s="5"/>
      <c r="I10382" s="6"/>
    </row>
    <row r="10383" spans="2:9" x14ac:dyDescent="0.25">
      <c r="B10383" s="1"/>
      <c r="D10383" s="2"/>
      <c r="H10383" s="5"/>
      <c r="I10383" s="6"/>
    </row>
    <row r="10384" spans="2:9" x14ac:dyDescent="0.25">
      <c r="B10384" s="1"/>
      <c r="D10384" s="2"/>
      <c r="H10384" s="5"/>
      <c r="I10384" s="6"/>
    </row>
    <row r="10385" spans="2:9" x14ac:dyDescent="0.25">
      <c r="B10385" s="1"/>
      <c r="D10385" s="2"/>
      <c r="H10385" s="5"/>
      <c r="I10385" s="6"/>
    </row>
    <row r="10386" spans="2:9" x14ac:dyDescent="0.25">
      <c r="B10386" s="1"/>
      <c r="D10386" s="2"/>
      <c r="H10386" s="5"/>
      <c r="I10386" s="6"/>
    </row>
    <row r="10387" spans="2:9" x14ac:dyDescent="0.25">
      <c r="B10387" s="1"/>
      <c r="D10387" s="2"/>
      <c r="H10387" s="5"/>
      <c r="I10387" s="6"/>
    </row>
    <row r="10388" spans="2:9" x14ac:dyDescent="0.25">
      <c r="B10388" s="1"/>
      <c r="H10388" s="5"/>
      <c r="I10388" s="6"/>
    </row>
    <row r="10389" spans="2:9" x14ac:dyDescent="0.25">
      <c r="B10389" s="1"/>
      <c r="H10389" s="5"/>
      <c r="I10389" s="6"/>
    </row>
    <row r="10390" spans="2:9" x14ac:dyDescent="0.25">
      <c r="B10390" s="1"/>
      <c r="H10390" s="5"/>
      <c r="I10390" s="6"/>
    </row>
    <row r="10391" spans="2:9" x14ac:dyDescent="0.25">
      <c r="B10391" s="1"/>
      <c r="H10391" s="5"/>
      <c r="I10391" s="6"/>
    </row>
    <row r="10392" spans="2:9" x14ac:dyDescent="0.25">
      <c r="B10392" s="1"/>
      <c r="H10392" s="5"/>
      <c r="I10392" s="6"/>
    </row>
    <row r="10393" spans="2:9" x14ac:dyDescent="0.25">
      <c r="B10393" s="1"/>
      <c r="H10393" s="5"/>
      <c r="I10393" s="6"/>
    </row>
    <row r="10394" spans="2:9" x14ac:dyDescent="0.25">
      <c r="B10394" s="1"/>
      <c r="H10394" s="5"/>
      <c r="I10394" s="6"/>
    </row>
    <row r="10395" spans="2:9" x14ac:dyDescent="0.25">
      <c r="B10395" s="1"/>
      <c r="H10395" s="5"/>
      <c r="I10395" s="6"/>
    </row>
    <row r="10396" spans="2:9" x14ac:dyDescent="0.25">
      <c r="B10396" s="1"/>
      <c r="H10396" s="5"/>
      <c r="I10396" s="6"/>
    </row>
    <row r="10397" spans="2:9" x14ac:dyDescent="0.25">
      <c r="B10397" s="1"/>
      <c r="H10397" s="5"/>
      <c r="I10397" s="6"/>
    </row>
    <row r="10398" spans="2:9" x14ac:dyDescent="0.25">
      <c r="B10398" s="1"/>
      <c r="H10398" s="5"/>
      <c r="I10398" s="6"/>
    </row>
    <row r="10399" spans="2:9" x14ac:dyDescent="0.25">
      <c r="B10399" s="1"/>
      <c r="H10399" s="5"/>
      <c r="I10399" s="6"/>
    </row>
    <row r="10400" spans="2:9" x14ac:dyDescent="0.25">
      <c r="B10400" s="1"/>
      <c r="H10400" s="5"/>
      <c r="I10400" s="6"/>
    </row>
    <row r="10401" spans="2:9" x14ac:dyDescent="0.25">
      <c r="B10401" s="1"/>
      <c r="H10401" s="5"/>
      <c r="I10401" s="6"/>
    </row>
    <row r="10402" spans="2:9" x14ac:dyDescent="0.25">
      <c r="B10402" s="1"/>
      <c r="H10402" s="5"/>
      <c r="I10402" s="6"/>
    </row>
    <row r="10403" spans="2:9" x14ac:dyDescent="0.25">
      <c r="B10403" s="1"/>
      <c r="H10403" s="5"/>
      <c r="I10403" s="6"/>
    </row>
    <row r="10404" spans="2:9" x14ac:dyDescent="0.25">
      <c r="B10404" s="1"/>
      <c r="H10404" s="5"/>
      <c r="I10404" s="6"/>
    </row>
    <row r="10405" spans="2:9" x14ac:dyDescent="0.25">
      <c r="B10405" s="1"/>
      <c r="H10405" s="5"/>
      <c r="I10405" s="6"/>
    </row>
    <row r="10406" spans="2:9" x14ac:dyDescent="0.25">
      <c r="B10406" s="1"/>
      <c r="D10406" s="2"/>
      <c r="H10406" s="5"/>
      <c r="I10406" s="6"/>
    </row>
    <row r="10407" spans="2:9" x14ac:dyDescent="0.25">
      <c r="B10407" s="1"/>
      <c r="D10407" s="2"/>
      <c r="H10407" s="5"/>
      <c r="I10407" s="6"/>
    </row>
    <row r="10408" spans="2:9" x14ac:dyDescent="0.25">
      <c r="B10408" s="1"/>
      <c r="D10408" s="2"/>
      <c r="H10408" s="5"/>
      <c r="I10408" s="6"/>
    </row>
    <row r="10409" spans="2:9" x14ac:dyDescent="0.25">
      <c r="B10409" s="1"/>
      <c r="D10409" s="2"/>
      <c r="H10409" s="5"/>
      <c r="I10409" s="6"/>
    </row>
    <row r="10410" spans="2:9" x14ac:dyDescent="0.25">
      <c r="B10410" s="1"/>
      <c r="D10410" s="2"/>
      <c r="H10410" s="5"/>
      <c r="I10410" s="6"/>
    </row>
    <row r="10411" spans="2:9" x14ac:dyDescent="0.25">
      <c r="B10411" s="1"/>
      <c r="D10411" s="2"/>
      <c r="H10411" s="5"/>
      <c r="I10411" s="6"/>
    </row>
    <row r="10412" spans="2:9" x14ac:dyDescent="0.25">
      <c r="B10412" s="1"/>
      <c r="H10412" s="5"/>
      <c r="I10412" s="6"/>
    </row>
    <row r="10413" spans="2:9" x14ac:dyDescent="0.25">
      <c r="B10413" s="1"/>
      <c r="H10413" s="5"/>
      <c r="I10413" s="6"/>
    </row>
    <row r="10414" spans="2:9" x14ac:dyDescent="0.25">
      <c r="B10414" s="1"/>
      <c r="H10414" s="5"/>
      <c r="I10414" s="6"/>
    </row>
    <row r="10415" spans="2:9" x14ac:dyDescent="0.25">
      <c r="B10415" s="1"/>
      <c r="H10415" s="5"/>
      <c r="I10415" s="6"/>
    </row>
    <row r="10416" spans="2:9" x14ac:dyDescent="0.25">
      <c r="B10416" s="1"/>
      <c r="H10416" s="5"/>
      <c r="I10416" s="6"/>
    </row>
    <row r="10417" spans="2:9" x14ac:dyDescent="0.25">
      <c r="B10417" s="1"/>
      <c r="H10417" s="5"/>
      <c r="I10417" s="6"/>
    </row>
    <row r="10418" spans="2:9" x14ac:dyDescent="0.25">
      <c r="B10418" s="1"/>
      <c r="H10418" s="5"/>
      <c r="I10418" s="6"/>
    </row>
    <row r="10419" spans="2:9" x14ac:dyDescent="0.25">
      <c r="B10419" s="1"/>
      <c r="H10419" s="5"/>
      <c r="I10419" s="6"/>
    </row>
    <row r="10420" spans="2:9" x14ac:dyDescent="0.25">
      <c r="B10420" s="1"/>
      <c r="H10420" s="5"/>
      <c r="I10420" s="6"/>
    </row>
    <row r="10421" spans="2:9" x14ac:dyDescent="0.25">
      <c r="B10421" s="1"/>
      <c r="H10421" s="5"/>
      <c r="I10421" s="6"/>
    </row>
    <row r="10422" spans="2:9" x14ac:dyDescent="0.25">
      <c r="B10422" s="1"/>
      <c r="H10422" s="5"/>
      <c r="I10422" s="6"/>
    </row>
    <row r="10423" spans="2:9" x14ac:dyDescent="0.25">
      <c r="B10423" s="1"/>
      <c r="H10423" s="5"/>
      <c r="I10423" s="6"/>
    </row>
    <row r="10424" spans="2:9" x14ac:dyDescent="0.25">
      <c r="B10424" s="1"/>
      <c r="H10424" s="5"/>
      <c r="I10424" s="6"/>
    </row>
    <row r="10425" spans="2:9" x14ac:dyDescent="0.25">
      <c r="B10425" s="1"/>
      <c r="H10425" s="5"/>
      <c r="I10425" s="6"/>
    </row>
    <row r="10426" spans="2:9" x14ac:dyDescent="0.25">
      <c r="B10426" s="1"/>
      <c r="H10426" s="5"/>
      <c r="I10426" s="6"/>
    </row>
    <row r="10427" spans="2:9" x14ac:dyDescent="0.25">
      <c r="B10427" s="1"/>
      <c r="H10427" s="5"/>
      <c r="I10427" s="6"/>
    </row>
    <row r="10428" spans="2:9" x14ac:dyDescent="0.25">
      <c r="B10428" s="1"/>
      <c r="D10428" s="2"/>
      <c r="H10428" s="5"/>
      <c r="I10428" s="6"/>
    </row>
    <row r="10429" spans="2:9" x14ac:dyDescent="0.25">
      <c r="B10429" s="1"/>
      <c r="D10429" s="2"/>
      <c r="H10429" s="5"/>
      <c r="I10429" s="6"/>
    </row>
    <row r="10430" spans="2:9" x14ac:dyDescent="0.25">
      <c r="B10430" s="1"/>
      <c r="D10430" s="2"/>
      <c r="H10430" s="5"/>
      <c r="I10430" s="6"/>
    </row>
    <row r="10431" spans="2:9" x14ac:dyDescent="0.25">
      <c r="B10431" s="1"/>
      <c r="D10431" s="2"/>
      <c r="H10431" s="5"/>
      <c r="I10431" s="6"/>
    </row>
    <row r="10432" spans="2:9" x14ac:dyDescent="0.25">
      <c r="B10432" s="1"/>
      <c r="D10432" s="2"/>
      <c r="H10432" s="5"/>
      <c r="I10432" s="6"/>
    </row>
    <row r="10433" spans="2:9" x14ac:dyDescent="0.25">
      <c r="B10433" s="1"/>
      <c r="H10433" s="5"/>
      <c r="I10433" s="6"/>
    </row>
    <row r="10434" spans="2:9" x14ac:dyDescent="0.25">
      <c r="B10434" s="1"/>
      <c r="H10434" s="5"/>
      <c r="I10434" s="6"/>
    </row>
    <row r="10435" spans="2:9" x14ac:dyDescent="0.25">
      <c r="B10435" s="1"/>
      <c r="H10435" s="5"/>
      <c r="I10435" s="6"/>
    </row>
    <row r="10436" spans="2:9" x14ac:dyDescent="0.25">
      <c r="B10436" s="1"/>
      <c r="H10436" s="5"/>
      <c r="I10436" s="6"/>
    </row>
    <row r="10437" spans="2:9" x14ac:dyDescent="0.25">
      <c r="B10437" s="1"/>
      <c r="H10437" s="5"/>
      <c r="I10437" s="6"/>
    </row>
    <row r="10438" spans="2:9" x14ac:dyDescent="0.25">
      <c r="B10438" s="1"/>
      <c r="H10438" s="5"/>
      <c r="I10438" s="6"/>
    </row>
    <row r="10439" spans="2:9" x14ac:dyDescent="0.25">
      <c r="B10439" s="1"/>
      <c r="H10439" s="5"/>
      <c r="I10439" s="6"/>
    </row>
    <row r="10440" spans="2:9" x14ac:dyDescent="0.25">
      <c r="B10440" s="1"/>
      <c r="H10440" s="5"/>
      <c r="I10440" s="6"/>
    </row>
    <row r="10441" spans="2:9" x14ac:dyDescent="0.25">
      <c r="B10441" s="1"/>
      <c r="H10441" s="5"/>
      <c r="I10441" s="6"/>
    </row>
    <row r="10442" spans="2:9" x14ac:dyDescent="0.25">
      <c r="B10442" s="1"/>
      <c r="H10442" s="5"/>
      <c r="I10442" s="6"/>
    </row>
    <row r="10443" spans="2:9" x14ac:dyDescent="0.25">
      <c r="B10443" s="1"/>
      <c r="H10443" s="5"/>
      <c r="I10443" s="6"/>
    </row>
    <row r="10444" spans="2:9" x14ac:dyDescent="0.25">
      <c r="B10444" s="1"/>
      <c r="H10444" s="5"/>
      <c r="I10444" s="6"/>
    </row>
    <row r="10445" spans="2:9" x14ac:dyDescent="0.25">
      <c r="B10445" s="1"/>
      <c r="H10445" s="5"/>
      <c r="I10445" s="6"/>
    </row>
    <row r="10446" spans="2:9" x14ac:dyDescent="0.25">
      <c r="B10446" s="1"/>
      <c r="H10446" s="5"/>
      <c r="I10446" s="6"/>
    </row>
    <row r="10447" spans="2:9" x14ac:dyDescent="0.25">
      <c r="B10447" s="1"/>
      <c r="H10447" s="5"/>
      <c r="I10447" s="6"/>
    </row>
    <row r="10448" spans="2:9" x14ac:dyDescent="0.25">
      <c r="B10448" s="1"/>
      <c r="H10448" s="5"/>
      <c r="I10448" s="6"/>
    </row>
    <row r="10449" spans="2:9" x14ac:dyDescent="0.25">
      <c r="B10449" s="1"/>
      <c r="H10449" s="5"/>
      <c r="I10449" s="6"/>
    </row>
    <row r="10450" spans="2:9" x14ac:dyDescent="0.25">
      <c r="B10450" s="1"/>
      <c r="H10450" s="5"/>
      <c r="I10450" s="6"/>
    </row>
    <row r="10451" spans="2:9" x14ac:dyDescent="0.25">
      <c r="B10451" s="1"/>
      <c r="H10451" s="5"/>
      <c r="I10451" s="6"/>
    </row>
    <row r="10452" spans="2:9" x14ac:dyDescent="0.25">
      <c r="B10452" s="1"/>
      <c r="H10452" s="5"/>
      <c r="I10452" s="6"/>
    </row>
    <row r="10453" spans="2:9" x14ac:dyDescent="0.25">
      <c r="B10453" s="1"/>
      <c r="H10453" s="5"/>
      <c r="I10453" s="6"/>
    </row>
    <row r="10454" spans="2:9" x14ac:dyDescent="0.25">
      <c r="B10454" s="1"/>
      <c r="H10454" s="5"/>
      <c r="I10454" s="6"/>
    </row>
    <row r="10455" spans="2:9" x14ac:dyDescent="0.25">
      <c r="B10455" s="1"/>
      <c r="H10455" s="5"/>
      <c r="I10455" s="6"/>
    </row>
    <row r="10456" spans="2:9" x14ac:dyDescent="0.25">
      <c r="B10456" s="1"/>
      <c r="H10456" s="5"/>
      <c r="I10456" s="6"/>
    </row>
    <row r="10457" spans="2:9" x14ac:dyDescent="0.25">
      <c r="B10457" s="1"/>
      <c r="H10457" s="5"/>
      <c r="I10457" s="6"/>
    </row>
    <row r="10458" spans="2:9" x14ac:dyDescent="0.25">
      <c r="B10458" s="1"/>
      <c r="H10458" s="5"/>
      <c r="I10458" s="6"/>
    </row>
    <row r="10459" spans="2:9" x14ac:dyDescent="0.25">
      <c r="B10459" s="1"/>
      <c r="H10459" s="5"/>
      <c r="I10459" s="6"/>
    </row>
    <row r="10460" spans="2:9" x14ac:dyDescent="0.25">
      <c r="B10460" s="1"/>
      <c r="H10460" s="5"/>
      <c r="I10460" s="6"/>
    </row>
    <row r="10461" spans="2:9" x14ac:dyDescent="0.25">
      <c r="B10461" s="1"/>
      <c r="H10461" s="5"/>
      <c r="I10461" s="6"/>
    </row>
    <row r="10462" spans="2:9" x14ac:dyDescent="0.25">
      <c r="B10462" s="1"/>
      <c r="H10462" s="5"/>
      <c r="I10462" s="6"/>
    </row>
    <row r="10463" spans="2:9" x14ac:dyDescent="0.25">
      <c r="B10463" s="1"/>
      <c r="H10463" s="5"/>
      <c r="I10463" s="6"/>
    </row>
    <row r="10464" spans="2:9" x14ac:dyDescent="0.25">
      <c r="B10464" s="1"/>
      <c r="H10464" s="5"/>
      <c r="I10464" s="6"/>
    </row>
    <row r="10465" spans="2:9" x14ac:dyDescent="0.25">
      <c r="B10465" s="1"/>
      <c r="H10465" s="5"/>
      <c r="I10465" s="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16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46047</v>
      </c>
      <c r="B2">
        <f ca="1">SUMIFS(Tabela1[Ativa (kwh)],Tabela1[data],A2)</f>
        <v>12241.32</v>
      </c>
      <c r="C2">
        <f ca="1">SUMIFS(Tabela1[Reativa (kvarh)],Tabela1[data],A2)</f>
        <v>1618.68</v>
      </c>
      <c r="D2">
        <f t="shared" ref="D2" ca="1" si="1">B2/1000</f>
        <v>12.24132</v>
      </c>
      <c r="E2">
        <f t="shared" ref="E2" ca="1" si="2">C2/1000</f>
        <v>1.6186800000000001</v>
      </c>
    </row>
    <row r="3" spans="1:5" x14ac:dyDescent="0.25">
      <c r="A3" s="1">
        <f t="shared" ca="1" si="0"/>
        <v>46048</v>
      </c>
      <c r="B3">
        <f ca="1">SUMIFS(Tabela1[Ativa (kwh)],Tabela1[data],A3)</f>
        <v>13613.039999999999</v>
      </c>
      <c r="C3">
        <f ca="1">SUMIFS(Tabela1[Reativa (kvarh)],Tabela1[data],A3)</f>
        <v>2065.1400000000003</v>
      </c>
      <c r="D3">
        <f t="shared" ref="D3" ca="1" si="3">B3/1000</f>
        <v>13.61304</v>
      </c>
      <c r="E3">
        <f t="shared" ref="E3" ca="1" si="4">C3/1000</f>
        <v>2.0651400000000004</v>
      </c>
    </row>
    <row r="4" spans="1:5" x14ac:dyDescent="0.25">
      <c r="A4" s="1">
        <f t="shared" ca="1" si="0"/>
        <v>46049</v>
      </c>
      <c r="B4">
        <f ca="1">SUMIFS(Tabela1[Ativa (kwh)],Tabela1[data],A4)</f>
        <v>14142.659999999998</v>
      </c>
      <c r="C4">
        <f ca="1">SUMIFS(Tabela1[Reativa (kvarh)],Tabela1[data],A4)</f>
        <v>2213.4</v>
      </c>
      <c r="D4">
        <f t="shared" ref="D4:D20" ca="1" si="5">B4/1000</f>
        <v>14.142659999999998</v>
      </c>
      <c r="E4">
        <f t="shared" ref="E4:E20" ca="1" si="6">C4/1000</f>
        <v>2.2134</v>
      </c>
    </row>
    <row r="5" spans="1:5" x14ac:dyDescent="0.25">
      <c r="A5" s="1">
        <f t="shared" ca="1" si="0"/>
        <v>46050</v>
      </c>
      <c r="B5">
        <f ca="1">SUMIFS(Tabela1[Ativa (kwh)],Tabela1[data],A5)</f>
        <v>14193.899999999998</v>
      </c>
      <c r="C5">
        <f ca="1">SUMIFS(Tabela1[Reativa (kvarh)],Tabela1[data],A5)</f>
        <v>2321.3400000000006</v>
      </c>
      <c r="D5">
        <f t="shared" ca="1" si="5"/>
        <v>14.193899999999998</v>
      </c>
      <c r="E5">
        <f t="shared" ca="1" si="6"/>
        <v>2.3213400000000006</v>
      </c>
    </row>
    <row r="6" spans="1:5" x14ac:dyDescent="0.25">
      <c r="A6" s="1">
        <f t="shared" ca="1" si="0"/>
        <v>46051</v>
      </c>
      <c r="B6">
        <f ca="1">SUMIFS(Tabela1[Ativa (kwh)],Tabela1[data],A6)</f>
        <v>14400.539999999999</v>
      </c>
      <c r="C6">
        <f ca="1">SUMIFS(Tabela1[Reativa (kvarh)],Tabela1[data],A6)</f>
        <v>2362.4999999999995</v>
      </c>
      <c r="D6">
        <f t="shared" ca="1" si="5"/>
        <v>14.400539999999999</v>
      </c>
      <c r="E6">
        <f t="shared" ca="1" si="6"/>
        <v>2.3624999999999994</v>
      </c>
    </row>
    <row r="7" spans="1:5" x14ac:dyDescent="0.25">
      <c r="A7" s="1">
        <f t="shared" ca="1" si="0"/>
        <v>46052</v>
      </c>
      <c r="B7">
        <f ca="1">SUMIFS(Tabela1[Ativa (kwh)],Tabela1[data],A7)</f>
        <v>14121.660000000002</v>
      </c>
      <c r="C7">
        <f ca="1">SUMIFS(Tabela1[Reativa (kvarh)],Tabela1[data],A7)</f>
        <v>2515.8000000000002</v>
      </c>
      <c r="D7">
        <f t="shared" ca="1" si="5"/>
        <v>14.121660000000002</v>
      </c>
      <c r="E7">
        <f t="shared" ca="1" si="6"/>
        <v>2.5158</v>
      </c>
    </row>
    <row r="8" spans="1:5" x14ac:dyDescent="0.25">
      <c r="A8" s="1">
        <f t="shared" ca="1" si="0"/>
        <v>46053</v>
      </c>
      <c r="B8">
        <f ca="1">SUMIFS(Tabela1[Ativa (kwh)],Tabela1[data],A8)</f>
        <v>14013.720000000001</v>
      </c>
      <c r="C8">
        <f ca="1">SUMIFS(Tabela1[Reativa (kvarh)],Tabela1[data],A8)</f>
        <v>2095.8000000000002</v>
      </c>
      <c r="D8">
        <f t="shared" ca="1" si="5"/>
        <v>14.013720000000001</v>
      </c>
      <c r="E8">
        <f t="shared" ca="1" si="6"/>
        <v>2.0958000000000001</v>
      </c>
    </row>
    <row r="9" spans="1:5" x14ac:dyDescent="0.25">
      <c r="A9" s="1">
        <f t="shared" ca="1" si="0"/>
        <v>46054</v>
      </c>
      <c r="B9">
        <f ca="1">SUMIFS(Tabela1[Ativa (kwh)],Tabela1[data],A9)</f>
        <v>12420.239999999998</v>
      </c>
      <c r="C9">
        <f ca="1">SUMIFS(Tabela1[Reativa (kvarh)],Tabela1[data],A9)</f>
        <v>1626.24</v>
      </c>
      <c r="D9">
        <f t="shared" ca="1" si="5"/>
        <v>12.420239999999998</v>
      </c>
      <c r="E9">
        <f t="shared" ca="1" si="6"/>
        <v>1.6262399999999999</v>
      </c>
    </row>
    <row r="10" spans="1:5" x14ac:dyDescent="0.25">
      <c r="A10" s="1">
        <f t="shared" ca="1" si="0"/>
        <v>46055</v>
      </c>
      <c r="B10">
        <f ca="1">SUMIFS(Tabela1[Ativa (kwh)],Tabela1[data],A10)</f>
        <v>13443.359999999999</v>
      </c>
      <c r="C10">
        <f ca="1">SUMIFS(Tabela1[Reativa (kvarh)],Tabela1[data],A10)</f>
        <v>2128.14</v>
      </c>
      <c r="D10">
        <f t="shared" ca="1" si="5"/>
        <v>13.443359999999998</v>
      </c>
      <c r="E10">
        <f t="shared" ca="1" si="6"/>
        <v>2.1281399999999997</v>
      </c>
    </row>
    <row r="11" spans="1:5" x14ac:dyDescent="0.25">
      <c r="A11" s="1">
        <f t="shared" ca="1" si="0"/>
        <v>46056</v>
      </c>
      <c r="B11">
        <f ca="1">SUMIFS(Tabela1[Ativa (kwh)],Tabela1[data],A11)</f>
        <v>14899.92</v>
      </c>
      <c r="C11">
        <f ca="1">SUMIFS(Tabela1[Reativa (kvarh)],Tabela1[data],A11)</f>
        <v>2819.4600000000005</v>
      </c>
      <c r="D11">
        <f t="shared" ca="1" si="5"/>
        <v>14.89992</v>
      </c>
      <c r="E11">
        <f t="shared" ca="1" si="6"/>
        <v>2.8194600000000003</v>
      </c>
    </row>
    <row r="12" spans="1:5" x14ac:dyDescent="0.25">
      <c r="A12" s="1">
        <f t="shared" ca="1" si="0"/>
        <v>46057</v>
      </c>
      <c r="B12">
        <f ca="1">SUMIFS(Tabela1[Ativa (kwh)],Tabela1[data],A12)</f>
        <v>13592.880000000001</v>
      </c>
      <c r="C12">
        <f ca="1">SUMIFS(Tabela1[Reativa (kvarh)],Tabela1[data],A12)</f>
        <v>2151.2400000000002</v>
      </c>
      <c r="D12">
        <f t="shared" ca="1" si="5"/>
        <v>13.592880000000001</v>
      </c>
      <c r="E12">
        <f t="shared" ca="1" si="6"/>
        <v>2.15124</v>
      </c>
    </row>
    <row r="13" spans="1:5" x14ac:dyDescent="0.25">
      <c r="A13" s="1">
        <f t="shared" ca="1" si="0"/>
        <v>46058</v>
      </c>
      <c r="B13">
        <f ca="1">SUMIFS(Tabela1[Ativa (kwh)],Tabela1[data],A13)</f>
        <v>14730.240000000003</v>
      </c>
      <c r="C13">
        <f ca="1">SUMIFS(Tabela1[Reativa (kvarh)],Tabela1[data],A13)</f>
        <v>2797.2</v>
      </c>
      <c r="D13">
        <f t="shared" ca="1" si="5"/>
        <v>14.730240000000004</v>
      </c>
      <c r="E13">
        <f t="shared" ca="1" si="6"/>
        <v>2.7971999999999997</v>
      </c>
    </row>
    <row r="14" spans="1:5" x14ac:dyDescent="0.25">
      <c r="A14" s="1">
        <f t="shared" ref="A14:A20" ca="1" si="7">A15-1</f>
        <v>46059</v>
      </c>
      <c r="B14">
        <f ca="1">SUMIFS(Tabela1[Ativa (kwh)],Tabela1[data],A14)</f>
        <v>14102.339999999998</v>
      </c>
      <c r="C14">
        <f ca="1">SUMIFS(Tabela1[Reativa (kvarh)],Tabela1[data],A14)</f>
        <v>2479.6800000000003</v>
      </c>
      <c r="D14">
        <f t="shared" ca="1" si="5"/>
        <v>14.102339999999998</v>
      </c>
      <c r="E14">
        <f t="shared" ca="1" si="6"/>
        <v>2.4796800000000001</v>
      </c>
    </row>
    <row r="15" spans="1:5" x14ac:dyDescent="0.25">
      <c r="A15" s="1">
        <f t="shared" ca="1" si="7"/>
        <v>46060</v>
      </c>
      <c r="B15">
        <f ca="1">SUMIFS(Tabela1[Ativa (kwh)],Tabela1[data],A15)</f>
        <v>14551.739999999998</v>
      </c>
      <c r="C15">
        <f ca="1">SUMIFS(Tabela1[Reativa (kvarh)],Tabela1[data],A15)</f>
        <v>2609.46</v>
      </c>
      <c r="D15">
        <f t="shared" ca="1" si="5"/>
        <v>14.551739999999999</v>
      </c>
      <c r="E15">
        <f t="shared" ca="1" si="6"/>
        <v>2.6094599999999999</v>
      </c>
    </row>
    <row r="16" spans="1:5" x14ac:dyDescent="0.25">
      <c r="A16" s="1">
        <f t="shared" ca="1" si="7"/>
        <v>46061</v>
      </c>
      <c r="B16">
        <f ca="1">SUMIFS(Tabela1[Ativa (kwh)],Tabela1[data],A16)</f>
        <v>10849.439999999999</v>
      </c>
      <c r="C16">
        <f ca="1">SUMIFS(Tabela1[Reativa (kvarh)],Tabela1[data],A16)</f>
        <v>1142.82</v>
      </c>
      <c r="D16">
        <f t="shared" ca="1" si="5"/>
        <v>10.84944</v>
      </c>
      <c r="E16">
        <f t="shared" ca="1" si="6"/>
        <v>1.1428199999999999</v>
      </c>
    </row>
    <row r="17" spans="1:5" x14ac:dyDescent="0.25">
      <c r="A17" s="1">
        <f t="shared" ca="1" si="7"/>
        <v>46062</v>
      </c>
      <c r="B17">
        <f ca="1">SUMIFS(Tabela1[Ativa (kwh)],Tabela1[data],A17)</f>
        <v>13959.96</v>
      </c>
      <c r="C17">
        <f ca="1">SUMIFS(Tabela1[Reativa (kvarh)],Tabela1[data],A17)</f>
        <v>2362.08</v>
      </c>
      <c r="D17">
        <f t="shared" ca="1" si="5"/>
        <v>13.959959999999999</v>
      </c>
      <c r="E17">
        <f t="shared" ca="1" si="6"/>
        <v>2.3620799999999997</v>
      </c>
    </row>
    <row r="18" spans="1:5" x14ac:dyDescent="0.25">
      <c r="A18" s="1">
        <f t="shared" ca="1" si="7"/>
        <v>46063</v>
      </c>
      <c r="B18">
        <f ca="1">SUMIFS(Tabela1[Ativa (kwh)],Tabela1[data],A18)</f>
        <v>13565.580000000002</v>
      </c>
      <c r="C18">
        <f ca="1">SUMIFS(Tabela1[Reativa (kvarh)],Tabela1[data],A18)</f>
        <v>2019.3600000000001</v>
      </c>
      <c r="D18">
        <f t="shared" ca="1" si="5"/>
        <v>13.565580000000002</v>
      </c>
      <c r="E18">
        <f t="shared" ca="1" si="6"/>
        <v>2.0193600000000003</v>
      </c>
    </row>
    <row r="19" spans="1:5" x14ac:dyDescent="0.25">
      <c r="A19" s="1">
        <f t="shared" ca="1" si="7"/>
        <v>46064</v>
      </c>
      <c r="B19">
        <f ca="1">SUMIFS(Tabela1[Ativa (kwh)],Tabela1[data],A19)</f>
        <v>14547.119999999999</v>
      </c>
      <c r="C19">
        <f ca="1">SUMIFS(Tabela1[Reativa (kvarh)],Tabela1[data],A19)</f>
        <v>2474.6400000000003</v>
      </c>
      <c r="D19">
        <f t="shared" ca="1" si="5"/>
        <v>14.54712</v>
      </c>
      <c r="E19">
        <f t="shared" ca="1" si="6"/>
        <v>2.4746400000000004</v>
      </c>
    </row>
    <row r="20" spans="1:5" x14ac:dyDescent="0.25">
      <c r="A20" s="1">
        <f t="shared" ca="1" si="7"/>
        <v>46065</v>
      </c>
      <c r="B20">
        <f ca="1">SUMIFS(Tabela1[Ativa (kwh)],Tabela1[data],A20)</f>
        <v>14613.9</v>
      </c>
      <c r="C20">
        <f ca="1">SUMIFS(Tabela1[Reativa (kvarh)],Tabela1[data],A20)</f>
        <v>2491.8599999999997</v>
      </c>
      <c r="D20">
        <f t="shared" ca="1" si="5"/>
        <v>14.613899999999999</v>
      </c>
      <c r="E20">
        <f t="shared" ca="1" si="6"/>
        <v>2.4918599999999995</v>
      </c>
    </row>
    <row r="21" spans="1:5" x14ac:dyDescent="0.25">
      <c r="A21" s="1">
        <f t="shared" ref="A21:A26" ca="1" si="8">A22-1</f>
        <v>46066</v>
      </c>
      <c r="B21">
        <f ca="1">SUMIFS(Tabela1[Ativa (kwh)],Tabela1[data],A21)</f>
        <v>15783.6</v>
      </c>
      <c r="C21">
        <f ca="1">SUMIFS(Tabela1[Reativa (kvarh)],Tabela1[data],A21)</f>
        <v>3041.2200000000003</v>
      </c>
      <c r="D21">
        <f ca="1">B21/1000</f>
        <v>15.7836</v>
      </c>
      <c r="E21">
        <f ca="1">C21/1000</f>
        <v>3.04122</v>
      </c>
    </row>
    <row r="22" spans="1:5" x14ac:dyDescent="0.25">
      <c r="A22" s="1">
        <f t="shared" ca="1" si="8"/>
        <v>46067</v>
      </c>
      <c r="B22">
        <f ca="1">SUMIFS(Tabela1[Ativa (kwh)],Tabela1[data],A22)</f>
        <v>14310.24</v>
      </c>
      <c r="C22">
        <f ca="1">SUMIFS(Tabela1[Reativa (kvarh)],Tabela1[data],A22)</f>
        <v>2245.3199999999997</v>
      </c>
      <c r="D22">
        <f t="shared" ref="D22:D30" ca="1" si="9">B22/1000</f>
        <v>14.31024</v>
      </c>
      <c r="E22">
        <f t="shared" ref="E22:E30" ca="1" si="10">C22/1000</f>
        <v>2.2453199999999995</v>
      </c>
    </row>
    <row r="23" spans="1:5" x14ac:dyDescent="0.25">
      <c r="A23" s="1">
        <f t="shared" ca="1" si="8"/>
        <v>46068</v>
      </c>
      <c r="B23">
        <f ca="1">SUMIFS(Tabela1[Ativa (kwh)],Tabela1[data],A23)</f>
        <v>13153.559999999998</v>
      </c>
      <c r="C23">
        <f ca="1">SUMIFS(Tabela1[Reativa (kvarh)],Tabela1[data],A23)</f>
        <v>2066.8200000000002</v>
      </c>
      <c r="D23">
        <f t="shared" ca="1" si="9"/>
        <v>13.153559999999997</v>
      </c>
      <c r="E23">
        <f t="shared" ca="1" si="10"/>
        <v>2.0668200000000003</v>
      </c>
    </row>
    <row r="24" spans="1:5" x14ac:dyDescent="0.25">
      <c r="A24" s="1">
        <f t="shared" ca="1" si="8"/>
        <v>46069</v>
      </c>
      <c r="B24">
        <f ca="1">SUMIFS(Tabela1[Ativa (kwh)],Tabela1[data],A24)</f>
        <v>14484.960000000001</v>
      </c>
      <c r="C24">
        <f ca="1">SUMIFS(Tabela1[Reativa (kvarh)],Tabela1[data],A24)</f>
        <v>2625.84</v>
      </c>
      <c r="D24">
        <f t="shared" ca="1" si="9"/>
        <v>14.484960000000001</v>
      </c>
      <c r="E24">
        <f t="shared" ca="1" si="10"/>
        <v>2.6258400000000002</v>
      </c>
    </row>
    <row r="25" spans="1:5" x14ac:dyDescent="0.25">
      <c r="A25" s="1">
        <f t="shared" ca="1" si="8"/>
        <v>46070</v>
      </c>
      <c r="B25">
        <f ca="1">SUMIFS(Tabela1[Ativa (kwh)],Tabela1[data],A25)</f>
        <v>13996.499999999995</v>
      </c>
      <c r="C25">
        <f ca="1">SUMIFS(Tabela1[Reativa (kvarh)],Tabela1[data],A25)</f>
        <v>2766.96</v>
      </c>
      <c r="D25">
        <f t="shared" ca="1" si="9"/>
        <v>13.996499999999994</v>
      </c>
      <c r="E25">
        <f t="shared" ca="1" si="10"/>
        <v>2.7669600000000001</v>
      </c>
    </row>
    <row r="26" spans="1:5" x14ac:dyDescent="0.25">
      <c r="A26" s="1">
        <f t="shared" ca="1" si="8"/>
        <v>46071</v>
      </c>
      <c r="B26">
        <f ca="1">SUMIFS(Tabela1[Ativa (kwh)],Tabela1[data],A26)</f>
        <v>14146.859999999997</v>
      </c>
      <c r="C26">
        <f ca="1">SUMIFS(Tabela1[Reativa (kvarh)],Tabela1[data],A26)</f>
        <v>2533.86</v>
      </c>
      <c r="D26">
        <f t="shared" ca="1" si="9"/>
        <v>14.146859999999997</v>
      </c>
      <c r="E26">
        <f t="shared" ca="1" si="10"/>
        <v>2.5338600000000002</v>
      </c>
    </row>
    <row r="27" spans="1:5" x14ac:dyDescent="0.25">
      <c r="A27" s="1">
        <f ca="1">A28-1</f>
        <v>46072</v>
      </c>
      <c r="B27">
        <f ca="1">SUMIFS(Tabela1[Ativa (kwh)],Tabela1[data],A27)</f>
        <v>15716.400000000001</v>
      </c>
      <c r="C27">
        <f ca="1">SUMIFS(Tabela1[Reativa (kvarh)],Tabela1[data],A27)</f>
        <v>3582.6000000000004</v>
      </c>
      <c r="D27">
        <f t="shared" ca="1" si="9"/>
        <v>15.716400000000002</v>
      </c>
      <c r="E27">
        <f t="shared" ca="1" si="10"/>
        <v>3.5826000000000002</v>
      </c>
    </row>
    <row r="28" spans="1:5" x14ac:dyDescent="0.25">
      <c r="A28" s="1">
        <f ca="1">A29-1</f>
        <v>46073</v>
      </c>
      <c r="B28">
        <f ca="1">SUMIFS(Tabela1[Ativa (kwh)],Tabela1[data],A28)</f>
        <v>15205.68</v>
      </c>
      <c r="C28">
        <f ca="1">SUMIFS(Tabela1[Reativa (kvarh)],Tabela1[data],A28)</f>
        <v>3071.0400000000004</v>
      </c>
      <c r="D28">
        <f t="shared" ca="1" si="9"/>
        <v>15.205680000000001</v>
      </c>
      <c r="E28">
        <f t="shared" ca="1" si="10"/>
        <v>3.0710400000000004</v>
      </c>
    </row>
    <row r="29" spans="1:5" x14ac:dyDescent="0.25">
      <c r="A29" s="1">
        <f ca="1">A30-1</f>
        <v>46074</v>
      </c>
      <c r="B29">
        <f ca="1">SUMIFS(Tabela1[Ativa (kwh)],Tabela1[data],A29)</f>
        <v>15608.880000000001</v>
      </c>
      <c r="C29">
        <f ca="1">SUMIFS(Tabela1[Reativa (kvarh)],Tabela1[data],A29)</f>
        <v>3656.52</v>
      </c>
      <c r="D29">
        <f t="shared" ca="1" si="9"/>
        <v>15.608880000000001</v>
      </c>
      <c r="E29">
        <f t="shared" ca="1" si="10"/>
        <v>3.65652</v>
      </c>
    </row>
    <row r="30" spans="1:5" x14ac:dyDescent="0.25">
      <c r="A30" s="1">
        <f ca="1">TODAY()-1</f>
        <v>46075</v>
      </c>
      <c r="B30">
        <f ca="1">SUMIFS(Tabela1[Ativa (kwh)],Tabela1[data],A30)</f>
        <v>13204.8</v>
      </c>
      <c r="C30">
        <f ca="1">SUMIFS(Tabela1[Reativa (kvarh)],Tabela1[data],A30)</f>
        <v>2372.5800000000004</v>
      </c>
      <c r="D30">
        <f t="shared" ca="1" si="9"/>
        <v>13.204799999999999</v>
      </c>
      <c r="E30">
        <f t="shared" ca="1" si="10"/>
        <v>2.3725800000000006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46075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241.92</v>
      </c>
      <c r="D5" s="4">
        <f ca="1">C5/1000</f>
        <v>0.24192</v>
      </c>
    </row>
    <row r="6" spans="2:4" x14ac:dyDescent="0.25">
      <c r="B6" s="4">
        <v>2</v>
      </c>
      <c r="C6" s="4">
        <f ca="1">SUMIFS(Tabela1[Ativa (kwh)],Tabela1[data],$C$2,Tabela1[Hora],B6)</f>
        <v>225.54</v>
      </c>
      <c r="D6" s="4">
        <f t="shared" ref="D6:D28" ca="1" si="0">C6/1000</f>
        <v>0.22553999999999999</v>
      </c>
    </row>
    <row r="7" spans="2:4" x14ac:dyDescent="0.25">
      <c r="B7" s="4">
        <v>3</v>
      </c>
      <c r="C7" s="4">
        <f ca="1">SUMIFS(Tabela1[Ativa (kwh)],Tabela1[data],$C$2,Tabela1[Hora],B7)</f>
        <v>219.66</v>
      </c>
      <c r="D7" s="4">
        <f t="shared" ca="1" si="0"/>
        <v>0.21965999999999999</v>
      </c>
    </row>
    <row r="8" spans="2:4" x14ac:dyDescent="0.25">
      <c r="B8" s="4">
        <v>4</v>
      </c>
      <c r="C8" s="4">
        <f ca="1">SUMIFS(Tabela1[Ativa (kwh)],Tabela1[data],$C$2,Tabela1[Hora],B8)</f>
        <v>221.76</v>
      </c>
      <c r="D8" s="4">
        <f t="shared" ca="1" si="0"/>
        <v>0.22175999999999998</v>
      </c>
    </row>
    <row r="9" spans="2:4" x14ac:dyDescent="0.25">
      <c r="B9" s="4">
        <v>5</v>
      </c>
      <c r="C9" s="4">
        <f ca="1">SUMIFS(Tabela1[Ativa (kwh)],Tabela1[data],$C$2,Tabela1[Hora],B9)</f>
        <v>224.28</v>
      </c>
      <c r="D9" s="4">
        <f t="shared" ca="1" si="0"/>
        <v>0.22428000000000001</v>
      </c>
    </row>
    <row r="10" spans="2:4" x14ac:dyDescent="0.25">
      <c r="B10" s="4">
        <v>6</v>
      </c>
      <c r="C10" s="4">
        <f ca="1">SUMIFS(Tabela1[Ativa (kwh)],Tabela1[data],$C$2,Tabela1[Hora],B10)</f>
        <v>217.14</v>
      </c>
      <c r="D10" s="4">
        <f t="shared" ca="1" si="0"/>
        <v>0.21714</v>
      </c>
    </row>
    <row r="11" spans="2:4" x14ac:dyDescent="0.25">
      <c r="B11" s="4">
        <v>7</v>
      </c>
      <c r="C11" s="4">
        <f ca="1">SUMIFS(Tabela1[Ativa (kwh)],Tabela1[data],$C$2,Tabela1[Hora],B11)</f>
        <v>220.5</v>
      </c>
      <c r="D11" s="4">
        <f t="shared" ca="1" si="0"/>
        <v>0.2205</v>
      </c>
    </row>
    <row r="12" spans="2:4" x14ac:dyDescent="0.25">
      <c r="B12" s="4">
        <v>8</v>
      </c>
      <c r="C12" s="4">
        <f ca="1">SUMIFS(Tabela1[Ativa (kwh)],Tabela1[data],$C$2,Tabela1[Hora],B12)</f>
        <v>220.5</v>
      </c>
      <c r="D12" s="4">
        <f t="shared" ca="1" si="0"/>
        <v>0.2205</v>
      </c>
    </row>
    <row r="13" spans="2:4" x14ac:dyDescent="0.25">
      <c r="B13" s="4">
        <v>9</v>
      </c>
      <c r="C13" s="4">
        <f ca="1">SUMIFS(Tabela1[Ativa (kwh)],Tabela1[data],$C$2,Tabela1[Hora],B13)</f>
        <v>274.26</v>
      </c>
      <c r="D13" s="4">
        <f t="shared" ca="1" si="0"/>
        <v>0.27426</v>
      </c>
    </row>
    <row r="14" spans="2:4" x14ac:dyDescent="0.25">
      <c r="B14" s="4">
        <v>10</v>
      </c>
      <c r="C14" s="4">
        <f ca="1">SUMIFS(Tabela1[Ativa (kwh)],Tabela1[data],$C$2,Tabela1[Hora],B14)</f>
        <v>346.5</v>
      </c>
      <c r="D14" s="4">
        <f t="shared" ca="1" si="0"/>
        <v>0.34649999999999997</v>
      </c>
    </row>
    <row r="15" spans="2:4" x14ac:dyDescent="0.25">
      <c r="B15" s="4">
        <v>11</v>
      </c>
      <c r="C15" s="4">
        <f ca="1">SUMIFS(Tabela1[Ativa (kwh)],Tabela1[data],$C$2,Tabela1[Hora],B15)</f>
        <v>663.18</v>
      </c>
      <c r="D15" s="4">
        <f t="shared" ca="1" si="0"/>
        <v>0.66317999999999999</v>
      </c>
    </row>
    <row r="16" spans="2:4" x14ac:dyDescent="0.25">
      <c r="B16" s="4">
        <v>12</v>
      </c>
      <c r="C16" s="4">
        <f ca="1">SUMIFS(Tabela1[Ativa (kwh)],Tabela1[data],$C$2,Tabela1[Hora],B16)</f>
        <v>763.56</v>
      </c>
      <c r="D16" s="4">
        <f t="shared" ca="1" si="0"/>
        <v>0.76355999999999991</v>
      </c>
    </row>
    <row r="17" spans="2:4" x14ac:dyDescent="0.25">
      <c r="B17" s="4">
        <v>13</v>
      </c>
      <c r="C17" s="4">
        <f ca="1">SUMIFS(Tabela1[Ativa (kwh)],Tabela1[data],$C$2,Tabela1[Hora],B17)</f>
        <v>858.48</v>
      </c>
      <c r="D17" s="4">
        <f t="shared" ca="1" si="0"/>
        <v>0.85848000000000002</v>
      </c>
    </row>
    <row r="18" spans="2:4" x14ac:dyDescent="0.25">
      <c r="B18" s="4">
        <v>14</v>
      </c>
      <c r="C18" s="4">
        <f ca="1">SUMIFS(Tabela1[Ativa (kwh)],Tabela1[data],$C$2,Tabela1[Hora],B18)</f>
        <v>929.04</v>
      </c>
      <c r="D18" s="4">
        <f t="shared" ca="1" si="0"/>
        <v>0.92903999999999998</v>
      </c>
    </row>
    <row r="19" spans="2:4" x14ac:dyDescent="0.25">
      <c r="B19" s="4">
        <v>15</v>
      </c>
      <c r="C19" s="4">
        <f ca="1">SUMIFS(Tabela1[Ativa (kwh)],Tabela1[data],$C$2,Tabela1[Hora],B19)</f>
        <v>958.86</v>
      </c>
      <c r="D19" s="4">
        <f t="shared" ca="1" si="0"/>
        <v>0.95886000000000005</v>
      </c>
    </row>
    <row r="20" spans="2:4" x14ac:dyDescent="0.25">
      <c r="B20" s="4">
        <v>16</v>
      </c>
      <c r="C20" s="4">
        <f ca="1">SUMIFS(Tabela1[Ativa (kwh)],Tabela1[data],$C$2,Tabela1[Hora],B20)</f>
        <v>948.78</v>
      </c>
      <c r="D20" s="4">
        <f t="shared" ca="1" si="0"/>
        <v>0.94877999999999996</v>
      </c>
    </row>
    <row r="21" spans="2:4" x14ac:dyDescent="0.25">
      <c r="B21" s="4">
        <v>17</v>
      </c>
      <c r="C21" s="4">
        <f ca="1">SUMIFS(Tabela1[Ativa (kwh)],Tabela1[data],$C$2,Tabela1[Hora],B21)</f>
        <v>937.44</v>
      </c>
      <c r="D21" s="4">
        <f t="shared" ca="1" si="0"/>
        <v>0.93744000000000005</v>
      </c>
    </row>
    <row r="22" spans="2:4" x14ac:dyDescent="0.25">
      <c r="B22" s="4">
        <v>18</v>
      </c>
      <c r="C22" s="4">
        <f ca="1">SUMIFS(Tabela1[Ativa (kwh)],Tabela1[data],$C$2,Tabela1[Hora],B22)</f>
        <v>914.34</v>
      </c>
      <c r="D22" s="4">
        <f t="shared" ca="1" si="0"/>
        <v>0.91434000000000004</v>
      </c>
    </row>
    <row r="23" spans="2:4" x14ac:dyDescent="0.25">
      <c r="B23" s="4">
        <v>19</v>
      </c>
      <c r="C23" s="4">
        <f ca="1">SUMIFS(Tabela1[Ativa (kwh)],Tabela1[data],$C$2,Tabela1[Hora],B23)</f>
        <v>902.16</v>
      </c>
      <c r="D23" s="4">
        <f t="shared" ca="1" si="0"/>
        <v>0.90215999999999996</v>
      </c>
    </row>
    <row r="24" spans="2:4" x14ac:dyDescent="0.25">
      <c r="B24" s="4">
        <v>20</v>
      </c>
      <c r="C24" s="4">
        <f ca="1">SUMIFS(Tabela1[Ativa (kwh)],Tabela1[data],$C$2,Tabela1[Hora],B24)</f>
        <v>889.14</v>
      </c>
      <c r="D24" s="4">
        <f t="shared" ca="1" si="0"/>
        <v>0.88914000000000004</v>
      </c>
    </row>
    <row r="25" spans="2:4" x14ac:dyDescent="0.25">
      <c r="B25" s="4">
        <v>21</v>
      </c>
      <c r="C25" s="4">
        <f ca="1">SUMIFS(Tabela1[Ativa (kwh)],Tabela1[data],$C$2,Tabela1[Hora],B25)</f>
        <v>811.02</v>
      </c>
      <c r="D25" s="4">
        <f t="shared" ca="1" si="0"/>
        <v>0.81101999999999996</v>
      </c>
    </row>
    <row r="26" spans="2:4" x14ac:dyDescent="0.25">
      <c r="B26" s="4">
        <v>22</v>
      </c>
      <c r="C26" s="4">
        <f ca="1">SUMIFS(Tabela1[Ativa (kwh)],Tabela1[data],$C$2,Tabela1[Hora],B26)</f>
        <v>615.72</v>
      </c>
      <c r="D26" s="4">
        <f t="shared" ca="1" si="0"/>
        <v>0.61572000000000005</v>
      </c>
    </row>
    <row r="27" spans="2:4" x14ac:dyDescent="0.25">
      <c r="B27" s="4">
        <v>23</v>
      </c>
      <c r="C27" s="4">
        <f ca="1">SUMIFS(Tabela1[Ativa (kwh)],Tabela1[data],$C$2,Tabela1[Hora],B27)</f>
        <v>325.08</v>
      </c>
      <c r="D27" s="4">
        <f t="shared" ca="1" si="0"/>
        <v>0.32507999999999998</v>
      </c>
    </row>
    <row r="28" spans="2:4" x14ac:dyDescent="0.25">
      <c r="B28" s="4">
        <v>24</v>
      </c>
      <c r="C28" s="4">
        <f ca="1">SUMIFS(Tabela1[Ativa (kwh)],Tabela1[data],$C$2,Tabela1[Hora],B28)</f>
        <v>275.94</v>
      </c>
      <c r="D28" s="4">
        <f t="shared" ca="1" si="0"/>
        <v>0.27594000000000002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tabSelected="1" workbookViewId="0">
      <selection activeCell="H8" sqref="H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310888.20000000024</v>
      </c>
      <c r="E15">
        <f>D15/1000</f>
        <v>310.88820000000027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3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2026-02-23T14:07:37Z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