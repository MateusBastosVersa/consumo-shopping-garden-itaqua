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33" documentId="8_{8D12E28F-71B1-4F28-B6C5-4462CC8675C5}" xr6:coauthVersionLast="47" xr6:coauthVersionMax="47" xr10:uidLastSave="{B61E2924-C81B-4770-BE12-080736E45E38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" l="1"/>
  <c r="B15" i="4"/>
  <c r="D15" i="4" s="1"/>
  <c r="E15" i="4" s="1"/>
  <c r="I9553" i="1"/>
  <c r="H9553" i="1"/>
  <c r="I9552" i="1"/>
  <c r="H9552" i="1"/>
  <c r="I9551" i="1"/>
  <c r="H9551" i="1"/>
  <c r="I9550" i="1"/>
  <c r="H9550" i="1"/>
  <c r="I9549" i="1"/>
  <c r="H9549" i="1"/>
  <c r="I9548" i="1"/>
  <c r="H9548" i="1"/>
  <c r="I9547" i="1"/>
  <c r="H9547" i="1"/>
  <c r="I9546" i="1"/>
  <c r="H9546" i="1"/>
  <c r="I9545" i="1"/>
  <c r="H9545" i="1"/>
  <c r="I9544" i="1"/>
  <c r="H9544" i="1"/>
  <c r="I9543" i="1"/>
  <c r="H9543" i="1"/>
  <c r="I9542" i="1"/>
  <c r="H9542" i="1"/>
  <c r="I9541" i="1"/>
  <c r="H9541" i="1"/>
  <c r="I9540" i="1"/>
  <c r="H9540" i="1"/>
  <c r="I9539" i="1"/>
  <c r="H9539" i="1"/>
  <c r="I9538" i="1"/>
  <c r="H9538" i="1"/>
  <c r="I9537" i="1"/>
  <c r="H9537" i="1"/>
  <c r="I9536" i="1"/>
  <c r="H9536" i="1"/>
  <c r="I9535" i="1"/>
  <c r="H9535" i="1"/>
  <c r="I9534" i="1"/>
  <c r="H9534" i="1"/>
  <c r="I9533" i="1"/>
  <c r="H9533" i="1"/>
  <c r="I9532" i="1"/>
  <c r="H9532" i="1"/>
  <c r="I9531" i="1"/>
  <c r="H9531" i="1"/>
  <c r="I9530" i="1"/>
  <c r="H9530" i="1"/>
  <c r="I9529" i="1"/>
  <c r="H9529" i="1"/>
  <c r="I9528" i="1"/>
  <c r="H9528" i="1"/>
  <c r="I9527" i="1"/>
  <c r="H9527" i="1"/>
  <c r="I9526" i="1"/>
  <c r="H9526" i="1"/>
  <c r="I9525" i="1"/>
  <c r="H9525" i="1"/>
  <c r="I9524" i="1"/>
  <c r="H9524" i="1"/>
  <c r="I9523" i="1"/>
  <c r="H9523" i="1"/>
  <c r="I9522" i="1"/>
  <c r="H9522" i="1"/>
  <c r="I9521" i="1"/>
  <c r="H9521" i="1"/>
  <c r="I9520" i="1"/>
  <c r="H9520" i="1"/>
  <c r="I9519" i="1"/>
  <c r="H9519" i="1"/>
  <c r="I9518" i="1"/>
  <c r="H9518" i="1"/>
  <c r="I9517" i="1"/>
  <c r="H9517" i="1"/>
  <c r="I9516" i="1"/>
  <c r="H9516" i="1"/>
  <c r="I9515" i="1"/>
  <c r="H9515" i="1"/>
  <c r="I9514" i="1"/>
  <c r="H9514" i="1"/>
  <c r="I9513" i="1"/>
  <c r="H9513" i="1"/>
  <c r="I9512" i="1"/>
  <c r="H9512" i="1"/>
  <c r="I9511" i="1"/>
  <c r="H9511" i="1"/>
  <c r="I9510" i="1"/>
  <c r="H9510" i="1"/>
  <c r="I9509" i="1"/>
  <c r="H9509" i="1"/>
  <c r="I9508" i="1"/>
  <c r="H9508" i="1"/>
  <c r="I9507" i="1"/>
  <c r="H9507" i="1"/>
  <c r="I9506" i="1"/>
  <c r="H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<sst xmlns="http://schemas.openxmlformats.org/spreadsheetml/2006/main" count="36695" uniqueCount="44">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</sst>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opLeftCell="A9508" workbookViewId="0">
      <selection activeCell="A9553" sqref="A9553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B9554" s="1"/>
      <c r="H9554" s="5"/>
    </row>
    <row r="9555" spans="1:9" x14ac:dyDescent="0.25">
      <c r="B9555" s="1"/>
      <c r="H9555" s="5"/>
    </row>
    <row r="9556" spans="1:9" x14ac:dyDescent="0.25">
      <c r="B9556" s="1"/>
      <c r="H9556" s="5"/>
    </row>
    <row r="9557" spans="1:9" x14ac:dyDescent="0.25">
      <c r="B9557" s="1"/>
      <c r="H9557" s="5"/>
    </row>
    <row r="9558" spans="1:9" x14ac:dyDescent="0.25">
      <c r="B9558" s="1"/>
      <c r="H9558" s="5"/>
    </row>
    <row r="9559" spans="1:9" x14ac:dyDescent="0.25">
      <c r="B9559" s="1"/>
      <c r="H9559" s="5"/>
    </row>
    <row r="9560" spans="1:9" x14ac:dyDescent="0.25">
      <c r="B9560" s="1"/>
      <c r="H9560" s="5"/>
    </row>
    <row r="9561" spans="1:9" x14ac:dyDescent="0.25">
      <c r="B9561" s="1"/>
      <c r="H9561" s="5"/>
    </row>
    <row r="9562" spans="1:9" x14ac:dyDescent="0.25">
      <c r="B9562" s="1"/>
      <c r="H9562" s="5"/>
    </row>
    <row r="9563" spans="1:9" x14ac:dyDescent="0.25">
      <c r="B9563" s="1"/>
      <c r="H9563" s="5"/>
    </row>
    <row r="9564" spans="1:9" x14ac:dyDescent="0.25">
      <c r="B9564" s="1"/>
      <c r="H9564" s="5"/>
    </row>
    <row r="9565" spans="1:9" x14ac:dyDescent="0.25">
      <c r="B9565" s="1"/>
      <c r="H9565" s="5"/>
    </row>
    <row r="9566" spans="1:9" x14ac:dyDescent="0.25">
      <c r="B9566" s="1"/>
      <c r="H9566" s="5"/>
    </row>
    <row r="9567" spans="1:9" x14ac:dyDescent="0.25">
      <c r="B9567" s="1"/>
      <c r="H9567" s="5"/>
    </row>
    <row r="9568" spans="1:9" x14ac:dyDescent="0.25">
      <c r="B9568" s="1"/>
      <c r="H9568" s="5"/>
    </row>
    <row r="9569" spans="2:8" x14ac:dyDescent="0.25">
      <c r="B9569" s="1"/>
      <c r="H9569" s="5"/>
    </row>
    <row r="9570" spans="2:8" x14ac:dyDescent="0.25">
      <c r="B9570" s="1"/>
      <c r="H9570" s="5"/>
    </row>
    <row r="9571" spans="2:8" x14ac:dyDescent="0.25">
      <c r="B9571" s="1"/>
      <c r="H9571" s="5"/>
    </row>
    <row r="9572" spans="2:8" x14ac:dyDescent="0.25">
      <c r="B9572" s="1"/>
      <c r="H9572" s="5"/>
    </row>
    <row r="9573" spans="2:8" x14ac:dyDescent="0.25">
      <c r="B9573" s="1"/>
      <c r="H9573" s="5"/>
    </row>
    <row r="9574" spans="2:8" x14ac:dyDescent="0.25">
      <c r="B9574" s="1"/>
      <c r="H9574" s="5"/>
    </row>
    <row r="9575" spans="2:8" x14ac:dyDescent="0.25">
      <c r="B9575" s="1"/>
      <c r="H9575" s="5"/>
    </row>
    <row r="9576" spans="2:8" x14ac:dyDescent="0.25">
      <c r="B9576" s="1"/>
      <c r="H9576" s="5"/>
    </row>
    <row r="9577" spans="2:8" x14ac:dyDescent="0.25">
      <c r="B9577" s="1"/>
      <c r="H9577" s="5"/>
    </row>
    <row r="9578" spans="2:8" x14ac:dyDescent="0.25">
      <c r="B9578" s="1"/>
      <c r="H9578" s="5"/>
    </row>
    <row r="9579" spans="2:8" x14ac:dyDescent="0.25">
      <c r="B9579" s="1"/>
      <c r="H9579" s="5"/>
    </row>
    <row r="9580" spans="2:8" x14ac:dyDescent="0.25">
      <c r="B9580" s="1"/>
      <c r="H9580" s="5"/>
    </row>
    <row r="9581" spans="2:8" x14ac:dyDescent="0.25">
      <c r="B9581" s="1"/>
      <c r="H9581" s="5"/>
    </row>
    <row r="9582" spans="2:8" x14ac:dyDescent="0.25">
      <c r="B9582" s="1"/>
      <c r="H9582" s="5"/>
    </row>
    <row r="9583" spans="2:8" x14ac:dyDescent="0.25">
      <c r="B9583" s="1"/>
      <c r="H9583" s="5"/>
    </row>
    <row r="9584" spans="2:8" x14ac:dyDescent="0.25">
      <c r="B9584" s="1"/>
      <c r="H9584" s="5"/>
    </row>
    <row r="9585" spans="2:8" x14ac:dyDescent="0.25">
      <c r="B9585" s="1"/>
      <c r="H9585" s="5"/>
    </row>
    <row r="9586" spans="2:8" x14ac:dyDescent="0.25">
      <c r="B9586" s="1"/>
      <c r="H9586" s="5"/>
    </row>
    <row r="9587" spans="2:8" x14ac:dyDescent="0.25">
      <c r="B9587" s="1"/>
      <c r="H9587" s="5"/>
    </row>
    <row r="9588" spans="2:8" x14ac:dyDescent="0.25">
      <c r="B9588" s="1"/>
      <c r="H9588" s="5"/>
    </row>
    <row r="9589" spans="2:8" x14ac:dyDescent="0.25">
      <c r="B9589" s="1"/>
      <c r="H9589" s="5"/>
    </row>
    <row r="9590" spans="2:8" x14ac:dyDescent="0.25">
      <c r="B9590" s="1"/>
      <c r="H9590" s="5"/>
    </row>
    <row r="9591" spans="2:8" x14ac:dyDescent="0.25">
      <c r="B9591" s="1"/>
      <c r="H9591" s="5"/>
    </row>
    <row r="9592" spans="2:8" x14ac:dyDescent="0.25">
      <c r="B9592" s="1"/>
      <c r="H9592" s="5"/>
    </row>
    <row r="9593" spans="2:8" x14ac:dyDescent="0.25">
      <c r="B9593" s="1"/>
      <c r="H9593" s="5"/>
    </row>
    <row r="9594" spans="2:8" x14ac:dyDescent="0.25">
      <c r="B9594" s="1"/>
      <c r="H9594" s="5"/>
    </row>
    <row r="9595" spans="2:8" x14ac:dyDescent="0.25">
      <c r="B9595" s="1"/>
      <c r="H9595" s="5"/>
    </row>
    <row r="9596" spans="2:8" x14ac:dyDescent="0.25">
      <c r="B9596" s="1"/>
      <c r="H9596" s="5"/>
    </row>
    <row r="9597" spans="2:8" x14ac:dyDescent="0.25">
      <c r="B9597" s="1"/>
      <c r="H9597" s="5"/>
    </row>
    <row r="9598" spans="2:8" x14ac:dyDescent="0.25">
      <c r="B9598" s="1"/>
      <c r="H9598" s="5"/>
    </row>
    <row r="9599" spans="2:8" x14ac:dyDescent="0.25">
      <c r="B9599" s="1"/>
      <c r="H9599" s="5"/>
    </row>
    <row r="9600" spans="2:8" x14ac:dyDescent="0.25">
      <c r="B9600" s="1"/>
      <c r="H9600" s="5"/>
    </row>
    <row r="9601" spans="2:8" x14ac:dyDescent="0.25">
      <c r="B9601" s="1"/>
      <c r="H9601" s="5"/>
    </row>
    <row r="9602" spans="2:8" x14ac:dyDescent="0.25">
      <c r="B9602" s="1"/>
      <c r="H9602" s="5"/>
    </row>
    <row r="9603" spans="2:8" x14ac:dyDescent="0.25">
      <c r="B9603" s="1"/>
      <c r="H9603" s="5"/>
    </row>
    <row r="9604" spans="2:8" x14ac:dyDescent="0.25">
      <c r="B9604" s="1"/>
      <c r="H9604" s="5"/>
    </row>
    <row r="9605" spans="2:8" x14ac:dyDescent="0.25">
      <c r="B9605" s="1"/>
      <c r="H9605" s="5"/>
    </row>
    <row r="9606" spans="2:8" x14ac:dyDescent="0.25">
      <c r="B9606" s="1"/>
      <c r="H9606" s="5"/>
    </row>
    <row r="9607" spans="2:8" x14ac:dyDescent="0.25">
      <c r="B9607" s="1"/>
      <c r="H9607" s="5"/>
    </row>
    <row r="9608" spans="2:8" x14ac:dyDescent="0.25">
      <c r="B9608" s="1"/>
      <c r="H9608" s="5"/>
    </row>
    <row r="9609" spans="2:8" x14ac:dyDescent="0.25">
      <c r="B9609" s="1"/>
      <c r="H9609" s="5"/>
    </row>
    <row r="9610" spans="2:8" x14ac:dyDescent="0.25">
      <c r="B9610" s="1"/>
      <c r="H9610" s="5"/>
    </row>
    <row r="9611" spans="2:8" x14ac:dyDescent="0.25">
      <c r="B9611" s="1"/>
      <c r="H9611" s="5"/>
    </row>
    <row r="9612" spans="2:8" x14ac:dyDescent="0.25">
      <c r="B9612" s="1"/>
      <c r="H9612" s="5"/>
    </row>
    <row r="9613" spans="2:8" x14ac:dyDescent="0.25">
      <c r="B9613" s="1"/>
      <c r="H9613" s="5"/>
    </row>
    <row r="9614" spans="2:8" x14ac:dyDescent="0.25">
      <c r="B9614" s="1"/>
      <c r="H9614" s="5"/>
    </row>
    <row r="9615" spans="2:8" x14ac:dyDescent="0.25">
      <c r="B9615" s="1"/>
      <c r="H9615" s="5"/>
    </row>
    <row r="9616" spans="2:8" x14ac:dyDescent="0.25">
      <c r="B9616" s="1"/>
      <c r="H9616" s="5"/>
    </row>
    <row r="9617" spans="2:8" x14ac:dyDescent="0.25">
      <c r="B9617" s="1"/>
      <c r="H9617" s="5"/>
    </row>
    <row r="9618" spans="2:8" x14ac:dyDescent="0.25">
      <c r="B9618" s="1"/>
      <c r="H9618" s="5"/>
    </row>
    <row r="9619" spans="2:8" x14ac:dyDescent="0.25">
      <c r="B9619" s="1"/>
      <c r="H9619" s="5"/>
    </row>
    <row r="9620" spans="2:8" x14ac:dyDescent="0.25">
      <c r="B9620" s="1"/>
      <c r="H9620" s="5"/>
    </row>
    <row r="9621" spans="2:8" x14ac:dyDescent="0.25">
      <c r="B9621" s="1"/>
      <c r="H9621" s="5"/>
    </row>
    <row r="9622" spans="2:8" x14ac:dyDescent="0.25">
      <c r="B9622" s="1"/>
      <c r="H9622" s="5"/>
    </row>
    <row r="9623" spans="2:8" x14ac:dyDescent="0.25">
      <c r="B9623" s="1"/>
      <c r="H9623" s="5"/>
    </row>
    <row r="9624" spans="2:8" x14ac:dyDescent="0.25">
      <c r="B9624" s="1"/>
      <c r="H9624" s="5"/>
    </row>
    <row r="9625" spans="2:8" x14ac:dyDescent="0.25">
      <c r="B9625" s="1"/>
      <c r="H9625" s="5"/>
    </row>
    <row r="9626" spans="2:8" x14ac:dyDescent="0.25">
      <c r="B9626" s="1"/>
      <c r="H9626" s="5"/>
    </row>
    <row r="9627" spans="2:8" x14ac:dyDescent="0.25">
      <c r="B9627" s="1"/>
      <c r="H9627" s="5"/>
    </row>
    <row r="9628" spans="2:8" x14ac:dyDescent="0.25">
      <c r="B9628" s="1"/>
      <c r="H9628" s="5"/>
    </row>
    <row r="9629" spans="2:8" x14ac:dyDescent="0.25">
      <c r="B9629" s="1"/>
      <c r="H9629" s="5"/>
    </row>
    <row r="9630" spans="2:8" x14ac:dyDescent="0.25">
      <c r="B9630" s="1"/>
      <c r="H9630" s="5"/>
    </row>
    <row r="9631" spans="2:8" x14ac:dyDescent="0.25">
      <c r="B9631" s="1"/>
      <c r="H9631" s="5"/>
    </row>
    <row r="9632" spans="2:8" x14ac:dyDescent="0.25">
      <c r="B9632" s="1"/>
      <c r="H9632" s="5"/>
    </row>
    <row r="9633" spans="2:8" x14ac:dyDescent="0.25">
      <c r="B9633" s="1"/>
      <c r="H9633" s="5"/>
    </row>
    <row r="9634" spans="2:8" x14ac:dyDescent="0.25">
      <c r="B9634" s="1"/>
      <c r="H9634" s="5"/>
    </row>
    <row r="9635" spans="2:8" x14ac:dyDescent="0.25">
      <c r="B9635" s="1"/>
      <c r="H9635" s="5"/>
    </row>
    <row r="9636" spans="2:8" x14ac:dyDescent="0.25">
      <c r="B9636" s="1"/>
      <c r="H9636" s="5"/>
    </row>
    <row r="9637" spans="2:8" x14ac:dyDescent="0.25">
      <c r="B9637" s="1"/>
      <c r="H9637" s="5"/>
    </row>
    <row r="9638" spans="2:8" x14ac:dyDescent="0.25">
      <c r="B9638" s="1"/>
      <c r="H9638" s="5"/>
    </row>
    <row r="9639" spans="2:8" x14ac:dyDescent="0.25">
      <c r="B9639" s="1"/>
      <c r="H9639" s="5"/>
    </row>
    <row r="9640" spans="2:8" x14ac:dyDescent="0.25">
      <c r="B9640" s="1"/>
      <c r="H9640" s="5"/>
    </row>
    <row r="9641" spans="2:8" x14ac:dyDescent="0.25">
      <c r="B9641" s="1"/>
      <c r="H9641" s="5"/>
    </row>
    <row r="9642" spans="2:8" x14ac:dyDescent="0.25">
      <c r="B9642" s="1"/>
      <c r="H9642" s="5"/>
    </row>
    <row r="9643" spans="2:8" x14ac:dyDescent="0.25">
      <c r="B9643" s="1"/>
      <c r="H9643" s="5"/>
    </row>
    <row r="9644" spans="2:8" x14ac:dyDescent="0.25">
      <c r="B9644" s="1"/>
      <c r="H9644" s="5"/>
    </row>
    <row r="9645" spans="2:8" x14ac:dyDescent="0.25">
      <c r="B9645" s="1"/>
      <c r="H9645" s="5"/>
    </row>
    <row r="9646" spans="2:8" x14ac:dyDescent="0.25">
      <c r="B9646" s="1"/>
      <c r="H9646" s="5"/>
    </row>
    <row r="9647" spans="2:8" x14ac:dyDescent="0.25">
      <c r="B9647" s="1"/>
      <c r="H9647" s="5"/>
    </row>
    <row r="9648" spans="2:8" x14ac:dyDescent="0.25">
      <c r="B9648" s="1"/>
      <c r="H9648" s="5"/>
    </row>
    <row r="9649" spans="2:8" x14ac:dyDescent="0.25">
      <c r="B9649" s="1"/>
      <c r="H9649" s="5"/>
    </row>
    <row r="9650" spans="2:8" x14ac:dyDescent="0.25">
      <c r="B9650" s="1"/>
      <c r="H9650" s="5"/>
    </row>
    <row r="9651" spans="2:8" x14ac:dyDescent="0.25">
      <c r="B9651" s="1"/>
      <c r="H9651" s="5"/>
    </row>
    <row r="9652" spans="2:8" x14ac:dyDescent="0.25">
      <c r="B9652" s="1"/>
      <c r="H9652" s="5"/>
    </row>
    <row r="9653" spans="2:8" x14ac:dyDescent="0.25">
      <c r="B9653" s="1"/>
      <c r="H9653" s="5"/>
    </row>
    <row r="9654" spans="2:8" x14ac:dyDescent="0.25">
      <c r="B9654" s="1"/>
      <c r="H9654" s="5"/>
    </row>
    <row r="9655" spans="2:8" x14ac:dyDescent="0.25">
      <c r="B9655" s="1"/>
      <c r="H9655" s="5"/>
    </row>
    <row r="9656" spans="2:8" x14ac:dyDescent="0.25">
      <c r="B9656" s="1"/>
      <c r="H9656" s="5"/>
    </row>
    <row r="9657" spans="2:8" x14ac:dyDescent="0.25">
      <c r="B9657" s="1"/>
      <c r="H9657" s="5"/>
    </row>
    <row r="9658" spans="2:8" x14ac:dyDescent="0.25">
      <c r="B9658" s="1"/>
      <c r="H9658" s="5"/>
    </row>
    <row r="9659" spans="2:8" x14ac:dyDescent="0.25">
      <c r="B9659" s="1"/>
      <c r="H9659" s="5"/>
    </row>
    <row r="9660" spans="2:8" x14ac:dyDescent="0.25">
      <c r="B9660" s="1"/>
      <c r="H9660" s="5"/>
    </row>
    <row r="9661" spans="2:8" x14ac:dyDescent="0.25">
      <c r="B9661" s="1"/>
      <c r="H9661" s="5"/>
    </row>
    <row r="9662" spans="2:8" x14ac:dyDescent="0.25">
      <c r="B9662" s="1"/>
      <c r="H9662" s="5"/>
    </row>
    <row r="9663" spans="2:8" x14ac:dyDescent="0.25">
      <c r="B9663" s="1"/>
      <c r="H9663" s="5"/>
    </row>
    <row r="9664" spans="2:8" x14ac:dyDescent="0.25">
      <c r="B9664" s="1"/>
      <c r="H9664" s="5"/>
    </row>
    <row r="9665" spans="2:8" x14ac:dyDescent="0.25">
      <c r="B9665" s="1"/>
      <c r="H9665" s="5"/>
    </row>
    <row r="9666" spans="2:8" x14ac:dyDescent="0.25">
      <c r="B9666" s="1"/>
      <c r="H9666" s="5"/>
    </row>
    <row r="9667" spans="2:8" x14ac:dyDescent="0.25">
      <c r="B9667" s="1"/>
      <c r="H9667" s="5"/>
    </row>
    <row r="9668" spans="2:8" x14ac:dyDescent="0.25">
      <c r="B9668" s="1"/>
      <c r="H9668" s="5"/>
    </row>
    <row r="9669" spans="2:8" x14ac:dyDescent="0.25">
      <c r="B9669" s="1"/>
      <c r="H9669" s="5"/>
    </row>
    <row r="9670" spans="2:8" x14ac:dyDescent="0.25">
      <c r="B9670" s="1"/>
      <c r="H9670" s="5"/>
    </row>
    <row r="9671" spans="2:8" x14ac:dyDescent="0.25">
      <c r="B9671" s="1"/>
      <c r="H9671" s="5"/>
    </row>
    <row r="9672" spans="2:8" x14ac:dyDescent="0.25">
      <c r="B9672" s="1"/>
      <c r="H9672" s="5"/>
    </row>
    <row r="9673" spans="2:8" x14ac:dyDescent="0.25">
      <c r="B9673" s="1"/>
      <c r="H9673" s="5"/>
    </row>
    <row r="9674" spans="2:8" x14ac:dyDescent="0.25">
      <c r="B9674" s="1"/>
      <c r="H9674" s="5"/>
    </row>
    <row r="9675" spans="2:8" x14ac:dyDescent="0.25">
      <c r="B9675" s="1"/>
      <c r="H9675" s="5"/>
    </row>
    <row r="9676" spans="2:8" x14ac:dyDescent="0.25">
      <c r="B9676" s="1"/>
      <c r="H9676" s="5"/>
    </row>
    <row r="9677" spans="2:8" x14ac:dyDescent="0.25">
      <c r="B9677" s="1"/>
      <c r="H9677" s="5"/>
    </row>
    <row r="9678" spans="2:8" x14ac:dyDescent="0.25">
      <c r="B9678" s="1"/>
      <c r="H9678" s="5"/>
    </row>
    <row r="9679" spans="2:8" x14ac:dyDescent="0.25">
      <c r="B9679" s="1"/>
      <c r="H9679" s="5"/>
    </row>
    <row r="9680" spans="2:8" x14ac:dyDescent="0.25">
      <c r="B9680" s="1"/>
      <c r="H9680" s="5"/>
    </row>
    <row r="9681" spans="2:8" x14ac:dyDescent="0.25">
      <c r="B9681" s="1"/>
      <c r="H9681" s="5"/>
    </row>
    <row r="9682" spans="2:8" x14ac:dyDescent="0.25">
      <c r="B9682" s="1"/>
      <c r="H9682" s="5"/>
    </row>
    <row r="9683" spans="2:8" x14ac:dyDescent="0.25">
      <c r="B9683" s="1"/>
      <c r="H9683" s="5"/>
    </row>
    <row r="9684" spans="2:8" x14ac:dyDescent="0.25">
      <c r="B9684" s="1"/>
      <c r="H9684" s="5"/>
    </row>
    <row r="9685" spans="2:8" x14ac:dyDescent="0.25">
      <c r="B9685" s="1"/>
      <c r="H9685" s="5"/>
    </row>
    <row r="9686" spans="2:8" x14ac:dyDescent="0.25">
      <c r="B9686" s="1"/>
      <c r="H9686" s="5"/>
    </row>
    <row r="9687" spans="2:8" x14ac:dyDescent="0.25">
      <c r="B9687" s="1"/>
      <c r="H9687" s="5"/>
    </row>
    <row r="9688" spans="2:8" x14ac:dyDescent="0.25">
      <c r="B9688" s="1"/>
      <c r="H9688" s="5"/>
    </row>
    <row r="9689" spans="2:8" x14ac:dyDescent="0.25">
      <c r="B9689" s="1"/>
      <c r="H9689" s="5"/>
    </row>
    <row r="9690" spans="2:8" x14ac:dyDescent="0.25">
      <c r="B9690" s="1"/>
      <c r="H9690" s="5"/>
    </row>
    <row r="9691" spans="2:8" x14ac:dyDescent="0.25">
      <c r="B9691" s="1"/>
      <c r="H9691" s="5"/>
    </row>
    <row r="9692" spans="2:8" x14ac:dyDescent="0.25">
      <c r="B9692" s="1"/>
      <c r="H9692" s="5"/>
    </row>
    <row r="9693" spans="2:8" x14ac:dyDescent="0.25">
      <c r="B9693" s="1"/>
      <c r="H9693" s="5"/>
    </row>
    <row r="9694" spans="2:8" x14ac:dyDescent="0.25">
      <c r="B9694" s="1"/>
      <c r="H9694" s="5"/>
    </row>
    <row r="9695" spans="2:8" x14ac:dyDescent="0.25">
      <c r="B9695" s="1"/>
      <c r="H9695" s="5"/>
    </row>
    <row r="9696" spans="2:8" x14ac:dyDescent="0.25">
      <c r="B9696" s="1"/>
      <c r="H9696" s="5"/>
    </row>
    <row r="9697" spans="2:8" x14ac:dyDescent="0.25">
      <c r="B9697" s="1"/>
      <c r="H9697" s="5"/>
    </row>
    <row r="9698" spans="2:8" x14ac:dyDescent="0.25">
      <c r="B9698" s="1"/>
      <c r="H9698" s="5"/>
    </row>
    <row r="9699" spans="2:8" x14ac:dyDescent="0.25">
      <c r="B9699" s="1"/>
      <c r="H9699" s="5"/>
    </row>
    <row r="9700" spans="2:8" x14ac:dyDescent="0.25">
      <c r="B9700" s="1"/>
      <c r="H9700" s="5"/>
    </row>
    <row r="9701" spans="2:8" x14ac:dyDescent="0.25">
      <c r="B9701" s="1"/>
      <c r="H9701" s="5"/>
    </row>
    <row r="9702" spans="2:8" x14ac:dyDescent="0.25">
      <c r="B9702" s="1"/>
      <c r="H9702" s="5"/>
    </row>
    <row r="9703" spans="2:8" x14ac:dyDescent="0.25">
      <c r="B9703" s="1"/>
      <c r="H9703" s="5"/>
    </row>
    <row r="9704" spans="2:8" x14ac:dyDescent="0.25">
      <c r="B9704" s="1"/>
      <c r="H9704" s="5"/>
    </row>
    <row r="9705" spans="2:8" x14ac:dyDescent="0.25">
      <c r="B9705" s="1"/>
      <c r="H9705" s="5"/>
    </row>
    <row r="9706" spans="2:8" x14ac:dyDescent="0.25">
      <c r="B9706" s="1"/>
      <c r="H9706" s="5"/>
    </row>
    <row r="9707" spans="2:8" x14ac:dyDescent="0.25">
      <c r="B9707" s="1"/>
      <c r="H9707" s="5"/>
    </row>
    <row r="9708" spans="2:8" x14ac:dyDescent="0.25">
      <c r="B9708" s="1"/>
      <c r="H9708" s="5"/>
    </row>
    <row r="9709" spans="2:8" x14ac:dyDescent="0.25">
      <c r="B9709" s="1"/>
      <c r="H9709" s="5"/>
    </row>
    <row r="9710" spans="2:8" x14ac:dyDescent="0.25">
      <c r="B9710" s="1"/>
      <c r="H9710" s="5"/>
    </row>
    <row r="9711" spans="2:8" x14ac:dyDescent="0.25">
      <c r="B9711" s="1"/>
      <c r="H9711" s="5"/>
    </row>
    <row r="9712" spans="2:8" x14ac:dyDescent="0.25">
      <c r="B9712" s="1"/>
      <c r="H9712" s="5"/>
    </row>
    <row r="9713" spans="2:8" x14ac:dyDescent="0.25">
      <c r="B9713" s="1"/>
      <c r="H9713" s="5"/>
    </row>
    <row r="9714" spans="2:8" x14ac:dyDescent="0.25">
      <c r="B9714" s="1"/>
      <c r="H9714" s="5"/>
    </row>
    <row r="9715" spans="2:8" x14ac:dyDescent="0.25">
      <c r="B9715" s="1"/>
      <c r="H9715" s="5"/>
    </row>
    <row r="9716" spans="2:8" x14ac:dyDescent="0.25">
      <c r="B9716" s="1"/>
      <c r="H9716" s="5"/>
    </row>
    <row r="9717" spans="2:8" x14ac:dyDescent="0.25">
      <c r="B9717" s="1"/>
      <c r="H9717" s="5"/>
    </row>
    <row r="9718" spans="2:8" x14ac:dyDescent="0.25">
      <c r="B9718" s="1"/>
      <c r="H9718" s="5"/>
    </row>
    <row r="9719" spans="2:8" x14ac:dyDescent="0.25">
      <c r="B9719" s="1"/>
      <c r="H9719" s="5"/>
    </row>
    <row r="9720" spans="2:8" x14ac:dyDescent="0.25">
      <c r="B9720" s="1"/>
      <c r="H9720" s="5"/>
    </row>
    <row r="9721" spans="2:8" x14ac:dyDescent="0.25">
      <c r="B9721" s="1"/>
      <c r="H9721" s="5"/>
    </row>
    <row r="9722" spans="2:8" x14ac:dyDescent="0.25">
      <c r="B9722" s="1"/>
      <c r="H9722" s="5"/>
    </row>
    <row r="9723" spans="2:8" x14ac:dyDescent="0.25">
      <c r="B9723" s="1"/>
      <c r="H9723" s="5"/>
    </row>
    <row r="9724" spans="2:8" x14ac:dyDescent="0.25">
      <c r="B9724" s="1"/>
      <c r="H9724" s="5"/>
    </row>
    <row r="9725" spans="2:8" x14ac:dyDescent="0.25">
      <c r="B9725" s="1"/>
      <c r="H9725" s="5"/>
    </row>
    <row r="9726" spans="2:8" x14ac:dyDescent="0.25">
      <c r="B9726" s="1"/>
      <c r="H9726" s="5"/>
    </row>
    <row r="9727" spans="2:8" x14ac:dyDescent="0.25">
      <c r="B9727" s="1"/>
      <c r="H9727" s="5"/>
    </row>
    <row r="9728" spans="2:8" x14ac:dyDescent="0.25">
      <c r="B9728" s="1"/>
      <c r="H9728" s="5"/>
    </row>
    <row r="9729" spans="2:8" x14ac:dyDescent="0.25">
      <c r="B9729" s="1"/>
      <c r="H9729" s="5"/>
    </row>
    <row r="9730" spans="2:8" x14ac:dyDescent="0.25">
      <c r="B9730" s="1"/>
      <c r="H9730" s="5"/>
    </row>
    <row r="9731" spans="2:8" x14ac:dyDescent="0.25">
      <c r="B9731" s="1"/>
      <c r="H9731" s="5"/>
    </row>
    <row r="9732" spans="2:8" x14ac:dyDescent="0.25">
      <c r="B9732" s="1"/>
      <c r="H9732" s="5"/>
    </row>
    <row r="9733" spans="2:8" x14ac:dyDescent="0.25">
      <c r="B9733" s="1"/>
      <c r="H9733" s="5"/>
    </row>
    <row r="9734" spans="2:8" x14ac:dyDescent="0.25">
      <c r="B9734" s="1"/>
      <c r="H9734" s="5"/>
    </row>
    <row r="9735" spans="2:8" x14ac:dyDescent="0.25">
      <c r="B9735" s="1"/>
      <c r="H9735" s="5"/>
    </row>
    <row r="9736" spans="2:8" x14ac:dyDescent="0.25">
      <c r="B9736" s="1"/>
      <c r="H9736" s="5"/>
    </row>
    <row r="9737" spans="2:8" x14ac:dyDescent="0.25">
      <c r="B9737" s="1"/>
      <c r="H9737" s="5"/>
    </row>
    <row r="9738" spans="2:8" x14ac:dyDescent="0.25">
      <c r="B9738" s="1"/>
      <c r="H9738" s="5"/>
    </row>
    <row r="9739" spans="2:8" x14ac:dyDescent="0.25">
      <c r="B9739" s="1"/>
      <c r="H9739" s="5"/>
    </row>
    <row r="9740" spans="2:8" x14ac:dyDescent="0.25">
      <c r="B9740" s="1"/>
      <c r="H9740" s="5"/>
    </row>
    <row r="9741" spans="2:8" x14ac:dyDescent="0.25">
      <c r="B9741" s="1"/>
      <c r="H9741" s="5"/>
    </row>
    <row r="9742" spans="2:8" x14ac:dyDescent="0.25">
      <c r="B9742" s="1"/>
      <c r="H9742" s="5"/>
    </row>
    <row r="9743" spans="2:8" x14ac:dyDescent="0.25">
      <c r="B9743" s="1"/>
      <c r="H9743" s="5"/>
    </row>
    <row r="9744" spans="2:8" x14ac:dyDescent="0.25">
      <c r="B9744" s="1"/>
      <c r="H9744" s="5"/>
    </row>
    <row r="9745" spans="2:8" x14ac:dyDescent="0.25">
      <c r="B9745" s="1"/>
      <c r="H9745" s="5"/>
    </row>
    <row r="9746" spans="2:8" x14ac:dyDescent="0.25">
      <c r="B9746" s="1"/>
      <c r="H9746" s="5"/>
    </row>
    <row r="9747" spans="2:8" x14ac:dyDescent="0.25">
      <c r="B9747" s="1"/>
      <c r="H9747" s="5"/>
    </row>
    <row r="9748" spans="2:8" x14ac:dyDescent="0.25">
      <c r="B9748" s="1"/>
      <c r="H9748" s="5"/>
    </row>
    <row r="9749" spans="2:8" x14ac:dyDescent="0.25">
      <c r="B9749" s="1"/>
      <c r="H9749" s="5"/>
    </row>
    <row r="9750" spans="2:8" x14ac:dyDescent="0.25">
      <c r="B9750" s="1"/>
      <c r="H9750" s="5"/>
    </row>
    <row r="9751" spans="2:8" x14ac:dyDescent="0.25">
      <c r="B9751" s="1"/>
      <c r="H9751" s="5"/>
    </row>
    <row r="9752" spans="2:8" x14ac:dyDescent="0.25">
      <c r="B9752" s="1"/>
      <c r="H9752" s="5"/>
    </row>
    <row r="9753" spans="2:8" x14ac:dyDescent="0.25">
      <c r="B9753" s="1"/>
      <c r="H9753" s="5"/>
    </row>
    <row r="9754" spans="2:8" x14ac:dyDescent="0.25">
      <c r="B9754" s="1"/>
      <c r="H9754" s="5"/>
    </row>
    <row r="9755" spans="2:8" x14ac:dyDescent="0.25">
      <c r="B9755" s="1"/>
      <c r="H9755" s="5"/>
    </row>
    <row r="9756" spans="2:8" x14ac:dyDescent="0.25">
      <c r="B9756" s="1"/>
      <c r="H9756" s="5"/>
    </row>
    <row r="9757" spans="2:8" x14ac:dyDescent="0.25">
      <c r="B9757" s="1"/>
      <c r="H9757" s="5"/>
    </row>
    <row r="9758" spans="2:8" x14ac:dyDescent="0.25">
      <c r="B9758" s="1"/>
      <c r="H9758" s="5"/>
    </row>
    <row r="9759" spans="2:8" x14ac:dyDescent="0.25">
      <c r="B9759" s="1"/>
      <c r="H9759" s="5"/>
    </row>
    <row r="9760" spans="2:8" x14ac:dyDescent="0.25">
      <c r="B9760" s="1"/>
      <c r="H9760" s="5"/>
    </row>
    <row r="9761" spans="2:8" x14ac:dyDescent="0.25">
      <c r="B9761" s="1"/>
      <c r="H9761" s="5"/>
    </row>
    <row r="9762" spans="2:8" x14ac:dyDescent="0.25">
      <c r="B9762" s="1"/>
      <c r="H9762" s="5"/>
    </row>
    <row r="9763" spans="2:8" x14ac:dyDescent="0.25">
      <c r="B9763" s="1"/>
      <c r="H9763" s="5"/>
    </row>
    <row r="9764" spans="2:8" x14ac:dyDescent="0.25">
      <c r="B9764" s="1"/>
      <c r="H9764" s="5"/>
    </row>
    <row r="9765" spans="2:8" x14ac:dyDescent="0.25">
      <c r="B9765" s="1"/>
      <c r="H9765" s="5"/>
    </row>
    <row r="9766" spans="2:8" x14ac:dyDescent="0.25">
      <c r="B9766" s="1"/>
      <c r="H9766" s="5"/>
    </row>
    <row r="9767" spans="2:8" x14ac:dyDescent="0.25">
      <c r="B9767" s="1"/>
      <c r="H9767" s="5"/>
    </row>
    <row r="9768" spans="2:8" x14ac:dyDescent="0.25">
      <c r="B9768" s="1"/>
      <c r="H9768" s="5"/>
    </row>
    <row r="9769" spans="2:8" x14ac:dyDescent="0.25">
      <c r="B9769" s="1"/>
      <c r="H9769" s="5"/>
    </row>
    <row r="9770" spans="2:8" x14ac:dyDescent="0.25">
      <c r="B9770" s="1"/>
      <c r="H9770" s="5"/>
    </row>
    <row r="9771" spans="2:8" x14ac:dyDescent="0.25">
      <c r="B9771" s="1"/>
      <c r="H9771" s="5"/>
    </row>
    <row r="9772" spans="2:8" x14ac:dyDescent="0.25">
      <c r="B9772" s="1"/>
      <c r="H9772" s="5"/>
    </row>
    <row r="9773" spans="2:8" x14ac:dyDescent="0.25">
      <c r="B9773" s="1"/>
      <c r="H9773" s="5"/>
    </row>
    <row r="9774" spans="2:8" x14ac:dyDescent="0.25">
      <c r="B9774" s="1"/>
      <c r="H9774" s="5"/>
    </row>
    <row r="9775" spans="2:8" x14ac:dyDescent="0.25">
      <c r="B9775" s="1"/>
      <c r="H9775" s="5"/>
    </row>
    <row r="9776" spans="2:8" x14ac:dyDescent="0.25">
      <c r="B9776" s="1"/>
      <c r="H9776" s="5"/>
    </row>
    <row r="9777" spans="2:8" x14ac:dyDescent="0.25">
      <c r="B9777" s="1"/>
      <c r="H9777" s="5"/>
    </row>
    <row r="9778" spans="2:8" x14ac:dyDescent="0.25">
      <c r="B9778" s="1"/>
      <c r="H9778" s="5"/>
    </row>
    <row r="9779" spans="2:8" x14ac:dyDescent="0.25">
      <c r="B9779" s="1"/>
      <c r="H9779" s="5"/>
    </row>
    <row r="9780" spans="2:8" x14ac:dyDescent="0.25">
      <c r="B9780" s="1"/>
      <c r="H9780" s="5"/>
    </row>
    <row r="9781" spans="2:8" x14ac:dyDescent="0.25">
      <c r="B9781" s="1"/>
      <c r="H9781" s="5"/>
    </row>
    <row r="9782" spans="2:8" x14ac:dyDescent="0.25">
      <c r="B9782" s="1"/>
      <c r="H9782" s="5"/>
    </row>
    <row r="9783" spans="2:8" x14ac:dyDescent="0.25">
      <c r="B9783" s="1"/>
      <c r="H9783" s="5"/>
    </row>
    <row r="9784" spans="2:8" x14ac:dyDescent="0.25">
      <c r="B9784" s="1"/>
      <c r="H9784" s="5"/>
    </row>
    <row r="9785" spans="2:8" x14ac:dyDescent="0.25">
      <c r="B9785" s="1"/>
      <c r="H9785" s="5"/>
    </row>
    <row r="9786" spans="2:8" x14ac:dyDescent="0.25">
      <c r="B9786" s="1"/>
      <c r="H9786" s="5"/>
    </row>
    <row r="9787" spans="2:8" x14ac:dyDescent="0.25">
      <c r="B9787" s="1"/>
      <c r="H9787" s="5"/>
    </row>
    <row r="9788" spans="2:8" x14ac:dyDescent="0.25">
      <c r="B9788" s="1"/>
      <c r="H9788" s="5"/>
    </row>
    <row r="9789" spans="2:8" x14ac:dyDescent="0.25">
      <c r="B9789" s="1"/>
      <c r="H9789" s="5"/>
    </row>
    <row r="9790" spans="2:8" x14ac:dyDescent="0.25">
      <c r="B9790" s="1"/>
      <c r="H9790" s="5"/>
    </row>
    <row r="9791" spans="2:8" x14ac:dyDescent="0.25">
      <c r="B9791" s="1"/>
      <c r="H9791" s="5"/>
    </row>
    <row r="9792" spans="2:8" x14ac:dyDescent="0.25">
      <c r="B9792" s="1"/>
      <c r="H9792" s="5"/>
    </row>
    <row r="9793" spans="2:8" x14ac:dyDescent="0.25">
      <c r="B9793" s="1"/>
      <c r="H9793" s="5"/>
    </row>
    <row r="9794" spans="2:8" x14ac:dyDescent="0.25">
      <c r="B9794" s="1"/>
      <c r="H9794" s="5"/>
    </row>
    <row r="9795" spans="2:8" x14ac:dyDescent="0.25">
      <c r="B9795" s="1"/>
      <c r="H9795" s="5"/>
    </row>
    <row r="9796" spans="2:8" x14ac:dyDescent="0.25">
      <c r="B9796" s="1"/>
      <c r="H9796" s="5"/>
    </row>
    <row r="9797" spans="2:8" x14ac:dyDescent="0.25">
      <c r="B9797" s="1"/>
      <c r="H9797" s="5"/>
    </row>
    <row r="9798" spans="2:8" x14ac:dyDescent="0.25">
      <c r="B9798" s="1"/>
      <c r="H9798" s="5"/>
    </row>
    <row r="9799" spans="2:8" x14ac:dyDescent="0.25">
      <c r="B9799" s="1"/>
      <c r="H9799" s="5"/>
    </row>
    <row r="9800" spans="2:8" x14ac:dyDescent="0.25">
      <c r="B9800" s="1"/>
      <c r="H9800" s="5"/>
    </row>
    <row r="9801" spans="2:8" x14ac:dyDescent="0.25">
      <c r="B9801" s="1"/>
      <c r="H9801" s="5"/>
    </row>
    <row r="9802" spans="2:8" x14ac:dyDescent="0.25">
      <c r="B9802" s="1"/>
      <c r="H9802" s="5"/>
    </row>
    <row r="9803" spans="2:8" x14ac:dyDescent="0.25">
      <c r="B9803" s="1"/>
      <c r="H9803" s="5"/>
    </row>
    <row r="9804" spans="2:8" x14ac:dyDescent="0.25">
      <c r="B9804" s="1"/>
      <c r="H9804" s="5"/>
    </row>
    <row r="9805" spans="2:8" x14ac:dyDescent="0.25">
      <c r="B9805" s="1"/>
      <c r="H9805" s="5"/>
    </row>
    <row r="9806" spans="2:8" x14ac:dyDescent="0.25">
      <c r="B9806" s="1"/>
      <c r="H9806" s="5"/>
    </row>
    <row r="9807" spans="2:8" x14ac:dyDescent="0.25">
      <c r="B9807" s="1"/>
      <c r="H9807" s="5"/>
    </row>
    <row r="9808" spans="2:8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O24" sqref="O24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46027</v>
      </c>
      <c r="B2">
        <f ca="1">SUMIFS(Tabela1[Ativa (kwh)],Tabela1[data],A2)</f>
        <v>13544.16</v>
      </c>
      <c r="C2">
        <f ca="1">SUMIFS(Tabela1[Reativa (kvarh)],Tabela1[data],A2)</f>
        <v>2223.06</v>
      </c>
      <c r="D2">
        <f t="shared" ref="D2" ca="1" si="1">B2/1000</f>
        <v>13.54416</v>
      </c>
      <c r="E2">
        <f t="shared" ref="E2" ca="1" si="2">C2/1000</f>
        <v>2.2230599999999998</v>
      </c>
    </row>
    <row r="3" spans="1:5" x14ac:dyDescent="0.25">
      <c r="A3" s="1">
        <f t="shared" ca="1" si="0"/>
        <v>46028</v>
      </c>
      <c r="B3">
        <f ca="1">SUMIFS(Tabela1[Ativa (kwh)],Tabela1[data],A3)</f>
        <v>14560.98</v>
      </c>
      <c r="C3">
        <f ca="1">SUMIFS(Tabela1[Reativa (kvarh)],Tabela1[data],A3)</f>
        <v>2827.0200000000004</v>
      </c>
      <c r="D3">
        <f t="shared" ref="D3" ca="1" si="3">B3/1000</f>
        <v>14.560979999999999</v>
      </c>
      <c r="E3">
        <f t="shared" ref="E3" ca="1" si="4">C3/1000</f>
        <v>2.8270200000000005</v>
      </c>
    </row>
    <row r="4" spans="1:5" x14ac:dyDescent="0.25">
      <c r="A4" s="1">
        <f t="shared" ca="1" si="0"/>
        <v>46029</v>
      </c>
      <c r="B4">
        <f ca="1">SUMIFS(Tabela1[Ativa (kwh)],Tabela1[data],A4)</f>
        <v>14550.48</v>
      </c>
      <c r="C4">
        <f ca="1">SUMIFS(Tabela1[Reativa (kvarh)],Tabela1[data],A4)</f>
        <v>2692.6199999999994</v>
      </c>
      <c r="D4">
        <f t="shared" ref="D4:D20" ca="1" si="5">B4/1000</f>
        <v>14.55048</v>
      </c>
      <c r="E4">
        <f t="shared" ref="E4:E20" ca="1" si="6">C4/1000</f>
        <v>2.6926199999999993</v>
      </c>
    </row>
    <row r="5" spans="1:5" x14ac:dyDescent="0.25">
      <c r="A5" s="1">
        <f t="shared" ca="1" si="0"/>
        <v>46030</v>
      </c>
      <c r="B5">
        <f ca="1">SUMIFS(Tabela1[Ativa (kwh)],Tabela1[data],A5)</f>
        <v>15160.740000000003</v>
      </c>
      <c r="C5">
        <f ca="1">SUMIFS(Tabela1[Reativa (kvarh)],Tabela1[data],A5)</f>
        <v>2955.96</v>
      </c>
      <c r="D5">
        <f t="shared" ca="1" si="5"/>
        <v>15.160740000000004</v>
      </c>
      <c r="E5">
        <f t="shared" ca="1" si="6"/>
        <v>2.9559600000000001</v>
      </c>
    </row>
    <row r="6" spans="1:5" x14ac:dyDescent="0.25">
      <c r="A6" s="1">
        <f t="shared" ca="1" si="0"/>
        <v>46031</v>
      </c>
      <c r="B6">
        <f ca="1">SUMIFS(Tabela1[Ativa (kwh)],Tabela1[data],A6)</f>
        <v>16163.280000000002</v>
      </c>
      <c r="C6">
        <f ca="1">SUMIFS(Tabela1[Reativa (kvarh)],Tabela1[data],A6)</f>
        <v>3351.1799999999994</v>
      </c>
      <c r="D6">
        <f t="shared" ca="1" si="5"/>
        <v>16.163280000000004</v>
      </c>
      <c r="E6">
        <f t="shared" ca="1" si="6"/>
        <v>3.3511799999999994</v>
      </c>
    </row>
    <row r="7" spans="1:5" x14ac:dyDescent="0.25">
      <c r="A7" s="1">
        <f t="shared" ca="1" si="0"/>
        <v>46032</v>
      </c>
      <c r="B7">
        <f ca="1">SUMIFS(Tabela1[Ativa (kwh)],Tabela1[data],A7)</f>
        <v>15982.679999999997</v>
      </c>
      <c r="C7">
        <f ca="1">SUMIFS(Tabela1[Reativa (kvarh)],Tabela1[data],A7)</f>
        <v>3376.3800000000006</v>
      </c>
      <c r="D7">
        <f t="shared" ca="1" si="5"/>
        <v>15.982679999999997</v>
      </c>
      <c r="E7">
        <f t="shared" ca="1" si="6"/>
        <v>3.3763800000000006</v>
      </c>
    </row>
    <row r="8" spans="1:5" x14ac:dyDescent="0.25">
      <c r="A8" s="1">
        <f t="shared" ca="1" si="0"/>
        <v>46033</v>
      </c>
      <c r="B8">
        <f ca="1">SUMIFS(Tabela1[Ativa (kwh)],Tabela1[data],A8)</f>
        <v>13762.560000000001</v>
      </c>
      <c r="C8">
        <f ca="1">SUMIFS(Tabela1[Reativa (kvarh)],Tabela1[data],A8)</f>
        <v>2068.9199999999996</v>
      </c>
      <c r="D8">
        <f t="shared" ca="1" si="5"/>
        <v>13.762560000000001</v>
      </c>
      <c r="E8">
        <f t="shared" ca="1" si="6"/>
        <v>2.0689199999999994</v>
      </c>
    </row>
    <row r="9" spans="1:5" x14ac:dyDescent="0.25">
      <c r="A9" s="1">
        <f t="shared" ca="1" si="0"/>
        <v>46034</v>
      </c>
      <c r="B9">
        <f ca="1">SUMIFS(Tabela1[Ativa (kwh)],Tabela1[data],A9)</f>
        <v>16434.599999999999</v>
      </c>
      <c r="C9">
        <f ca="1">SUMIFS(Tabela1[Reativa (kvarh)],Tabela1[data],A9)</f>
        <v>3642.66</v>
      </c>
      <c r="D9">
        <f t="shared" ca="1" si="5"/>
        <v>16.4346</v>
      </c>
      <c r="E9">
        <f t="shared" ca="1" si="6"/>
        <v>3.6426599999999998</v>
      </c>
    </row>
    <row r="10" spans="1:5" x14ac:dyDescent="0.25">
      <c r="A10" s="1">
        <f t="shared" ca="1" si="0"/>
        <v>46035</v>
      </c>
      <c r="B10">
        <f ca="1">SUMIFS(Tabela1[Ativa (kwh)],Tabela1[data],A10)</f>
        <v>14823.9</v>
      </c>
      <c r="C10">
        <f ca="1">SUMIFS(Tabela1[Reativa (kvarh)],Tabela1[data],A10)</f>
        <v>2710.68</v>
      </c>
      <c r="D10">
        <f t="shared" ca="1" si="5"/>
        <v>14.8239</v>
      </c>
      <c r="E10">
        <f t="shared" ca="1" si="6"/>
        <v>2.71068</v>
      </c>
    </row>
    <row r="11" spans="1:5" x14ac:dyDescent="0.25">
      <c r="A11" s="1">
        <f t="shared" ca="1" si="0"/>
        <v>46036</v>
      </c>
      <c r="B11">
        <f ca="1">SUMIFS(Tabela1[Ativa (kwh)],Tabela1[data],A11)</f>
        <v>13618.079999999998</v>
      </c>
      <c r="C11">
        <f ca="1">SUMIFS(Tabela1[Reativa (kvarh)],Tabela1[data],A11)</f>
        <v>2440.62</v>
      </c>
      <c r="D11">
        <f t="shared" ca="1" si="5"/>
        <v>13.618079999999997</v>
      </c>
      <c r="E11">
        <f t="shared" ca="1" si="6"/>
        <v>2.44062</v>
      </c>
    </row>
    <row r="12" spans="1:5" x14ac:dyDescent="0.25">
      <c r="A12" s="1">
        <f t="shared" ca="1" si="0"/>
        <v>46037</v>
      </c>
      <c r="B12">
        <f ca="1">SUMIFS(Tabela1[Ativa (kwh)],Tabela1[data],A12)</f>
        <v>15137.640000000001</v>
      </c>
      <c r="C12">
        <f ca="1">SUMIFS(Tabela1[Reativa (kvarh)],Tabela1[data],A12)</f>
        <v>3173.0999999999995</v>
      </c>
      <c r="D12">
        <f t="shared" ca="1" si="5"/>
        <v>15.137640000000001</v>
      </c>
      <c r="E12">
        <f t="shared" ca="1" si="6"/>
        <v>3.1730999999999994</v>
      </c>
    </row>
    <row r="13" spans="1:5" x14ac:dyDescent="0.25">
      <c r="A13" s="1">
        <f t="shared" ca="1" si="0"/>
        <v>46038</v>
      </c>
      <c r="B13">
        <f ca="1">SUMIFS(Tabela1[Ativa (kwh)],Tabela1[data],A13)</f>
        <v>14939.820000000002</v>
      </c>
      <c r="C13">
        <f ca="1">SUMIFS(Tabela1[Reativa (kvarh)],Tabela1[data],A13)</f>
        <v>3063.48</v>
      </c>
      <c r="D13">
        <f t="shared" ca="1" si="5"/>
        <v>14.939820000000001</v>
      </c>
      <c r="E13">
        <f t="shared" ca="1" si="6"/>
        <v>3.0634800000000002</v>
      </c>
    </row>
    <row r="14" spans="1:5" x14ac:dyDescent="0.25">
      <c r="A14" s="1">
        <f t="shared" ref="A14:A20" ca="1" si="7">A15-1</f>
        <v>46039</v>
      </c>
      <c r="B14">
        <f ca="1">SUMIFS(Tabela1[Ativa (kwh)],Tabela1[data],A14)</f>
        <v>14940.660000000002</v>
      </c>
      <c r="C14">
        <f ca="1">SUMIFS(Tabela1[Reativa (kvarh)],Tabela1[data],A14)</f>
        <v>2964.78</v>
      </c>
      <c r="D14">
        <f t="shared" ca="1" si="5"/>
        <v>14.940660000000001</v>
      </c>
      <c r="E14">
        <f t="shared" ca="1" si="6"/>
        <v>2.9647800000000002</v>
      </c>
    </row>
    <row r="15" spans="1:5" x14ac:dyDescent="0.25">
      <c r="A15" s="1">
        <f t="shared" ca="1" si="7"/>
        <v>46040</v>
      </c>
      <c r="B15">
        <f ca="1">SUMIFS(Tabela1[Ativa (kwh)],Tabela1[data],A15)</f>
        <v>14079.660000000002</v>
      </c>
      <c r="C15">
        <f ca="1">SUMIFS(Tabela1[Reativa (kvarh)],Tabela1[data],A15)</f>
        <v>2550.2399999999998</v>
      </c>
      <c r="D15">
        <f t="shared" ca="1" si="5"/>
        <v>14.079660000000002</v>
      </c>
      <c r="E15">
        <f t="shared" ca="1" si="6"/>
        <v>2.5502399999999996</v>
      </c>
    </row>
    <row r="16" spans="1:5" x14ac:dyDescent="0.25">
      <c r="A16" s="1">
        <f t="shared" ca="1" si="7"/>
        <v>46041</v>
      </c>
      <c r="B16">
        <f ca="1">SUMIFS(Tabela1[Ativa (kwh)],Tabela1[data],A16)</f>
        <v>14305.62</v>
      </c>
      <c r="C16">
        <f ca="1">SUMIFS(Tabela1[Reativa (kvarh)],Tabela1[data],A16)</f>
        <v>2668.26</v>
      </c>
      <c r="D16">
        <f t="shared" ca="1" si="5"/>
        <v>14.305620000000001</v>
      </c>
      <c r="E16">
        <f t="shared" ca="1" si="6"/>
        <v>2.6682600000000001</v>
      </c>
    </row>
    <row r="17" spans="1:5" x14ac:dyDescent="0.25">
      <c r="A17" s="1">
        <f t="shared" ca="1" si="7"/>
        <v>46042</v>
      </c>
      <c r="B17">
        <f ca="1">SUMIFS(Tabela1[Ativa (kwh)],Tabela1[data],A17)</f>
        <v>12807.479999999998</v>
      </c>
      <c r="C17">
        <f ca="1">SUMIFS(Tabela1[Reativa (kvarh)],Tabela1[data],A17)</f>
        <v>1900.5</v>
      </c>
      <c r="D17">
        <f t="shared" ca="1" si="5"/>
        <v>12.807479999999998</v>
      </c>
      <c r="E17">
        <f t="shared" ca="1" si="6"/>
        <v>1.9005000000000001</v>
      </c>
    </row>
    <row r="18" spans="1:5" x14ac:dyDescent="0.25">
      <c r="A18" s="1">
        <f t="shared" ca="1" si="7"/>
        <v>46043</v>
      </c>
      <c r="B18">
        <f ca="1">SUMIFS(Tabela1[Ativa (kwh)],Tabela1[data],A18)</f>
        <v>12381.18</v>
      </c>
      <c r="C18">
        <f ca="1">SUMIFS(Tabela1[Reativa (kvarh)],Tabela1[data],A18)</f>
        <v>1631.28</v>
      </c>
      <c r="D18">
        <f t="shared" ca="1" si="5"/>
        <v>12.381180000000001</v>
      </c>
      <c r="E18">
        <f t="shared" ca="1" si="6"/>
        <v>1.6312800000000001</v>
      </c>
    </row>
    <row r="19" spans="1:5" x14ac:dyDescent="0.25">
      <c r="A19" s="1">
        <f t="shared" ca="1" si="7"/>
        <v>46044</v>
      </c>
      <c r="B19">
        <f ca="1">SUMIFS(Tabela1[Ativa (kwh)],Tabela1[data],A19)</f>
        <v>12840.659999999998</v>
      </c>
      <c r="C19">
        <f ca="1">SUMIFS(Tabela1[Reativa (kvarh)],Tabela1[data],A19)</f>
        <v>1766.9399999999998</v>
      </c>
      <c r="D19">
        <f t="shared" ca="1" si="5"/>
        <v>12.840659999999998</v>
      </c>
      <c r="E19">
        <f t="shared" ca="1" si="6"/>
        <v>1.7669399999999997</v>
      </c>
    </row>
    <row r="20" spans="1:5" x14ac:dyDescent="0.25">
      <c r="A20" s="1">
        <f t="shared" ca="1" si="7"/>
        <v>46045</v>
      </c>
      <c r="B20">
        <f ca="1">SUMIFS(Tabela1[Ativa (kwh)],Tabela1[data],A20)</f>
        <v>13196.400000000001</v>
      </c>
      <c r="C20">
        <f ca="1">SUMIFS(Tabela1[Reativa (kvarh)],Tabela1[data],A20)</f>
        <v>1843.8000000000002</v>
      </c>
      <c r="D20">
        <f t="shared" ca="1" si="5"/>
        <v>13.196400000000001</v>
      </c>
      <c r="E20">
        <f t="shared" ca="1" si="6"/>
        <v>1.8438000000000001</v>
      </c>
    </row>
    <row r="21" spans="1:5" x14ac:dyDescent="0.25">
      <c r="A21" s="1">
        <f t="shared" ref="A21:A26" ca="1" si="8">A22-1</f>
        <v>46046</v>
      </c>
      <c r="B21">
        <f ca="1">SUMIFS(Tabela1[Ativa (kwh)],Tabela1[data],A21)</f>
        <v>13135.08</v>
      </c>
      <c r="C21">
        <f ca="1">SUMIFS(Tabela1[Reativa (kvarh)],Tabela1[data],A21)</f>
        <v>1895.8800000000003</v>
      </c>
      <c r="D21">
        <f ca="1">B21/1000</f>
        <v>13.13508</v>
      </c>
      <c r="E21">
        <f ca="1">C21/1000</f>
        <v>1.8958800000000002</v>
      </c>
    </row>
    <row r="22" spans="1:5" x14ac:dyDescent="0.25">
      <c r="A22" s="1">
        <f t="shared" ca="1" si="8"/>
        <v>46047</v>
      </c>
      <c r="B22">
        <f ca="1">SUMIFS(Tabela1[Ativa (kwh)],Tabela1[data],A22)</f>
        <v>12241.32</v>
      </c>
      <c r="C22">
        <f ca="1">SUMIFS(Tabela1[Reativa (kvarh)],Tabela1[data],A22)</f>
        <v>1618.68</v>
      </c>
      <c r="D22">
        <f t="shared" ref="D22:D30" ca="1" si="9">B22/1000</f>
        <v>12.24132</v>
      </c>
      <c r="E22">
        <f t="shared" ref="E22:E30" ca="1" si="10">C22/1000</f>
        <v>1.6186800000000001</v>
      </c>
    </row>
    <row r="23" spans="1:5" x14ac:dyDescent="0.25">
      <c r="A23" s="1">
        <f t="shared" ca="1" si="8"/>
        <v>46048</v>
      </c>
      <c r="B23">
        <f ca="1">SUMIFS(Tabela1[Ativa (kwh)],Tabela1[data],A23)</f>
        <v>13613.039999999999</v>
      </c>
      <c r="C23">
        <f ca="1">SUMIFS(Tabela1[Reativa (kvarh)],Tabela1[data],A23)</f>
        <v>2065.1400000000003</v>
      </c>
      <c r="D23">
        <f t="shared" ca="1" si="9"/>
        <v>13.61304</v>
      </c>
      <c r="E23">
        <f t="shared" ca="1" si="10"/>
        <v>2.0651400000000004</v>
      </c>
    </row>
    <row r="24" spans="1:5" x14ac:dyDescent="0.25">
      <c r="A24" s="1">
        <f t="shared" ca="1" si="8"/>
        <v>46049</v>
      </c>
      <c r="B24">
        <f ca="1">SUMIFS(Tabela1[Ativa (kwh)],Tabela1[data],A24)</f>
        <v>14142.659999999998</v>
      </c>
      <c r="C24">
        <f ca="1">SUMIFS(Tabela1[Reativa (kvarh)],Tabela1[data],A24)</f>
        <v>2213.4</v>
      </c>
      <c r="D24">
        <f t="shared" ca="1" si="9"/>
        <v>14.142659999999998</v>
      </c>
      <c r="E24">
        <f t="shared" ca="1" si="10"/>
        <v>2.2134</v>
      </c>
    </row>
    <row r="25" spans="1:5" x14ac:dyDescent="0.25">
      <c r="A25" s="1">
        <f t="shared" ca="1" si="8"/>
        <v>46050</v>
      </c>
      <c r="B25">
        <f ca="1">SUMIFS(Tabela1[Ativa (kwh)],Tabela1[data],A25)</f>
        <v>14193.899999999998</v>
      </c>
      <c r="C25">
        <f ca="1">SUMIFS(Tabela1[Reativa (kvarh)],Tabela1[data],A25)</f>
        <v>2321.3400000000006</v>
      </c>
      <c r="D25">
        <f t="shared" ca="1" si="9"/>
        <v>14.193899999999998</v>
      </c>
      <c r="E25">
        <f t="shared" ca="1" si="10"/>
        <v>2.3213400000000006</v>
      </c>
    </row>
    <row r="26" spans="1:5" x14ac:dyDescent="0.25">
      <c r="A26" s="1">
        <f t="shared" ca="1" si="8"/>
        <v>46051</v>
      </c>
      <c r="B26">
        <f ca="1">SUMIFS(Tabela1[Ativa (kwh)],Tabela1[data],A26)</f>
        <v>14400.539999999999</v>
      </c>
      <c r="C26">
        <f ca="1">SUMIFS(Tabela1[Reativa (kvarh)],Tabela1[data],A26)</f>
        <v>2362.4999999999995</v>
      </c>
      <c r="D26">
        <f t="shared" ca="1" si="9"/>
        <v>14.400539999999999</v>
      </c>
      <c r="E26">
        <f t="shared" ca="1" si="10"/>
        <v>2.3624999999999994</v>
      </c>
    </row>
    <row r="27" spans="1:5" x14ac:dyDescent="0.25">
      <c r="A27" s="1">
        <f ca="1">A28-1</f>
        <v>46052</v>
      </c>
      <c r="B27">
        <f ca="1">SUMIFS(Tabela1[Ativa (kwh)],Tabela1[data],A27)</f>
        <v>14121.660000000002</v>
      </c>
      <c r="C27">
        <f ca="1">SUMIFS(Tabela1[Reativa (kvarh)],Tabela1[data],A27)</f>
        <v>2515.8000000000002</v>
      </c>
      <c r="D27">
        <f t="shared" ca="1" si="9"/>
        <v>14.121660000000002</v>
      </c>
      <c r="E27">
        <f t="shared" ca="1" si="10"/>
        <v>2.5158</v>
      </c>
    </row>
    <row r="28" spans="1:5" x14ac:dyDescent="0.25">
      <c r="A28" s="1">
        <f ca="1">A29-1</f>
        <v>46053</v>
      </c>
      <c r="B28">
        <f ca="1">SUMIFS(Tabela1[Ativa (kwh)],Tabela1[data],A28)</f>
        <v>14013.720000000001</v>
      </c>
      <c r="C28">
        <f ca="1">SUMIFS(Tabela1[Reativa (kvarh)],Tabela1[data],A28)</f>
        <v>2095.8000000000002</v>
      </c>
      <c r="D28">
        <f t="shared" ca="1" si="9"/>
        <v>14.013720000000001</v>
      </c>
      <c r="E28">
        <f t="shared" ca="1" si="10"/>
        <v>2.0958000000000001</v>
      </c>
    </row>
    <row r="29" spans="1:5" x14ac:dyDescent="0.25">
      <c r="A29" s="1">
        <f ca="1">A30-1</f>
        <v>46054</v>
      </c>
      <c r="B29">
        <f ca="1">SUMIFS(Tabela1[Ativa (kwh)],Tabela1[data],A29)</f>
        <v>12420.239999999998</v>
      </c>
      <c r="C29">
        <f ca="1">SUMIFS(Tabela1[Reativa (kvarh)],Tabela1[data],A29)</f>
        <v>1626.24</v>
      </c>
      <c r="D29">
        <f t="shared" ca="1" si="9"/>
        <v>12.420239999999998</v>
      </c>
      <c r="E29">
        <f t="shared" ca="1" si="10"/>
        <v>1.6262399999999999</v>
      </c>
    </row>
    <row r="30" spans="1:5" x14ac:dyDescent="0.25">
      <c r="A30" s="1">
        <f ca="1">TODAY()-1</f>
        <v>46055</v>
      </c>
      <c r="B30">
        <f ca="1">SUMIFS(Tabela1[Ativa (kwh)],Tabela1[data],A30)</f>
        <v>13443.359999999999</v>
      </c>
      <c r="C30">
        <f ca="1">SUMIFS(Tabela1[Reativa (kvarh)],Tabela1[data],A30)</f>
        <v>2128.14</v>
      </c>
      <c r="D30">
        <f t="shared" ca="1" si="9"/>
        <v>13.443359999999998</v>
      </c>
      <c r="E30">
        <f t="shared" ca="1" si="10"/>
        <v>2.1281399999999997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C16" sqref="C1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46055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244.44</v>
      </c>
      <c r="D5" s="4">
        <f ca="1">C5/1000</f>
        <v>0.24443999999999999</v>
      </c>
    </row>
    <row r="6" spans="2:4" x14ac:dyDescent="0.25">
      <c r="B6" s="4">
        <v>2</v>
      </c>
      <c r="C6" s="4">
        <f ca="1">SUMIFS(Tabela1[Ativa (kwh)],Tabela1[data],$C$2,Tabela1[Hora],B6)</f>
        <v>228.48</v>
      </c>
      <c r="D6" s="4">
        <f t="shared" ref="D6:D28" ca="1" si="0">C6/1000</f>
        <v>0.22847999999999999</v>
      </c>
    </row>
    <row r="7" spans="2:4" x14ac:dyDescent="0.25">
      <c r="B7" s="4">
        <v>3</v>
      </c>
      <c r="C7" s="4">
        <f ca="1">SUMIFS(Tabela1[Ativa (kwh)],Tabela1[data],$C$2,Tabela1[Hora],B7)</f>
        <v>225.12</v>
      </c>
      <c r="D7" s="4">
        <f t="shared" ca="1" si="0"/>
        <v>0.22512000000000001</v>
      </c>
    </row>
    <row r="8" spans="2:4" x14ac:dyDescent="0.25">
      <c r="B8" s="4">
        <v>4</v>
      </c>
      <c r="C8" s="4">
        <f ca="1">SUMIFS(Tabela1[Ativa (kwh)],Tabela1[data],$C$2,Tabela1[Hora],B8)</f>
        <v>225.12</v>
      </c>
      <c r="D8" s="4">
        <f t="shared" ca="1" si="0"/>
        <v>0.22512000000000001</v>
      </c>
    </row>
    <row r="9" spans="2:4" x14ac:dyDescent="0.25">
      <c r="B9" s="4">
        <v>5</v>
      </c>
      <c r="C9" s="4">
        <f ca="1">SUMIFS(Tabela1[Ativa (kwh)],Tabela1[data],$C$2,Tabela1[Hora],B9)</f>
        <v>226.38</v>
      </c>
      <c r="D9" s="4">
        <f t="shared" ca="1" si="0"/>
        <v>0.22638</v>
      </c>
    </row>
    <row r="10" spans="2:4" x14ac:dyDescent="0.25">
      <c r="B10" s="4">
        <v>6</v>
      </c>
      <c r="C10" s="4">
        <f ca="1">SUMIFS(Tabela1[Ativa (kwh)],Tabela1[data],$C$2,Tabela1[Hora],B10)</f>
        <v>222.6</v>
      </c>
      <c r="D10" s="4">
        <f t="shared" ca="1" si="0"/>
        <v>0.22259999999999999</v>
      </c>
    </row>
    <row r="11" spans="2:4" x14ac:dyDescent="0.25">
      <c r="B11" s="4">
        <v>7</v>
      </c>
      <c r="C11" s="4">
        <f ca="1">SUMIFS(Tabela1[Ativa (kwh)],Tabela1[data],$C$2,Tabela1[Hora],B11)</f>
        <v>249.48</v>
      </c>
      <c r="D11" s="4">
        <f t="shared" ca="1" si="0"/>
        <v>0.24947999999999998</v>
      </c>
    </row>
    <row r="12" spans="2:4" x14ac:dyDescent="0.25">
      <c r="B12" s="4">
        <v>8</v>
      </c>
      <c r="C12" s="4">
        <f ca="1">SUMIFS(Tabela1[Ativa (kwh)],Tabela1[data],$C$2,Tabela1[Hora],B12)</f>
        <v>256.2</v>
      </c>
      <c r="D12" s="4">
        <f t="shared" ca="1" si="0"/>
        <v>0.25619999999999998</v>
      </c>
    </row>
    <row r="13" spans="2:4" x14ac:dyDescent="0.25">
      <c r="B13" s="4">
        <v>9</v>
      </c>
      <c r="C13" s="4">
        <f ca="1">SUMIFS(Tabela1[Ativa (kwh)],Tabela1[data],$C$2,Tabela1[Hora],B13)</f>
        <v>306.18</v>
      </c>
      <c r="D13" s="4">
        <f t="shared" ca="1" si="0"/>
        <v>0.30618000000000001</v>
      </c>
    </row>
    <row r="14" spans="2:4" x14ac:dyDescent="0.25">
      <c r="B14" s="4">
        <v>10</v>
      </c>
      <c r="C14" s="4">
        <f ca="1">SUMIFS(Tabela1[Ativa (kwh)],Tabela1[data],$C$2,Tabela1[Hora],B14)</f>
        <v>475.44</v>
      </c>
      <c r="D14" s="4">
        <f t="shared" ca="1" si="0"/>
        <v>0.47543999999999997</v>
      </c>
    </row>
    <row r="15" spans="2:4" x14ac:dyDescent="0.25">
      <c r="B15" s="4">
        <v>11</v>
      </c>
      <c r="C15" s="4">
        <f ca="1">SUMIFS(Tabela1[Ativa (kwh)],Tabela1[data],$C$2,Tabela1[Hora],B15)</f>
        <v>889.14</v>
      </c>
      <c r="D15" s="4">
        <f t="shared" ca="1" si="0"/>
        <v>0.88914000000000004</v>
      </c>
    </row>
    <row r="16" spans="2:4" x14ac:dyDescent="0.25">
      <c r="B16" s="4">
        <v>12</v>
      </c>
      <c r="C16" s="4">
        <f ca="1">SUMIFS(Tabela1[Ativa (kwh)],Tabela1[data],$C$2,Tabela1[Hora],B16)</f>
        <v>920.64</v>
      </c>
      <c r="D16" s="4">
        <f t="shared" ca="1" si="0"/>
        <v>0.92064000000000001</v>
      </c>
    </row>
    <row r="17" spans="2:4" x14ac:dyDescent="0.25">
      <c r="B17" s="4">
        <v>13</v>
      </c>
      <c r="C17" s="4">
        <f ca="1">SUMIFS(Tabela1[Ativa (kwh)],Tabela1[data],$C$2,Tabela1[Hora],B17)</f>
        <v>924</v>
      </c>
      <c r="D17" s="4">
        <f t="shared" ca="1" si="0"/>
        <v>0.92400000000000004</v>
      </c>
    </row>
    <row r="18" spans="2:4" x14ac:dyDescent="0.25">
      <c r="B18" s="4">
        <v>14</v>
      </c>
      <c r="C18" s="4">
        <f ca="1">SUMIFS(Tabela1[Ativa (kwh)],Tabela1[data],$C$2,Tabela1[Hora],B18)</f>
        <v>922.32</v>
      </c>
      <c r="D18" s="4">
        <f t="shared" ca="1" si="0"/>
        <v>0.92232000000000003</v>
      </c>
    </row>
    <row r="19" spans="2:4" x14ac:dyDescent="0.25">
      <c r="B19" s="4">
        <v>15</v>
      </c>
      <c r="C19" s="4">
        <f ca="1">SUMIFS(Tabela1[Ativa (kwh)],Tabela1[data],$C$2,Tabela1[Hora],B19)</f>
        <v>909.72</v>
      </c>
      <c r="D19" s="4">
        <f t="shared" ca="1" si="0"/>
        <v>0.90971999999999997</v>
      </c>
    </row>
    <row r="20" spans="2:4" x14ac:dyDescent="0.25">
      <c r="B20" s="4">
        <v>16</v>
      </c>
      <c r="C20" s="4">
        <f ca="1">SUMIFS(Tabela1[Ativa (kwh)],Tabela1[data],$C$2,Tabela1[Hora],B20)</f>
        <v>900.06</v>
      </c>
      <c r="D20" s="4">
        <f t="shared" ca="1" si="0"/>
        <v>0.90005999999999997</v>
      </c>
    </row>
    <row r="21" spans="2:4" x14ac:dyDescent="0.25">
      <c r="B21" s="4">
        <v>17</v>
      </c>
      <c r="C21" s="4">
        <f ca="1">SUMIFS(Tabela1[Ativa (kwh)],Tabela1[data],$C$2,Tabela1[Hora],B21)</f>
        <v>924.84</v>
      </c>
      <c r="D21" s="4">
        <f t="shared" ca="1" si="0"/>
        <v>0.92484</v>
      </c>
    </row>
    <row r="22" spans="2:4" x14ac:dyDescent="0.25">
      <c r="B22" s="4">
        <v>18</v>
      </c>
      <c r="C22" s="4">
        <f ca="1">SUMIFS(Tabela1[Ativa (kwh)],Tabela1[data],$C$2,Tabela1[Hora],B22)</f>
        <v>919.8</v>
      </c>
      <c r="D22" s="4">
        <f t="shared" ca="1" si="0"/>
        <v>0.91979999999999995</v>
      </c>
    </row>
    <row r="23" spans="2:4" x14ac:dyDescent="0.25">
      <c r="B23" s="4">
        <v>19</v>
      </c>
      <c r="C23" s="4">
        <f ca="1">SUMIFS(Tabela1[Ativa (kwh)],Tabela1[data],$C$2,Tabela1[Hora],B23)</f>
        <v>903.42</v>
      </c>
      <c r="D23" s="4">
        <f t="shared" ca="1" si="0"/>
        <v>0.90342</v>
      </c>
    </row>
    <row r="24" spans="2:4" x14ac:dyDescent="0.25">
      <c r="B24" s="4">
        <v>20</v>
      </c>
      <c r="C24" s="4">
        <f ca="1">SUMIFS(Tabela1[Ativa (kwh)],Tabela1[data],$C$2,Tabela1[Hora],B24)</f>
        <v>713.58</v>
      </c>
      <c r="D24" s="4">
        <f t="shared" ca="1" si="0"/>
        <v>0.71357999999999999</v>
      </c>
    </row>
    <row r="25" spans="2:4" x14ac:dyDescent="0.25">
      <c r="B25" s="4">
        <v>21</v>
      </c>
      <c r="C25" s="4">
        <f ca="1">SUMIFS(Tabela1[Ativa (kwh)],Tabela1[data],$C$2,Tabela1[Hora],B25)</f>
        <v>610.26</v>
      </c>
      <c r="D25" s="4">
        <f t="shared" ca="1" si="0"/>
        <v>0.61026000000000002</v>
      </c>
    </row>
    <row r="26" spans="2:4" x14ac:dyDescent="0.25">
      <c r="B26" s="4">
        <v>22</v>
      </c>
      <c r="C26" s="4">
        <f ca="1">SUMIFS(Tabela1[Ativa (kwh)],Tabela1[data],$C$2,Tabela1[Hora],B26)</f>
        <v>586.74</v>
      </c>
      <c r="D26" s="4">
        <f t="shared" ca="1" si="0"/>
        <v>0.58674000000000004</v>
      </c>
    </row>
    <row r="27" spans="2:4" x14ac:dyDescent="0.25">
      <c r="B27" s="4">
        <v>23</v>
      </c>
      <c r="C27" s="4">
        <f ca="1">SUMIFS(Tabela1[Ativa (kwh)],Tabela1[data],$C$2,Tabela1[Hora],B27)</f>
        <v>376.74</v>
      </c>
      <c r="D27" s="4">
        <f t="shared" ca="1" si="0"/>
        <v>0.37674000000000002</v>
      </c>
    </row>
    <row r="28" spans="2:4" x14ac:dyDescent="0.25">
      <c r="B28" s="4">
        <v>24</v>
      </c>
      <c r="C28" s="4">
        <f ca="1">SUMIFS(Tabela1[Ativa (kwh)],Tabela1[data],$C$2,Tabela1[Hora],B28)</f>
        <v>282.66000000000003</v>
      </c>
      <c r="D28" s="4">
        <f t="shared" ca="1" si="0"/>
        <v>0.28266000000000002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tabSelected="1" workbookViewId="0">
      <selection activeCell="C17" sqref="C17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25863.600000000002</v>
      </c>
      <c r="E15">
        <f>D15/1000</f>
        <v>25.863600000000002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2026-02-03T14:24:36Z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