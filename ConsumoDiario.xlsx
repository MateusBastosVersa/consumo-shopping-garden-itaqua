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56" documentId="8_{8D12E28F-71B1-4F28-B6C5-4462CC8675C5}" xr6:coauthVersionLast="47" xr6:coauthVersionMax="47" xr10:uidLastSave="{DA313810-FACD-4F3E-83A5-99A663A83981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37" i="1" l="1"/>
  <c r="H9937" i="1"/>
  <c r="I9936" i="1"/>
  <c r="H9936" i="1"/>
  <c r="I9935" i="1"/>
  <c r="H9935" i="1"/>
  <c r="I9934" i="1"/>
  <c r="H9934" i="1"/>
  <c r="I9933" i="1"/>
  <c r="H9933" i="1"/>
  <c r="I9932" i="1"/>
  <c r="H9932" i="1"/>
  <c r="I9931" i="1"/>
  <c r="H9931" i="1"/>
  <c r="I9930" i="1"/>
  <c r="H9930" i="1"/>
  <c r="I9929" i="1"/>
  <c r="H9929" i="1"/>
  <c r="I9928" i="1"/>
  <c r="H9928" i="1"/>
  <c r="I9927" i="1"/>
  <c r="H9927" i="1"/>
  <c r="I9926" i="1"/>
  <c r="H9926" i="1"/>
  <c r="I9925" i="1"/>
  <c r="H9925" i="1"/>
  <c r="I9924" i="1"/>
  <c r="H9924" i="1"/>
  <c r="I9923" i="1"/>
  <c r="H9923" i="1"/>
  <c r="I9922" i="1"/>
  <c r="H9922" i="1"/>
  <c r="I9921" i="1"/>
  <c r="H9921" i="1"/>
  <c r="I9920" i="1"/>
  <c r="H9920" i="1"/>
  <c r="I9919" i="1"/>
  <c r="H9919" i="1"/>
  <c r="I9918" i="1"/>
  <c r="H9918" i="1"/>
  <c r="I9917" i="1"/>
  <c r="H9917" i="1"/>
  <c r="I9916" i="1"/>
  <c r="H9916" i="1"/>
  <c r="I9915" i="1"/>
  <c r="H9915" i="1"/>
  <c r="I9914" i="1"/>
  <c r="H9914" i="1"/>
  <c r="I9913" i="1"/>
  <c r="H9913" i="1"/>
  <c r="I9912" i="1"/>
  <c r="H9912" i="1"/>
  <c r="I9911" i="1"/>
  <c r="H9911" i="1"/>
  <c r="I9910" i="1"/>
  <c r="H9910" i="1"/>
  <c r="I9909" i="1"/>
  <c r="H9909" i="1"/>
  <c r="I9908" i="1"/>
  <c r="H9908" i="1"/>
  <c r="I9907" i="1"/>
  <c r="H9907" i="1"/>
  <c r="I9906" i="1"/>
  <c r="H9906" i="1"/>
  <c r="I9905" i="1"/>
  <c r="H9905" i="1"/>
  <c r="I9904" i="1"/>
  <c r="H9904" i="1"/>
  <c r="I9903" i="1"/>
  <c r="H9903" i="1"/>
  <c r="I9902" i="1"/>
  <c r="H9902" i="1"/>
  <c r="I9901" i="1"/>
  <c r="H9901" i="1"/>
  <c r="I9900" i="1"/>
  <c r="H9900" i="1"/>
  <c r="I9899" i="1"/>
  <c r="H9899" i="1"/>
  <c r="I9898" i="1"/>
  <c r="H9898" i="1"/>
  <c r="I9897" i="1"/>
  <c r="H9897" i="1"/>
  <c r="I9896" i="1"/>
  <c r="H9896" i="1"/>
  <c r="I9895" i="1"/>
  <c r="H9895" i="1"/>
  <c r="I9894" i="1"/>
  <c r="H9894" i="1"/>
  <c r="I9893" i="1"/>
  <c r="H9893" i="1"/>
  <c r="I9892" i="1"/>
  <c r="H9892" i="1"/>
  <c r="I9891" i="1"/>
  <c r="H9891" i="1"/>
  <c r="I9890" i="1"/>
  <c r="H9890" i="1"/>
  <c r="I9889" i="1"/>
  <c r="H9889" i="1"/>
  <c r="I9888" i="1"/>
  <c r="H9888" i="1"/>
  <c r="I9887" i="1"/>
  <c r="H9887" i="1"/>
  <c r="I9886" i="1"/>
  <c r="H9886" i="1"/>
  <c r="I9885" i="1"/>
  <c r="H9885" i="1"/>
  <c r="I9884" i="1"/>
  <c r="H9884" i="1"/>
  <c r="I9883" i="1"/>
  <c r="H9883" i="1"/>
  <c r="I9882" i="1"/>
  <c r="H9882" i="1"/>
  <c r="I9881" i="1"/>
  <c r="H9881" i="1"/>
  <c r="I9880" i="1"/>
  <c r="H9880" i="1"/>
  <c r="I9879" i="1"/>
  <c r="H9879" i="1"/>
  <c r="I9878" i="1"/>
  <c r="H9878" i="1"/>
  <c r="I9877" i="1"/>
  <c r="H9877" i="1"/>
  <c r="I9876" i="1"/>
  <c r="H9876" i="1"/>
  <c r="I9875" i="1"/>
  <c r="H9875" i="1"/>
  <c r="I9874" i="1"/>
  <c r="H9874" i="1"/>
  <c r="I9873" i="1"/>
  <c r="H9873" i="1"/>
  <c r="I9872" i="1"/>
  <c r="H9872" i="1"/>
  <c r="I9871" i="1"/>
  <c r="H9871" i="1"/>
  <c r="I9870" i="1"/>
  <c r="H9870" i="1"/>
  <c r="I9869" i="1"/>
  <c r="H9869" i="1"/>
  <c r="I9868" i="1"/>
  <c r="H9868" i="1"/>
  <c r="I9867" i="1"/>
  <c r="H9867" i="1"/>
  <c r="I9866" i="1"/>
  <c r="H9866" i="1"/>
  <c r="I9865" i="1"/>
  <c r="H9865" i="1"/>
  <c r="I9864" i="1"/>
  <c r="H9864" i="1"/>
  <c r="I9863" i="1"/>
  <c r="H9863" i="1"/>
  <c r="I9862" i="1"/>
  <c r="H9862" i="1"/>
  <c r="I9861" i="1"/>
  <c r="H9861" i="1"/>
  <c r="I9860" i="1"/>
  <c r="H9860" i="1"/>
  <c r="I9859" i="1"/>
  <c r="H9859" i="1"/>
  <c r="I9858" i="1"/>
  <c r="H9858" i="1"/>
  <c r="I9857" i="1"/>
  <c r="H9857" i="1"/>
  <c r="I9856" i="1"/>
  <c r="H9856" i="1"/>
  <c r="I9855" i="1"/>
  <c r="H9855" i="1"/>
  <c r="I9854" i="1"/>
  <c r="H9854" i="1"/>
  <c r="I9853" i="1"/>
  <c r="H9853" i="1"/>
  <c r="I9852" i="1"/>
  <c r="H9852" i="1"/>
  <c r="I9851" i="1"/>
  <c r="H9851" i="1"/>
  <c r="I9850" i="1"/>
  <c r="H9850" i="1"/>
  <c r="I9849" i="1"/>
  <c r="H9849" i="1"/>
  <c r="I9848" i="1"/>
  <c r="H9848" i="1"/>
  <c r="I9847" i="1"/>
  <c r="H9847" i="1"/>
  <c r="I9846" i="1"/>
  <c r="H9846" i="1"/>
  <c r="I9845" i="1"/>
  <c r="H9845" i="1"/>
  <c r="I9844" i="1"/>
  <c r="H9844" i="1"/>
  <c r="I9843" i="1"/>
  <c r="H9843" i="1"/>
  <c r="I9842" i="1"/>
  <c r="H9842" i="1"/>
  <c r="I9841" i="1"/>
  <c r="H9841" i="1"/>
  <c r="I9840" i="1"/>
  <c r="H9840" i="1"/>
  <c r="I9839" i="1"/>
  <c r="H9839" i="1"/>
  <c r="I9838" i="1"/>
  <c r="H9838" i="1"/>
  <c r="I9837" i="1"/>
  <c r="H9837" i="1"/>
  <c r="I9836" i="1"/>
  <c r="H9836" i="1"/>
  <c r="I9835" i="1"/>
  <c r="H9835" i="1"/>
  <c r="I9834" i="1"/>
  <c r="H9834" i="1"/>
  <c r="I9833" i="1"/>
  <c r="H9833" i="1"/>
  <c r="I9832" i="1"/>
  <c r="H9832" i="1"/>
  <c r="I9831" i="1"/>
  <c r="H9831" i="1"/>
  <c r="I9830" i="1"/>
  <c r="H9830" i="1"/>
  <c r="I9829" i="1"/>
  <c r="H9829" i="1"/>
  <c r="I9828" i="1"/>
  <c r="H9828" i="1"/>
  <c r="I9827" i="1"/>
  <c r="H9827" i="1"/>
  <c r="I9826" i="1"/>
  <c r="H9826" i="1"/>
  <c r="I9825" i="1"/>
  <c r="H9825" i="1"/>
  <c r="I9824" i="1"/>
  <c r="H9824" i="1"/>
  <c r="I9823" i="1"/>
  <c r="H9823" i="1"/>
  <c r="I9822" i="1"/>
  <c r="H9822" i="1"/>
  <c r="I9821" i="1"/>
  <c r="H9821" i="1"/>
  <c r="I9820" i="1"/>
  <c r="H9820" i="1"/>
  <c r="I9819" i="1"/>
  <c r="H9819" i="1"/>
  <c r="I9818" i="1"/>
  <c r="H9818" i="1"/>
  <c r="I9817" i="1"/>
  <c r="H9817" i="1"/>
  <c r="I9816" i="1"/>
  <c r="H9816" i="1"/>
  <c r="I9815" i="1"/>
  <c r="H9815" i="1"/>
  <c r="I9814" i="1"/>
  <c r="H9814" i="1"/>
  <c r="I9813" i="1"/>
  <c r="H9813" i="1"/>
  <c r="I9812" i="1"/>
  <c r="H9812" i="1"/>
  <c r="I9811" i="1"/>
  <c r="H9811" i="1"/>
  <c r="I9810" i="1"/>
  <c r="H9810" i="1"/>
  <c r="I9809" i="1"/>
  <c r="H9809" i="1"/>
  <c r="I9808" i="1"/>
  <c r="H9808" i="1"/>
  <c r="I9807" i="1"/>
  <c r="H9807" i="1"/>
  <c r="I9806" i="1"/>
  <c r="H9806" i="1"/>
  <c r="I9805" i="1"/>
  <c r="H9805" i="1"/>
  <c r="I9804" i="1"/>
  <c r="H9804" i="1"/>
  <c r="I9803" i="1"/>
  <c r="H9803" i="1"/>
  <c r="I9802" i="1"/>
  <c r="H9802" i="1"/>
  <c r="I9801" i="1"/>
  <c r="H9801" i="1"/>
  <c r="I9800" i="1"/>
  <c r="H9800" i="1"/>
  <c r="I9799" i="1"/>
  <c r="H9799" i="1"/>
  <c r="I9798" i="1"/>
  <c r="H9798" i="1"/>
  <c r="I9797" i="1"/>
  <c r="H9797" i="1"/>
  <c r="I9796" i="1"/>
  <c r="H9796" i="1"/>
  <c r="I9795" i="1"/>
  <c r="H9795" i="1"/>
  <c r="I9794" i="1"/>
  <c r="H9794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D15" i="4" s="1"/>
  <c r="E15" i="4" s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<sst xmlns="http://schemas.openxmlformats.org/spreadsheetml/2006/main" count="37847" uniqueCount="46">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</sst>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910" workbookViewId="0">
      <selection activeCell="N9926" sqref="N9926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F9914" t="s">
        <v>44</v>
      </c>
      <c r="G9914" t="s">
        <v>45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F9915" t="s">
        <v>44</v>
      </c>
      <c r="G9915" t="s">
        <v>45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F9916" t="s">
        <v>44</v>
      </c>
      <c r="G9916" t="s">
        <v>45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F9917" t="s">
        <v>44</v>
      </c>
      <c r="G9917" t="s">
        <v>45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F9918" t="s">
        <v>44</v>
      </c>
      <c r="G9918" t="s">
        <v>45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F9919" t="s">
        <v>44</v>
      </c>
      <c r="G9919" t="s">
        <v>45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F9920" t="s">
        <v>44</v>
      </c>
      <c r="G9920" t="s">
        <v>45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F9921" t="s">
        <v>44</v>
      </c>
      <c r="G9921" t="s">
        <v>45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F9922" t="s">
        <v>44</v>
      </c>
      <c r="G9922" t="s">
        <v>45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F9923" t="s">
        <v>44</v>
      </c>
      <c r="G9923" t="s">
        <v>45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F9924" t="s">
        <v>44</v>
      </c>
      <c r="G9924" t="s">
        <v>45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F9925" t="s">
        <v>44</v>
      </c>
      <c r="G9925" t="s">
        <v>45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F9926" t="s">
        <v>44</v>
      </c>
      <c r="G9926" t="s">
        <v>45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F9927" t="s">
        <v>44</v>
      </c>
      <c r="G9927" t="s">
        <v>45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F9928" t="s">
        <v>44</v>
      </c>
      <c r="G9928" t="s">
        <v>45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F9929" t="s">
        <v>44</v>
      </c>
      <c r="G9929" t="s">
        <v>45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F9930" t="s">
        <v>44</v>
      </c>
      <c r="G9930" t="s">
        <v>45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F9931" t="s">
        <v>44</v>
      </c>
      <c r="G9931" t="s">
        <v>45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F9932" t="s">
        <v>44</v>
      </c>
      <c r="G9932" t="s">
        <v>45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F9933" t="s">
        <v>44</v>
      </c>
      <c r="G9933" t="s">
        <v>45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F9934" t="s">
        <v>44</v>
      </c>
      <c r="G9934" t="s">
        <v>45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F9935" t="s">
        <v>44</v>
      </c>
      <c r="G9935" t="s">
        <v>45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F9936" t="s">
        <v>44</v>
      </c>
      <c r="G9936" t="s">
        <v>45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F9937" t="s">
        <v>44</v>
      </c>
      <c r="G9937" t="s">
        <v>45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B9938" s="1"/>
      <c r="H9938" s="5"/>
    </row>
    <row r="9939" spans="1:9" x14ac:dyDescent="0.25">
      <c r="B9939" s="1"/>
      <c r="H9939" s="5"/>
    </row>
    <row r="9940" spans="1:9" x14ac:dyDescent="0.25">
      <c r="B9940" s="1"/>
      <c r="H9940" s="5"/>
    </row>
    <row r="9941" spans="1:9" x14ac:dyDescent="0.25">
      <c r="B9941" s="1"/>
      <c r="H9941" s="5"/>
    </row>
    <row r="9942" spans="1:9" x14ac:dyDescent="0.25">
      <c r="B9942" s="1"/>
      <c r="H9942" s="5"/>
    </row>
    <row r="9943" spans="1:9" x14ac:dyDescent="0.25">
      <c r="B9943" s="1"/>
      <c r="H9943" s="5"/>
    </row>
    <row r="9944" spans="1:9" x14ac:dyDescent="0.25">
      <c r="B9944" s="1"/>
      <c r="H9944" s="5"/>
    </row>
    <row r="9945" spans="1:9" x14ac:dyDescent="0.25">
      <c r="B9945" s="1"/>
      <c r="H9945" s="5"/>
    </row>
    <row r="9946" spans="1:9" x14ac:dyDescent="0.25">
      <c r="B9946" s="1"/>
      <c r="H9946" s="5"/>
    </row>
    <row r="9947" spans="1:9" x14ac:dyDescent="0.25">
      <c r="B9947" s="1"/>
      <c r="H9947" s="5"/>
    </row>
    <row r="9948" spans="1:9" x14ac:dyDescent="0.25">
      <c r="B9948" s="1"/>
      <c r="H9948" s="5"/>
    </row>
    <row r="9949" spans="1:9" x14ac:dyDescent="0.25">
      <c r="B9949" s="1"/>
      <c r="H9949" s="5"/>
    </row>
    <row r="9950" spans="1:9" x14ac:dyDescent="0.25">
      <c r="B9950" s="1"/>
      <c r="H9950" s="5"/>
    </row>
    <row r="9951" spans="1:9" x14ac:dyDescent="0.25">
      <c r="B9951" s="1"/>
      <c r="H9951" s="5"/>
    </row>
    <row r="9952" spans="1:9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46043</v>
      </c>
      <c r="B2">
        <f ca="1">SUMIFS(Tabela1[Ativa (kwh)],Tabela1[data],A2)</f>
        <v>12381.18</v>
      </c>
      <c r="C2">
        <f ca="1">SUMIFS(Tabela1[Reativa (kvarh)],Tabela1[data],A2)</f>
        <v>1631.28</v>
      </c>
      <c r="D2">
        <f t="shared" ref="D2" ca="1" si="1">B2/1000</f>
        <v>12.381180000000001</v>
      </c>
      <c r="E2">
        <f t="shared" ref="E2" ca="1" si="2">C2/1000</f>
        <v>1.6312800000000001</v>
      </c>
    </row>
    <row r="3" spans="1:5" x14ac:dyDescent="0.25">
      <c r="A3" s="1">
        <f t="shared" ca="1" si="0"/>
        <v>46044</v>
      </c>
      <c r="B3">
        <f ca="1">SUMIFS(Tabela1[Ativa (kwh)],Tabela1[data],A3)</f>
        <v>12840.659999999998</v>
      </c>
      <c r="C3">
        <f ca="1">SUMIFS(Tabela1[Reativa (kvarh)],Tabela1[data],A3)</f>
        <v>1766.9399999999998</v>
      </c>
      <c r="D3">
        <f t="shared" ref="D3" ca="1" si="3">B3/1000</f>
        <v>12.840659999999998</v>
      </c>
      <c r="E3">
        <f t="shared" ref="E3" ca="1" si="4">C3/1000</f>
        <v>1.7669399999999997</v>
      </c>
    </row>
    <row r="4" spans="1:5" x14ac:dyDescent="0.25">
      <c r="A4" s="1">
        <f t="shared" ca="1" si="0"/>
        <v>46045</v>
      </c>
      <c r="B4">
        <f ca="1">SUMIFS(Tabela1[Ativa (kwh)],Tabela1[data],A4)</f>
        <v>13196.400000000001</v>
      </c>
      <c r="C4">
        <f ca="1">SUMIFS(Tabela1[Reativa (kvarh)],Tabela1[data],A4)</f>
        <v>1843.8000000000002</v>
      </c>
      <c r="D4">
        <f t="shared" ref="D4:D20" ca="1" si="5">B4/1000</f>
        <v>13.196400000000001</v>
      </c>
      <c r="E4">
        <f t="shared" ref="E4:E20" ca="1" si="6">C4/1000</f>
        <v>1.8438000000000001</v>
      </c>
    </row>
    <row r="5" spans="1:5" x14ac:dyDescent="0.25">
      <c r="A5" s="1">
        <f t="shared" ca="1" si="0"/>
        <v>46046</v>
      </c>
      <c r="B5">
        <f ca="1">SUMIFS(Tabela1[Ativa (kwh)],Tabela1[data],A5)</f>
        <v>13135.08</v>
      </c>
      <c r="C5">
        <f ca="1">SUMIFS(Tabela1[Reativa (kvarh)],Tabela1[data],A5)</f>
        <v>1895.8800000000003</v>
      </c>
      <c r="D5">
        <f t="shared" ca="1" si="5"/>
        <v>13.13508</v>
      </c>
      <c r="E5">
        <f t="shared" ca="1" si="6"/>
        <v>1.8958800000000002</v>
      </c>
    </row>
    <row r="6" spans="1:5" x14ac:dyDescent="0.25">
      <c r="A6" s="1">
        <f t="shared" ca="1" si="0"/>
        <v>46047</v>
      </c>
      <c r="B6">
        <f ca="1">SUMIFS(Tabela1[Ativa (kwh)],Tabela1[data],A6)</f>
        <v>12241.32</v>
      </c>
      <c r="C6">
        <f ca="1">SUMIFS(Tabela1[Reativa (kvarh)],Tabela1[data],A6)</f>
        <v>1618.68</v>
      </c>
      <c r="D6">
        <f t="shared" ca="1" si="5"/>
        <v>12.24132</v>
      </c>
      <c r="E6">
        <f t="shared" ca="1" si="6"/>
        <v>1.6186800000000001</v>
      </c>
    </row>
    <row r="7" spans="1:5" x14ac:dyDescent="0.25">
      <c r="A7" s="1">
        <f t="shared" ca="1" si="0"/>
        <v>46048</v>
      </c>
      <c r="B7">
        <f ca="1">SUMIFS(Tabela1[Ativa (kwh)],Tabela1[data],A7)</f>
        <v>13613.039999999999</v>
      </c>
      <c r="C7">
        <f ca="1">SUMIFS(Tabela1[Reativa (kvarh)],Tabela1[data],A7)</f>
        <v>2065.1400000000003</v>
      </c>
      <c r="D7">
        <f t="shared" ca="1" si="5"/>
        <v>13.61304</v>
      </c>
      <c r="E7">
        <f t="shared" ca="1" si="6"/>
        <v>2.0651400000000004</v>
      </c>
    </row>
    <row r="8" spans="1:5" x14ac:dyDescent="0.25">
      <c r="A8" s="1">
        <f t="shared" ca="1" si="0"/>
        <v>46049</v>
      </c>
      <c r="B8">
        <f ca="1">SUMIFS(Tabela1[Ativa (kwh)],Tabela1[data],A8)</f>
        <v>14142.659999999998</v>
      </c>
      <c r="C8">
        <f ca="1">SUMIFS(Tabela1[Reativa (kvarh)],Tabela1[data],A8)</f>
        <v>2213.4</v>
      </c>
      <c r="D8">
        <f t="shared" ca="1" si="5"/>
        <v>14.142659999999998</v>
      </c>
      <c r="E8">
        <f t="shared" ca="1" si="6"/>
        <v>2.2134</v>
      </c>
    </row>
    <row r="9" spans="1:5" x14ac:dyDescent="0.25">
      <c r="A9" s="1">
        <f t="shared" ca="1" si="0"/>
        <v>46050</v>
      </c>
      <c r="B9">
        <f ca="1">SUMIFS(Tabela1[Ativa (kwh)],Tabela1[data],A9)</f>
        <v>14193.899999999998</v>
      </c>
      <c r="C9">
        <f ca="1">SUMIFS(Tabela1[Reativa (kvarh)],Tabela1[data],A9)</f>
        <v>2321.3400000000006</v>
      </c>
      <c r="D9">
        <f t="shared" ca="1" si="5"/>
        <v>14.193899999999998</v>
      </c>
      <c r="E9">
        <f t="shared" ca="1" si="6"/>
        <v>2.3213400000000006</v>
      </c>
    </row>
    <row r="10" spans="1:5" x14ac:dyDescent="0.25">
      <c r="A10" s="1">
        <f t="shared" ca="1" si="0"/>
        <v>46051</v>
      </c>
      <c r="B10">
        <f ca="1">SUMIFS(Tabela1[Ativa (kwh)],Tabela1[data],A10)</f>
        <v>14400.539999999999</v>
      </c>
      <c r="C10">
        <f ca="1">SUMIFS(Tabela1[Reativa (kvarh)],Tabela1[data],A10)</f>
        <v>2362.4999999999995</v>
      </c>
      <c r="D10">
        <f t="shared" ca="1" si="5"/>
        <v>14.400539999999999</v>
      </c>
      <c r="E10">
        <f t="shared" ca="1" si="6"/>
        <v>2.3624999999999994</v>
      </c>
    </row>
    <row r="11" spans="1:5" x14ac:dyDescent="0.25">
      <c r="A11" s="1">
        <f t="shared" ca="1" si="0"/>
        <v>46052</v>
      </c>
      <c r="B11">
        <f ca="1">SUMIFS(Tabela1[Ativa (kwh)],Tabela1[data],A11)</f>
        <v>14121.660000000002</v>
      </c>
      <c r="C11">
        <f ca="1">SUMIFS(Tabela1[Reativa (kvarh)],Tabela1[data],A11)</f>
        <v>2515.8000000000002</v>
      </c>
      <c r="D11">
        <f t="shared" ca="1" si="5"/>
        <v>14.121660000000002</v>
      </c>
      <c r="E11">
        <f t="shared" ca="1" si="6"/>
        <v>2.5158</v>
      </c>
    </row>
    <row r="12" spans="1:5" x14ac:dyDescent="0.25">
      <c r="A12" s="1">
        <f t="shared" ca="1" si="0"/>
        <v>46053</v>
      </c>
      <c r="B12">
        <f ca="1">SUMIFS(Tabela1[Ativa (kwh)],Tabela1[data],A12)</f>
        <v>14013.720000000001</v>
      </c>
      <c r="C12">
        <f ca="1">SUMIFS(Tabela1[Reativa (kvarh)],Tabela1[data],A12)</f>
        <v>2095.8000000000002</v>
      </c>
      <c r="D12">
        <f t="shared" ca="1" si="5"/>
        <v>14.013720000000001</v>
      </c>
      <c r="E12">
        <f t="shared" ca="1" si="6"/>
        <v>2.0958000000000001</v>
      </c>
    </row>
    <row r="13" spans="1:5" x14ac:dyDescent="0.25">
      <c r="A13" s="1">
        <f t="shared" ca="1" si="0"/>
        <v>46054</v>
      </c>
      <c r="B13">
        <f ca="1">SUMIFS(Tabela1[Ativa (kwh)],Tabela1[data],A13)</f>
        <v>12420.239999999998</v>
      </c>
      <c r="C13">
        <f ca="1">SUMIFS(Tabela1[Reativa (kvarh)],Tabela1[data],A13)</f>
        <v>1626.24</v>
      </c>
      <c r="D13">
        <f t="shared" ca="1" si="5"/>
        <v>12.420239999999998</v>
      </c>
      <c r="E13">
        <f t="shared" ca="1" si="6"/>
        <v>1.6262399999999999</v>
      </c>
    </row>
    <row r="14" spans="1:5" x14ac:dyDescent="0.25">
      <c r="A14" s="1">
        <f t="shared" ref="A14:A20" ca="1" si="7">A15-1</f>
        <v>46055</v>
      </c>
      <c r="B14">
        <f ca="1">SUMIFS(Tabela1[Ativa (kwh)],Tabela1[data],A14)</f>
        <v>13443.359999999999</v>
      </c>
      <c r="C14">
        <f ca="1">SUMIFS(Tabela1[Reativa (kvarh)],Tabela1[data],A14)</f>
        <v>2128.14</v>
      </c>
      <c r="D14">
        <f t="shared" ca="1" si="5"/>
        <v>13.443359999999998</v>
      </c>
      <c r="E14">
        <f t="shared" ca="1" si="6"/>
        <v>2.1281399999999997</v>
      </c>
    </row>
    <row r="15" spans="1:5" x14ac:dyDescent="0.25">
      <c r="A15" s="1">
        <f t="shared" ca="1" si="7"/>
        <v>46056</v>
      </c>
      <c r="B15">
        <f ca="1">SUMIFS(Tabela1[Ativa (kwh)],Tabela1[data],A15)</f>
        <v>14899.92</v>
      </c>
      <c r="C15">
        <f ca="1">SUMIFS(Tabela1[Reativa (kvarh)],Tabela1[data],A15)</f>
        <v>2819.4600000000005</v>
      </c>
      <c r="D15">
        <f t="shared" ca="1" si="5"/>
        <v>14.89992</v>
      </c>
      <c r="E15">
        <f t="shared" ca="1" si="6"/>
        <v>2.8194600000000003</v>
      </c>
    </row>
    <row r="16" spans="1:5" x14ac:dyDescent="0.25">
      <c r="A16" s="1">
        <f t="shared" ca="1" si="7"/>
        <v>46057</v>
      </c>
      <c r="B16">
        <f ca="1">SUMIFS(Tabela1[Ativa (kwh)],Tabela1[data],A16)</f>
        <v>13592.880000000001</v>
      </c>
      <c r="C16">
        <f ca="1">SUMIFS(Tabela1[Reativa (kvarh)],Tabela1[data],A16)</f>
        <v>2151.2400000000002</v>
      </c>
      <c r="D16">
        <f t="shared" ca="1" si="5"/>
        <v>13.592880000000001</v>
      </c>
      <c r="E16">
        <f t="shared" ca="1" si="6"/>
        <v>2.15124</v>
      </c>
    </row>
    <row r="17" spans="1:5" x14ac:dyDescent="0.25">
      <c r="A17" s="1">
        <f t="shared" ca="1" si="7"/>
        <v>46058</v>
      </c>
      <c r="B17">
        <f ca="1">SUMIFS(Tabela1[Ativa (kwh)],Tabela1[data],A17)</f>
        <v>14730.240000000003</v>
      </c>
      <c r="C17">
        <f ca="1">SUMIFS(Tabela1[Reativa (kvarh)],Tabela1[data],A17)</f>
        <v>2797.2</v>
      </c>
      <c r="D17">
        <f t="shared" ca="1" si="5"/>
        <v>14.730240000000004</v>
      </c>
      <c r="E17">
        <f t="shared" ca="1" si="6"/>
        <v>2.7971999999999997</v>
      </c>
    </row>
    <row r="18" spans="1:5" x14ac:dyDescent="0.25">
      <c r="A18" s="1">
        <f t="shared" ca="1" si="7"/>
        <v>46059</v>
      </c>
      <c r="B18">
        <f ca="1">SUMIFS(Tabela1[Ativa (kwh)],Tabela1[data],A18)</f>
        <v>14102.339999999998</v>
      </c>
      <c r="C18">
        <f ca="1">SUMIFS(Tabela1[Reativa (kvarh)],Tabela1[data],A18)</f>
        <v>2479.6800000000003</v>
      </c>
      <c r="D18">
        <f t="shared" ca="1" si="5"/>
        <v>14.102339999999998</v>
      </c>
      <c r="E18">
        <f t="shared" ca="1" si="6"/>
        <v>2.4796800000000001</v>
      </c>
    </row>
    <row r="19" spans="1:5" x14ac:dyDescent="0.25">
      <c r="A19" s="1">
        <f t="shared" ca="1" si="7"/>
        <v>46060</v>
      </c>
      <c r="B19">
        <f ca="1">SUMIFS(Tabela1[Ativa (kwh)],Tabela1[data],A19)</f>
        <v>14551.739999999998</v>
      </c>
      <c r="C19">
        <f ca="1">SUMIFS(Tabela1[Reativa (kvarh)],Tabela1[data],A19)</f>
        <v>2609.46</v>
      </c>
      <c r="D19">
        <f t="shared" ca="1" si="5"/>
        <v>14.551739999999999</v>
      </c>
      <c r="E19">
        <f t="shared" ca="1" si="6"/>
        <v>2.6094599999999999</v>
      </c>
    </row>
    <row r="20" spans="1:5" x14ac:dyDescent="0.25">
      <c r="A20" s="1">
        <f t="shared" ca="1" si="7"/>
        <v>46061</v>
      </c>
      <c r="B20">
        <f ca="1">SUMIFS(Tabela1[Ativa (kwh)],Tabela1[data],A20)</f>
        <v>10849.439999999999</v>
      </c>
      <c r="C20">
        <f ca="1">SUMIFS(Tabela1[Reativa (kvarh)],Tabela1[data],A20)</f>
        <v>1142.82</v>
      </c>
      <c r="D20">
        <f t="shared" ca="1" si="5"/>
        <v>10.84944</v>
      </c>
      <c r="E20">
        <f t="shared" ca="1" si="6"/>
        <v>1.1428199999999999</v>
      </c>
    </row>
    <row r="21" spans="1:5" x14ac:dyDescent="0.25">
      <c r="A21" s="1">
        <f t="shared" ref="A21:A26" ca="1" si="8">A22-1</f>
        <v>46062</v>
      </c>
      <c r="B21">
        <f ca="1">SUMIFS(Tabela1[Ativa (kwh)],Tabela1[data],A21)</f>
        <v>13959.96</v>
      </c>
      <c r="C21">
        <f ca="1">SUMIFS(Tabela1[Reativa (kvarh)],Tabela1[data],A21)</f>
        <v>2362.08</v>
      </c>
      <c r="D21">
        <f ca="1">B21/1000</f>
        <v>13.959959999999999</v>
      </c>
      <c r="E21">
        <f ca="1">C21/1000</f>
        <v>2.3620799999999997</v>
      </c>
    </row>
    <row r="22" spans="1:5" x14ac:dyDescent="0.25">
      <c r="A22" s="1">
        <f t="shared" ca="1" si="8"/>
        <v>46063</v>
      </c>
      <c r="B22">
        <f ca="1">SUMIFS(Tabela1[Ativa (kwh)],Tabela1[data],A22)</f>
        <v>13565.580000000002</v>
      </c>
      <c r="C22">
        <f ca="1">SUMIFS(Tabela1[Reativa (kvarh)],Tabela1[data],A22)</f>
        <v>2019.3600000000001</v>
      </c>
      <c r="D22">
        <f t="shared" ref="D22:D30" ca="1" si="9">B22/1000</f>
        <v>13.565580000000002</v>
      </c>
      <c r="E22">
        <f t="shared" ref="E22:E30" ca="1" si="10">C22/1000</f>
        <v>2.0193600000000003</v>
      </c>
    </row>
    <row r="23" spans="1:5" x14ac:dyDescent="0.25">
      <c r="A23" s="1">
        <f t="shared" ca="1" si="8"/>
        <v>46064</v>
      </c>
      <c r="B23">
        <f ca="1">SUMIFS(Tabela1[Ativa (kwh)],Tabela1[data],A23)</f>
        <v>14547.119999999999</v>
      </c>
      <c r="C23">
        <f ca="1">SUMIFS(Tabela1[Reativa (kvarh)],Tabela1[data],A23)</f>
        <v>2474.6400000000003</v>
      </c>
      <c r="D23">
        <f t="shared" ca="1" si="9"/>
        <v>14.54712</v>
      </c>
      <c r="E23">
        <f t="shared" ca="1" si="10"/>
        <v>2.4746400000000004</v>
      </c>
    </row>
    <row r="24" spans="1:5" x14ac:dyDescent="0.25">
      <c r="A24" s="1">
        <f t="shared" ca="1" si="8"/>
        <v>46065</v>
      </c>
      <c r="B24">
        <f ca="1">SUMIFS(Tabela1[Ativa (kwh)],Tabela1[data],A24)</f>
        <v>14613.9</v>
      </c>
      <c r="C24">
        <f ca="1">SUMIFS(Tabela1[Reativa (kvarh)],Tabela1[data],A24)</f>
        <v>2491.8599999999997</v>
      </c>
      <c r="D24">
        <f t="shared" ca="1" si="9"/>
        <v>14.613899999999999</v>
      </c>
      <c r="E24">
        <f t="shared" ca="1" si="10"/>
        <v>2.4918599999999995</v>
      </c>
    </row>
    <row r="25" spans="1:5" x14ac:dyDescent="0.25">
      <c r="A25" s="1">
        <f t="shared" ca="1" si="8"/>
        <v>46066</v>
      </c>
      <c r="B25">
        <f ca="1">SUMIFS(Tabela1[Ativa (kwh)],Tabela1[data],A25)</f>
        <v>15783.6</v>
      </c>
      <c r="C25">
        <f ca="1">SUMIFS(Tabela1[Reativa (kvarh)],Tabela1[data],A25)</f>
        <v>3041.2200000000003</v>
      </c>
      <c r="D25">
        <f t="shared" ca="1" si="9"/>
        <v>15.7836</v>
      </c>
      <c r="E25">
        <f t="shared" ca="1" si="10"/>
        <v>3.04122</v>
      </c>
    </row>
    <row r="26" spans="1:5" x14ac:dyDescent="0.25">
      <c r="A26" s="1">
        <f t="shared" ca="1" si="8"/>
        <v>46067</v>
      </c>
      <c r="B26">
        <f ca="1">SUMIFS(Tabela1[Ativa (kwh)],Tabela1[data],A26)</f>
        <v>14310.24</v>
      </c>
      <c r="C26">
        <f ca="1">SUMIFS(Tabela1[Reativa (kvarh)],Tabela1[data],A26)</f>
        <v>2245.3199999999997</v>
      </c>
      <c r="D26">
        <f t="shared" ca="1" si="9"/>
        <v>14.31024</v>
      </c>
      <c r="E26">
        <f t="shared" ca="1" si="10"/>
        <v>2.2453199999999995</v>
      </c>
    </row>
    <row r="27" spans="1:5" x14ac:dyDescent="0.25">
      <c r="A27" s="1">
        <f ca="1">A28-1</f>
        <v>46068</v>
      </c>
      <c r="B27">
        <f ca="1">SUMIFS(Tabela1[Ativa (kwh)],Tabela1[data],A27)</f>
        <v>13153.559999999998</v>
      </c>
      <c r="C27">
        <f ca="1">SUMIFS(Tabela1[Reativa (kvarh)],Tabela1[data],A27)</f>
        <v>2066.8200000000002</v>
      </c>
      <c r="D27">
        <f t="shared" ca="1" si="9"/>
        <v>13.153559999999997</v>
      </c>
      <c r="E27">
        <f t="shared" ca="1" si="10"/>
        <v>2.0668200000000003</v>
      </c>
    </row>
    <row r="28" spans="1:5" x14ac:dyDescent="0.25">
      <c r="A28" s="1">
        <f ca="1">A29-1</f>
        <v>46069</v>
      </c>
      <c r="B28">
        <f ca="1">SUMIFS(Tabela1[Ativa (kwh)],Tabela1[data],A28)</f>
        <v>14484.960000000001</v>
      </c>
      <c r="C28">
        <f ca="1">SUMIFS(Tabela1[Reativa (kvarh)],Tabela1[data],A28)</f>
        <v>2625.84</v>
      </c>
      <c r="D28">
        <f t="shared" ca="1" si="9"/>
        <v>14.484960000000001</v>
      </c>
      <c r="E28">
        <f t="shared" ca="1" si="10"/>
        <v>2.6258400000000002</v>
      </c>
    </row>
    <row r="29" spans="1:5" x14ac:dyDescent="0.25">
      <c r="A29" s="1">
        <f ca="1">A30-1</f>
        <v>46070</v>
      </c>
      <c r="B29">
        <f ca="1">SUMIFS(Tabela1[Ativa (kwh)],Tabela1[data],A29)</f>
        <v>13996.499999999995</v>
      </c>
      <c r="C29">
        <f ca="1">SUMIFS(Tabela1[Reativa (kvarh)],Tabela1[data],A29)</f>
        <v>2766.96</v>
      </c>
      <c r="D29">
        <f t="shared" ca="1" si="9"/>
        <v>13.996499999999994</v>
      </c>
      <c r="E29">
        <f t="shared" ca="1" si="10"/>
        <v>2.7669600000000001</v>
      </c>
    </row>
    <row r="30" spans="1:5" x14ac:dyDescent="0.25">
      <c r="A30" s="1">
        <f ca="1">TODAY()-1</f>
        <v>46071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46071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E35" sqref="E35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237005.58000000019</v>
      </c>
      <c r="E15">
        <f>D15/1000</f>
        <v>237.00558000000018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2026-02-19T12:20:22Z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