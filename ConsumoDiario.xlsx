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-my.sharepoint.com/personal/mateus_bastos_versaenergia_com_br/Documents/Mateus/PYTHON/ConsumoITQ_BACKUP/consumo-shopping-garden-itaqua/"/>
    </mc:Choice>
  </mc:AlternateContent>
  <xr:revisionPtr revIDLastSave="1" documentId="13_ncr:1_{EFA4B212-D6B4-40B2-B0EF-6001CADFF9B2}" xr6:coauthVersionLast="47" xr6:coauthVersionMax="47" xr10:uidLastSave="{E2844F50-F091-4F50-8B9F-E5A8FAA9594B}"/>
  <bookViews>
    <workbookView xWindow="-120" yWindow="-120" windowWidth="20730" windowHeight="11040" activeTab="2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06" i="1" l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<sst xmlns="http://schemas.openxmlformats.org/spreadsheetml/2006/main" count="47495" uniqueCount="45">
  <si>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</si>
  <si>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</si>
  <si>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</si>
  <si>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</si>
  <si>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</si>
  <si>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</si>
  <si>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</si>
  <si>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</si>
  <si>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</si>
  <si>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</si>
  <si>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</si>
  <si>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</si>
  <si>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</si>
  <si>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</si>
  <si>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</si>
  <si>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</si>
  <si>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</si>
  <si>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</si>
  <si>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</si>
  <si>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</si>
  <si>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</si>
  <si>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</si>
  <si>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</si>
  <si>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</si>
  <si>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</si>
  <si>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</si>
  <si>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</si>
  <si>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</si>
  <si>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</si>
  <si>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</si>
  <si>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</si>
  <si>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</si>
  <si>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</si>
  <si>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</si>
  <si>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</si>
  <si>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</si>
  <si>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</si>
  <si>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</si>
  <si>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</si>
  <si>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</si>
  <si>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</si>
  <si>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</si>
  <si>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</si>
  <si>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</si>
  <si>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ESTIMADO HISTORICO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</si>
</sst>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153" totalsRowShown="0">
  <autoFilter ref="A1:I13153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153"/>
  <sheetViews>
    <sheetView topLeftCell="A13141" workbookViewId="0">
      <selection activeCell="F13120" sqref="F13120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>
        <f>YEAR(Tabela1[[#This Row],[data]])</f>
        <v>2026</v>
      </c>
    </row>
    <row r="13106" spans="1:9" x14ac:dyDescent="0.25">
      <c r="A13106" t="s">
        <v>6</v>
      </c>
      <c r="B13106" s="1">
        <v>46204</v>
      </c>
      <c r="C13106">
        <v>1</v>
      </c>
      <c r="D13106">
        <v>269.22000000000003</v>
      </c>
      <c r="E13106">
        <v>0</v>
      </c>
      <c r="F13106" t="s">
        <v>7</v>
      </c>
      <c r="G13106" t="s">
        <v>12</v>
      </c>
      <c r="H13106" s="5">
        <f>MONTH(Tabela1[[#This Row],[data]])</f>
        <v>7</v>
      </c>
      <c r="I13106" s="6">
        <f>YEAR(Tabela1[[#This Row],[data]])</f>
        <v>2026</v>
      </c>
    </row>
    <row r="13107" spans="1:9" x14ac:dyDescent="0.25">
      <c r="A13107" t="s">
        <v>6</v>
      </c>
      <c r="B13107" s="1">
        <v>46204</v>
      </c>
      <c r="C13107">
        <v>2</v>
      </c>
      <c r="D13107">
        <v>251.58</v>
      </c>
      <c r="E13107">
        <v>0</v>
      </c>
      <c r="F13107" t="s">
        <v>7</v>
      </c>
      <c r="G13107" t="s">
        <v>12</v>
      </c>
      <c r="H13107" s="5">
        <f>MONTH(Tabela1[[#This Row],[data]])</f>
        <v>7</v>
      </c>
      <c r="I13107" s="6">
        <f>YEAR(Tabela1[[#This Row],[data]])</f>
        <v>2026</v>
      </c>
    </row>
    <row r="13108" spans="1:9" x14ac:dyDescent="0.25">
      <c r="A13108" t="s">
        <v>6</v>
      </c>
      <c r="B13108" s="1">
        <v>46204</v>
      </c>
      <c r="C13108">
        <v>3</v>
      </c>
      <c r="D13108">
        <v>243.6</v>
      </c>
      <c r="E13108">
        <v>0</v>
      </c>
      <c r="F13108" t="s">
        <v>7</v>
      </c>
      <c r="G13108" t="s">
        <v>12</v>
      </c>
      <c r="H13108" s="5">
        <f>MONTH(Tabela1[[#This Row],[data]])</f>
        <v>7</v>
      </c>
      <c r="I13108" s="6">
        <f>YEAR(Tabela1[[#This Row],[data]])</f>
        <v>2026</v>
      </c>
    </row>
    <row r="13109" spans="1:9" x14ac:dyDescent="0.25">
      <c r="A13109" t="s">
        <v>6</v>
      </c>
      <c r="B13109" s="1">
        <v>46204</v>
      </c>
      <c r="C13109">
        <v>4</v>
      </c>
      <c r="D13109">
        <v>244.44</v>
      </c>
      <c r="E13109">
        <v>0</v>
      </c>
      <c r="F13109" t="s">
        <v>7</v>
      </c>
      <c r="G13109" t="s">
        <v>12</v>
      </c>
      <c r="H13109" s="5">
        <f>MONTH(Tabela1[[#This Row],[data]])</f>
        <v>7</v>
      </c>
      <c r="I13109" s="6">
        <f>YEAR(Tabela1[[#This Row],[data]])</f>
        <v>2026</v>
      </c>
    </row>
    <row r="13110" spans="1:9" x14ac:dyDescent="0.25">
      <c r="A13110" t="s">
        <v>6</v>
      </c>
      <c r="B13110" s="1">
        <v>46204</v>
      </c>
      <c r="C13110">
        <v>5</v>
      </c>
      <c r="D13110">
        <v>243.6</v>
      </c>
      <c r="E13110">
        <v>0</v>
      </c>
      <c r="F13110" t="s">
        <v>7</v>
      </c>
      <c r="G13110" t="s">
        <v>12</v>
      </c>
      <c r="H13110" s="5">
        <f>MONTH(Tabela1[[#This Row],[data]])</f>
        <v>7</v>
      </c>
      <c r="I13110" s="6">
        <f>YEAR(Tabela1[[#This Row],[data]])</f>
        <v>2026</v>
      </c>
    </row>
    <row r="13111" spans="1:9" x14ac:dyDescent="0.25">
      <c r="A13111" t="s">
        <v>6</v>
      </c>
      <c r="B13111" s="1">
        <v>46204</v>
      </c>
      <c r="C13111">
        <v>6</v>
      </c>
      <c r="D13111">
        <v>239.82</v>
      </c>
      <c r="E13111">
        <v>0</v>
      </c>
      <c r="F13111" t="s">
        <v>7</v>
      </c>
      <c r="G13111" t="s">
        <v>12</v>
      </c>
      <c r="H13111" s="5">
        <f>MONTH(Tabela1[[#This Row],[data]])</f>
        <v>7</v>
      </c>
      <c r="I13111" s="6">
        <f>YEAR(Tabela1[[#This Row],[data]])</f>
        <v>2026</v>
      </c>
    </row>
    <row r="13112" spans="1:9" x14ac:dyDescent="0.25">
      <c r="A13112" t="s">
        <v>6</v>
      </c>
      <c r="B13112" s="1">
        <v>46204</v>
      </c>
      <c r="C13112">
        <v>7</v>
      </c>
      <c r="D13112">
        <v>236.46</v>
      </c>
      <c r="E13112">
        <v>0</v>
      </c>
      <c r="F13112" t="s">
        <v>7</v>
      </c>
      <c r="G13112" t="s">
        <v>12</v>
      </c>
      <c r="H13112" s="5">
        <f>MONTH(Tabela1[[#This Row],[data]])</f>
        <v>7</v>
      </c>
      <c r="I13112" s="6">
        <f>YEAR(Tabela1[[#This Row],[data]])</f>
        <v>2026</v>
      </c>
    </row>
    <row r="13113" spans="1:9" x14ac:dyDescent="0.25">
      <c r="A13113" t="s">
        <v>6</v>
      </c>
      <c r="B13113" s="1">
        <v>46204</v>
      </c>
      <c r="C13113">
        <v>8</v>
      </c>
      <c r="D13113">
        <v>270.06</v>
      </c>
      <c r="E13113">
        <v>0</v>
      </c>
      <c r="F13113" t="s">
        <v>7</v>
      </c>
      <c r="G13113" t="s">
        <v>12</v>
      </c>
      <c r="H13113" s="5">
        <f>MONTH(Tabela1[[#This Row],[data]])</f>
        <v>7</v>
      </c>
      <c r="I13113" s="6">
        <f>YEAR(Tabela1[[#This Row],[data]])</f>
        <v>2026</v>
      </c>
    </row>
    <row r="13114" spans="1:9" x14ac:dyDescent="0.25">
      <c r="A13114" t="s">
        <v>6</v>
      </c>
      <c r="B13114" s="1">
        <v>46204</v>
      </c>
      <c r="C13114">
        <v>9</v>
      </c>
      <c r="D13114">
        <v>324.24</v>
      </c>
      <c r="E13114">
        <v>0</v>
      </c>
      <c r="F13114" t="s">
        <v>7</v>
      </c>
      <c r="G13114" t="s">
        <v>12</v>
      </c>
      <c r="H13114" s="5">
        <f>MONTH(Tabela1[[#This Row],[data]])</f>
        <v>7</v>
      </c>
      <c r="I13114" s="6">
        <f>YEAR(Tabela1[[#This Row],[data]])</f>
        <v>2026</v>
      </c>
    </row>
    <row r="13115" spans="1:9" x14ac:dyDescent="0.25">
      <c r="A13115" t="s">
        <v>6</v>
      </c>
      <c r="B13115" s="1">
        <v>46204</v>
      </c>
      <c r="C13115">
        <v>10</v>
      </c>
      <c r="D13115">
        <v>409.08</v>
      </c>
      <c r="E13115">
        <v>0.84</v>
      </c>
      <c r="F13115" t="s">
        <v>7</v>
      </c>
      <c r="G13115" t="s">
        <v>12</v>
      </c>
      <c r="H13115" s="5">
        <f>MONTH(Tabela1[[#This Row],[data]])</f>
        <v>7</v>
      </c>
      <c r="I13115" s="6">
        <f>YEAR(Tabela1[[#This Row],[data]])</f>
        <v>2026</v>
      </c>
    </row>
    <row r="13116" spans="1:9" x14ac:dyDescent="0.25">
      <c r="A13116" t="s">
        <v>6</v>
      </c>
      <c r="B13116" s="1">
        <v>46204</v>
      </c>
      <c r="C13116">
        <v>11</v>
      </c>
      <c r="D13116">
        <v>531.72</v>
      </c>
      <c r="E13116">
        <v>23.52</v>
      </c>
      <c r="F13116" t="s">
        <v>7</v>
      </c>
      <c r="G13116" t="s">
        <v>12</v>
      </c>
      <c r="H13116" s="5">
        <f>MONTH(Tabela1[[#This Row],[data]])</f>
        <v>7</v>
      </c>
      <c r="I13116" s="6">
        <f>YEAR(Tabela1[[#This Row],[data]])</f>
        <v>2026</v>
      </c>
    </row>
    <row r="13117" spans="1:9" x14ac:dyDescent="0.25">
      <c r="A13117" t="s">
        <v>6</v>
      </c>
      <c r="B13117" s="1">
        <v>46204</v>
      </c>
      <c r="C13117">
        <v>12</v>
      </c>
      <c r="D13117">
        <v>712.74</v>
      </c>
      <c r="E13117">
        <v>93.24</v>
      </c>
      <c r="F13117" t="s">
        <v>7</v>
      </c>
      <c r="G13117" t="s">
        <v>12</v>
      </c>
      <c r="H13117" s="5">
        <f>MONTH(Tabela1[[#This Row],[data]])</f>
        <v>7</v>
      </c>
      <c r="I13117" s="6">
        <f>YEAR(Tabela1[[#This Row],[data]])</f>
        <v>2026</v>
      </c>
    </row>
    <row r="13118" spans="1:9" x14ac:dyDescent="0.25">
      <c r="A13118" t="s">
        <v>6</v>
      </c>
      <c r="B13118" s="1">
        <v>46204</v>
      </c>
      <c r="C13118">
        <v>13</v>
      </c>
      <c r="D13118">
        <v>932.4</v>
      </c>
      <c r="E13118">
        <v>196.56</v>
      </c>
      <c r="F13118" t="s">
        <v>7</v>
      </c>
      <c r="G13118" t="s">
        <v>12</v>
      </c>
      <c r="H13118" s="5">
        <f>MONTH(Tabela1[[#This Row],[data]])</f>
        <v>7</v>
      </c>
      <c r="I13118" s="6">
        <f>YEAR(Tabela1[[#This Row],[data]])</f>
        <v>2026</v>
      </c>
    </row>
    <row r="13119" spans="1:9" x14ac:dyDescent="0.25">
      <c r="A13119" t="s">
        <v>6</v>
      </c>
      <c r="B13119" s="1">
        <v>46204</v>
      </c>
      <c r="C13119">
        <v>14</v>
      </c>
      <c r="D13119">
        <v>840</v>
      </c>
      <c r="E13119">
        <v>164.64</v>
      </c>
      <c r="F13119" t="s">
        <v>7</v>
      </c>
      <c r="G13119" t="s">
        <v>12</v>
      </c>
      <c r="H13119" s="5">
        <f>MONTH(Tabela1[[#This Row],[data]])</f>
        <v>7</v>
      </c>
      <c r="I13119" s="6">
        <f>YEAR(Tabela1[[#This Row],[data]])</f>
        <v>2026</v>
      </c>
    </row>
    <row r="13120" spans="1:9" x14ac:dyDescent="0.25">
      <c r="A13120" t="s">
        <v>6</v>
      </c>
      <c r="B13120" s="1">
        <v>46204</v>
      </c>
      <c r="C13120">
        <v>15</v>
      </c>
      <c r="D13120">
        <v>836.22</v>
      </c>
      <c r="E13120">
        <v>160.02000000000001</v>
      </c>
      <c r="F13120" t="s">
        <v>7</v>
      </c>
      <c r="G13120" t="s">
        <v>12</v>
      </c>
      <c r="H13120" s="5">
        <f>MONTH(Tabela1[[#This Row],[data]])</f>
        <v>7</v>
      </c>
      <c r="I13120" s="6">
        <f>YEAR(Tabela1[[#This Row],[data]])</f>
        <v>2026</v>
      </c>
    </row>
    <row r="13121" spans="1:9" x14ac:dyDescent="0.25">
      <c r="A13121" t="s">
        <v>6</v>
      </c>
      <c r="B13121" s="1">
        <v>46204</v>
      </c>
      <c r="C13121">
        <v>16</v>
      </c>
      <c r="D13121">
        <v>853.02</v>
      </c>
      <c r="E13121">
        <v>169.68</v>
      </c>
      <c r="F13121" t="s">
        <v>7</v>
      </c>
      <c r="G13121" t="s">
        <v>12</v>
      </c>
      <c r="H13121" s="5">
        <f>MONTH(Tabela1[[#This Row],[data]])</f>
        <v>7</v>
      </c>
      <c r="I13121" s="6">
        <f>YEAR(Tabela1[[#This Row],[data]])</f>
        <v>2026</v>
      </c>
    </row>
    <row r="13122" spans="1:9" x14ac:dyDescent="0.25">
      <c r="A13122" t="s">
        <v>6</v>
      </c>
      <c r="B13122" s="1">
        <v>46204</v>
      </c>
      <c r="C13122">
        <v>17</v>
      </c>
      <c r="D13122">
        <v>843.36</v>
      </c>
      <c r="E13122">
        <v>185.22</v>
      </c>
      <c r="F13122" t="s">
        <v>7</v>
      </c>
      <c r="G13122" t="s">
        <v>12</v>
      </c>
      <c r="H13122" s="5">
        <f>MONTH(Tabela1[[#This Row],[data]])</f>
        <v>7</v>
      </c>
      <c r="I13122" s="6">
        <f>YEAR(Tabela1[[#This Row],[data]])</f>
        <v>2026</v>
      </c>
    </row>
    <row r="13123" spans="1:9" x14ac:dyDescent="0.25">
      <c r="A13123" t="s">
        <v>6</v>
      </c>
      <c r="B13123" s="1">
        <v>46204</v>
      </c>
      <c r="C13123">
        <v>18</v>
      </c>
      <c r="D13123">
        <v>815.22</v>
      </c>
      <c r="E13123">
        <v>163.38</v>
      </c>
      <c r="F13123" t="s">
        <v>7</v>
      </c>
      <c r="G13123" t="s">
        <v>12</v>
      </c>
      <c r="H13123" s="5">
        <f>MONTH(Tabela1[[#This Row],[data]])</f>
        <v>7</v>
      </c>
      <c r="I13123" s="6">
        <f>YEAR(Tabela1[[#This Row],[data]])</f>
        <v>2026</v>
      </c>
    </row>
    <row r="13124" spans="1:9" x14ac:dyDescent="0.25">
      <c r="A13124" t="s">
        <v>6</v>
      </c>
      <c r="B13124" s="1">
        <v>46204</v>
      </c>
      <c r="C13124">
        <v>19</v>
      </c>
      <c r="D13124">
        <v>808.92</v>
      </c>
      <c r="E13124">
        <v>143.22</v>
      </c>
      <c r="F13124" t="s">
        <v>7</v>
      </c>
      <c r="G13124" t="s">
        <v>12</v>
      </c>
      <c r="H13124" s="5">
        <f>MONTH(Tabela1[[#This Row],[data]])</f>
        <v>7</v>
      </c>
      <c r="I13124" s="6">
        <f>YEAR(Tabela1[[#This Row],[data]])</f>
        <v>2026</v>
      </c>
    </row>
    <row r="13125" spans="1:9" x14ac:dyDescent="0.25">
      <c r="A13125" t="s">
        <v>6</v>
      </c>
      <c r="B13125" s="1">
        <v>46204</v>
      </c>
      <c r="C13125">
        <v>20</v>
      </c>
      <c r="D13125">
        <v>746.76</v>
      </c>
      <c r="E13125">
        <v>125.16</v>
      </c>
      <c r="F13125" t="s">
        <v>7</v>
      </c>
      <c r="G13125" t="s">
        <v>12</v>
      </c>
      <c r="H13125" s="5">
        <f>MONTH(Tabela1[[#This Row],[data]])</f>
        <v>7</v>
      </c>
      <c r="I13125" s="6">
        <f>YEAR(Tabela1[[#This Row],[data]])</f>
        <v>2026</v>
      </c>
    </row>
    <row r="13126" spans="1:9" x14ac:dyDescent="0.25">
      <c r="A13126" t="s">
        <v>6</v>
      </c>
      <c r="B13126" s="1">
        <v>46204</v>
      </c>
      <c r="C13126">
        <v>21</v>
      </c>
      <c r="D13126">
        <v>576.24</v>
      </c>
      <c r="E13126">
        <v>26.46</v>
      </c>
      <c r="F13126" t="s">
        <v>7</v>
      </c>
      <c r="G13126" t="s">
        <v>12</v>
      </c>
      <c r="H13126" s="5">
        <f>MONTH(Tabela1[[#This Row],[data]])</f>
        <v>7</v>
      </c>
      <c r="I13126" s="6">
        <f>YEAR(Tabela1[[#This Row],[data]])</f>
        <v>2026</v>
      </c>
    </row>
    <row r="13127" spans="1:9" x14ac:dyDescent="0.25">
      <c r="A13127" t="s">
        <v>6</v>
      </c>
      <c r="B13127" s="1">
        <v>46204</v>
      </c>
      <c r="C13127">
        <v>22</v>
      </c>
      <c r="D13127">
        <v>557.34</v>
      </c>
      <c r="E13127">
        <v>27.72</v>
      </c>
      <c r="F13127" t="s">
        <v>7</v>
      </c>
      <c r="G13127" t="s">
        <v>12</v>
      </c>
      <c r="H13127" s="5">
        <f>MONTH(Tabela1[[#This Row],[data]])</f>
        <v>7</v>
      </c>
      <c r="I13127" s="6">
        <f>YEAR(Tabela1[[#This Row],[data]])</f>
        <v>2026</v>
      </c>
    </row>
    <row r="13128" spans="1:9" x14ac:dyDescent="0.25">
      <c r="A13128" t="s">
        <v>6</v>
      </c>
      <c r="B13128" s="1">
        <v>46204</v>
      </c>
      <c r="C13128">
        <v>23</v>
      </c>
      <c r="D13128">
        <v>365.4</v>
      </c>
      <c r="E13128">
        <v>0</v>
      </c>
      <c r="F13128" t="s">
        <v>7</v>
      </c>
      <c r="G13128" t="s">
        <v>12</v>
      </c>
      <c r="H13128" s="5">
        <f>MONTH(Tabela1[[#This Row],[data]])</f>
        <v>7</v>
      </c>
      <c r="I13128" s="6">
        <f>YEAR(Tabela1[[#This Row],[data]])</f>
        <v>2026</v>
      </c>
    </row>
    <row r="13129" spans="1:9" x14ac:dyDescent="0.25">
      <c r="A13129" t="s">
        <v>6</v>
      </c>
      <c r="B13129" s="1">
        <v>46204</v>
      </c>
      <c r="C13129">
        <v>24</v>
      </c>
      <c r="D13129">
        <v>278.04000000000002</v>
      </c>
      <c r="E13129">
        <v>0</v>
      </c>
      <c r="F13129" t="s">
        <v>7</v>
      </c>
      <c r="G13129" t="s">
        <v>12</v>
      </c>
      <c r="H13129" s="5">
        <f>MONTH(Tabela1[[#This Row],[data]])</f>
        <v>7</v>
      </c>
      <c r="I13129" s="6">
        <f>YEAR(Tabela1[[#This Row],[data]])</f>
        <v>2026</v>
      </c>
    </row>
    <row r="13130" spans="1:9" x14ac:dyDescent="0.25">
      <c r="A13130" t="s">
        <v>6</v>
      </c>
      <c r="B13130" s="1">
        <v>46205</v>
      </c>
      <c r="C13130">
        <v>1</v>
      </c>
      <c r="D13130">
        <v>240.52</v>
      </c>
      <c r="E13130">
        <v>0</v>
      </c>
      <c r="F13130" t="s">
        <v>7</v>
      </c>
      <c r="G13130" t="s">
        <v>44</v>
      </c>
      <c r="H13130" s="5">
        <f>MONTH(Tabela1[[#This Row],[data]])</f>
        <v>7</v>
      </c>
      <c r="I13130" s="6">
        <f>YEAR(Tabela1[[#This Row],[data]])</f>
        <v>2026</v>
      </c>
    </row>
    <row r="13131" spans="1:9" x14ac:dyDescent="0.25">
      <c r="A13131" t="s">
        <v>6</v>
      </c>
      <c r="B13131" s="1">
        <v>46205</v>
      </c>
      <c r="C13131">
        <v>2</v>
      </c>
      <c r="D13131">
        <v>228.30500000000001</v>
      </c>
      <c r="E13131">
        <v>0</v>
      </c>
      <c r="F13131" t="s">
        <v>7</v>
      </c>
      <c r="G13131" t="s">
        <v>44</v>
      </c>
      <c r="H13131" s="5">
        <f>MONTH(Tabela1[[#This Row],[data]])</f>
        <v>7</v>
      </c>
      <c r="I13131" s="6">
        <f>YEAR(Tabela1[[#This Row],[data]])</f>
        <v>2026</v>
      </c>
    </row>
    <row r="13132" spans="1:9" x14ac:dyDescent="0.25">
      <c r="A13132" t="s">
        <v>6</v>
      </c>
      <c r="B13132" s="1">
        <v>46205</v>
      </c>
      <c r="C13132">
        <v>3</v>
      </c>
      <c r="D13132">
        <v>225.64500000000001</v>
      </c>
      <c r="E13132">
        <v>0</v>
      </c>
      <c r="F13132" t="s">
        <v>7</v>
      </c>
      <c r="G13132" t="s">
        <v>44</v>
      </c>
      <c r="H13132" s="5">
        <f>MONTH(Tabela1[[#This Row],[data]])</f>
        <v>7</v>
      </c>
      <c r="I13132" s="6">
        <f>YEAR(Tabela1[[#This Row],[data]])</f>
        <v>2026</v>
      </c>
    </row>
    <row r="13133" spans="1:9" x14ac:dyDescent="0.25">
      <c r="A13133" t="s">
        <v>6</v>
      </c>
      <c r="B13133" s="1">
        <v>46205</v>
      </c>
      <c r="C13133">
        <v>4</v>
      </c>
      <c r="D13133">
        <v>225.08500000000001</v>
      </c>
      <c r="E13133">
        <v>0</v>
      </c>
      <c r="F13133" t="s">
        <v>7</v>
      </c>
      <c r="G13133" t="s">
        <v>44</v>
      </c>
      <c r="H13133" s="5">
        <f>MONTH(Tabela1[[#This Row],[data]])</f>
        <v>7</v>
      </c>
      <c r="I13133" s="6">
        <f>YEAR(Tabela1[[#This Row],[data]])</f>
        <v>2026</v>
      </c>
    </row>
    <row r="13134" spans="1:9" x14ac:dyDescent="0.25">
      <c r="A13134" t="s">
        <v>6</v>
      </c>
      <c r="B13134" s="1">
        <v>46205</v>
      </c>
      <c r="C13134">
        <v>5</v>
      </c>
      <c r="D13134">
        <v>232.61</v>
      </c>
      <c r="E13134">
        <v>0</v>
      </c>
      <c r="F13134" t="s">
        <v>7</v>
      </c>
      <c r="G13134" t="s">
        <v>44</v>
      </c>
      <c r="H13134" s="5">
        <f>MONTH(Tabela1[[#This Row],[data]])</f>
        <v>7</v>
      </c>
      <c r="I13134" s="6">
        <f>YEAR(Tabela1[[#This Row],[data]])</f>
        <v>2026</v>
      </c>
    </row>
    <row r="13135" spans="1:9" x14ac:dyDescent="0.25">
      <c r="A13135" t="s">
        <v>6</v>
      </c>
      <c r="B13135" s="1">
        <v>46205</v>
      </c>
      <c r="C13135">
        <v>6</v>
      </c>
      <c r="D13135">
        <v>227.88499999999999</v>
      </c>
      <c r="E13135">
        <v>0</v>
      </c>
      <c r="F13135" t="s">
        <v>7</v>
      </c>
      <c r="G13135" t="s">
        <v>44</v>
      </c>
      <c r="H13135" s="5">
        <f>MONTH(Tabela1[[#This Row],[data]])</f>
        <v>7</v>
      </c>
      <c r="I13135" s="6">
        <f>YEAR(Tabela1[[#This Row],[data]])</f>
        <v>2026</v>
      </c>
    </row>
    <row r="13136" spans="1:9" x14ac:dyDescent="0.25">
      <c r="A13136" t="s">
        <v>6</v>
      </c>
      <c r="B13136" s="1">
        <v>46205</v>
      </c>
      <c r="C13136">
        <v>7</v>
      </c>
      <c r="D13136">
        <v>228.34</v>
      </c>
      <c r="E13136">
        <v>0</v>
      </c>
      <c r="F13136" t="s">
        <v>7</v>
      </c>
      <c r="G13136" t="s">
        <v>44</v>
      </c>
      <c r="H13136" s="5">
        <f>MONTH(Tabela1[[#This Row],[data]])</f>
        <v>7</v>
      </c>
      <c r="I13136" s="6">
        <f>YEAR(Tabela1[[#This Row],[data]])</f>
        <v>2026</v>
      </c>
    </row>
    <row r="13137" spans="1:9" x14ac:dyDescent="0.25">
      <c r="A13137" t="s">
        <v>6</v>
      </c>
      <c r="B13137" s="1">
        <v>46205</v>
      </c>
      <c r="C13137">
        <v>8</v>
      </c>
      <c r="D13137">
        <v>252.91</v>
      </c>
      <c r="E13137">
        <v>0</v>
      </c>
      <c r="F13137" t="s">
        <v>7</v>
      </c>
      <c r="G13137" t="s">
        <v>44</v>
      </c>
      <c r="H13137" s="5">
        <f>MONTH(Tabela1[[#This Row],[data]])</f>
        <v>7</v>
      </c>
      <c r="I13137" s="6">
        <f>YEAR(Tabela1[[#This Row],[data]])</f>
        <v>2026</v>
      </c>
    </row>
    <row r="13138" spans="1:9" x14ac:dyDescent="0.25">
      <c r="A13138" t="s">
        <v>6</v>
      </c>
      <c r="B13138" s="1">
        <v>46205</v>
      </c>
      <c r="C13138">
        <v>9</v>
      </c>
      <c r="D13138">
        <v>338.45</v>
      </c>
      <c r="E13138">
        <v>0</v>
      </c>
      <c r="F13138" t="s">
        <v>7</v>
      </c>
      <c r="G13138" t="s">
        <v>44</v>
      </c>
      <c r="H13138" s="5">
        <f>MONTH(Tabela1[[#This Row],[data]])</f>
        <v>7</v>
      </c>
      <c r="I13138" s="6">
        <f>YEAR(Tabela1[[#This Row],[data]])</f>
        <v>2026</v>
      </c>
    </row>
    <row r="13139" spans="1:9" x14ac:dyDescent="0.25">
      <c r="A13139" t="s">
        <v>6</v>
      </c>
      <c r="B13139" s="1">
        <v>46205</v>
      </c>
      <c r="C13139">
        <v>10</v>
      </c>
      <c r="D13139">
        <v>438.48</v>
      </c>
      <c r="E13139">
        <v>0</v>
      </c>
      <c r="F13139" t="s">
        <v>7</v>
      </c>
      <c r="G13139" t="s">
        <v>44</v>
      </c>
      <c r="H13139" s="5">
        <f>MONTH(Tabela1[[#This Row],[data]])</f>
        <v>7</v>
      </c>
      <c r="I13139" s="6">
        <f>YEAR(Tabela1[[#This Row],[data]])</f>
        <v>2026</v>
      </c>
    </row>
    <row r="13140" spans="1:9" x14ac:dyDescent="0.25">
      <c r="A13140" t="s">
        <v>6</v>
      </c>
      <c r="B13140" s="1">
        <v>46205</v>
      </c>
      <c r="C13140">
        <v>11</v>
      </c>
      <c r="D13140">
        <v>688.97500000000002</v>
      </c>
      <c r="E13140">
        <v>0</v>
      </c>
      <c r="F13140" t="s">
        <v>7</v>
      </c>
      <c r="G13140" t="s">
        <v>44</v>
      </c>
      <c r="H13140" s="5">
        <f>MONTH(Tabela1[[#This Row],[data]])</f>
        <v>7</v>
      </c>
      <c r="I13140" s="6">
        <f>YEAR(Tabela1[[#This Row],[data]])</f>
        <v>2026</v>
      </c>
    </row>
    <row r="13141" spans="1:9" x14ac:dyDescent="0.25">
      <c r="A13141" t="s">
        <v>6</v>
      </c>
      <c r="B13141" s="1">
        <v>46205</v>
      </c>
      <c r="C13141">
        <v>12</v>
      </c>
      <c r="D13141">
        <v>818.755</v>
      </c>
      <c r="E13141">
        <v>0</v>
      </c>
      <c r="F13141" t="s">
        <v>7</v>
      </c>
      <c r="G13141" t="s">
        <v>44</v>
      </c>
      <c r="H13141" s="5">
        <f>MONTH(Tabela1[[#This Row],[data]])</f>
        <v>7</v>
      </c>
      <c r="I13141" s="6">
        <f>YEAR(Tabela1[[#This Row],[data]])</f>
        <v>2026</v>
      </c>
    </row>
    <row r="13142" spans="1:9" x14ac:dyDescent="0.25">
      <c r="A13142" t="s">
        <v>6</v>
      </c>
      <c r="B13142" s="1">
        <v>46205</v>
      </c>
      <c r="C13142">
        <v>13</v>
      </c>
      <c r="D13142">
        <v>873.6</v>
      </c>
      <c r="E13142">
        <v>0</v>
      </c>
      <c r="F13142" t="s">
        <v>7</v>
      </c>
      <c r="G13142" t="s">
        <v>44</v>
      </c>
      <c r="H13142" s="5">
        <f>MONTH(Tabela1[[#This Row],[data]])</f>
        <v>7</v>
      </c>
      <c r="I13142" s="6">
        <f>YEAR(Tabela1[[#This Row],[data]])</f>
        <v>2026</v>
      </c>
    </row>
    <row r="13143" spans="1:9" x14ac:dyDescent="0.25">
      <c r="A13143" t="s">
        <v>6</v>
      </c>
      <c r="B13143" s="1">
        <v>46205</v>
      </c>
      <c r="C13143">
        <v>14</v>
      </c>
      <c r="D13143">
        <v>865.27</v>
      </c>
      <c r="E13143">
        <v>0</v>
      </c>
      <c r="F13143" t="s">
        <v>7</v>
      </c>
      <c r="G13143" t="s">
        <v>44</v>
      </c>
      <c r="H13143" s="5">
        <f>MONTH(Tabela1[[#This Row],[data]])</f>
        <v>7</v>
      </c>
      <c r="I13143" s="6">
        <f>YEAR(Tabela1[[#This Row],[data]])</f>
        <v>2026</v>
      </c>
    </row>
    <row r="13144" spans="1:9" x14ac:dyDescent="0.25">
      <c r="A13144" t="s">
        <v>6</v>
      </c>
      <c r="B13144" s="1">
        <v>46205</v>
      </c>
      <c r="C13144">
        <v>15</v>
      </c>
      <c r="D13144">
        <v>800.94</v>
      </c>
      <c r="E13144">
        <v>0</v>
      </c>
      <c r="F13144" t="s">
        <v>7</v>
      </c>
      <c r="G13144" t="s">
        <v>44</v>
      </c>
      <c r="H13144" s="5">
        <f>MONTH(Tabela1[[#This Row],[data]])</f>
        <v>7</v>
      </c>
      <c r="I13144" s="6">
        <f>YEAR(Tabela1[[#This Row],[data]])</f>
        <v>2026</v>
      </c>
    </row>
    <row r="13145" spans="1:9" x14ac:dyDescent="0.25">
      <c r="A13145" t="s">
        <v>6</v>
      </c>
      <c r="B13145" s="1">
        <v>46205</v>
      </c>
      <c r="C13145">
        <v>16</v>
      </c>
      <c r="D13145">
        <v>765.8</v>
      </c>
      <c r="E13145">
        <v>0</v>
      </c>
      <c r="F13145" t="s">
        <v>7</v>
      </c>
      <c r="G13145" t="s">
        <v>44</v>
      </c>
      <c r="H13145" s="5">
        <f>MONTH(Tabela1[[#This Row],[data]])</f>
        <v>7</v>
      </c>
      <c r="I13145" s="6">
        <f>YEAR(Tabela1[[#This Row],[data]])</f>
        <v>2026</v>
      </c>
    </row>
    <row r="13146" spans="1:9" x14ac:dyDescent="0.25">
      <c r="A13146" t="s">
        <v>6</v>
      </c>
      <c r="B13146" s="1">
        <v>46205</v>
      </c>
      <c r="C13146">
        <v>17</v>
      </c>
      <c r="D13146">
        <v>780.29</v>
      </c>
      <c r="E13146">
        <v>0</v>
      </c>
      <c r="F13146" t="s">
        <v>7</v>
      </c>
      <c r="G13146" t="s">
        <v>44</v>
      </c>
      <c r="H13146" s="5">
        <f>MONTH(Tabela1[[#This Row],[data]])</f>
        <v>7</v>
      </c>
      <c r="I13146" s="6">
        <f>YEAR(Tabela1[[#This Row],[data]])</f>
        <v>2026</v>
      </c>
    </row>
    <row r="13147" spans="1:9" x14ac:dyDescent="0.25">
      <c r="A13147" t="s">
        <v>6</v>
      </c>
      <c r="B13147" s="1">
        <v>46205</v>
      </c>
      <c r="C13147">
        <v>18</v>
      </c>
      <c r="D13147">
        <v>771.92499999999995</v>
      </c>
      <c r="E13147">
        <v>0</v>
      </c>
      <c r="F13147" t="s">
        <v>7</v>
      </c>
      <c r="G13147" t="s">
        <v>44</v>
      </c>
      <c r="H13147" s="5">
        <f>MONTH(Tabela1[[#This Row],[data]])</f>
        <v>7</v>
      </c>
      <c r="I13147" s="6">
        <f>YEAR(Tabela1[[#This Row],[data]])</f>
        <v>2026</v>
      </c>
    </row>
    <row r="13148" spans="1:9" x14ac:dyDescent="0.25">
      <c r="A13148" t="s">
        <v>6</v>
      </c>
      <c r="B13148" s="1">
        <v>46205</v>
      </c>
      <c r="C13148">
        <v>19</v>
      </c>
      <c r="D13148">
        <v>719.14499999999998</v>
      </c>
      <c r="E13148">
        <v>0</v>
      </c>
      <c r="F13148" t="s">
        <v>7</v>
      </c>
      <c r="G13148" t="s">
        <v>44</v>
      </c>
      <c r="H13148" s="5">
        <f>MONTH(Tabela1[[#This Row],[data]])</f>
        <v>7</v>
      </c>
      <c r="I13148" s="6">
        <f>YEAR(Tabela1[[#This Row],[data]])</f>
        <v>2026</v>
      </c>
    </row>
    <row r="13149" spans="1:9" x14ac:dyDescent="0.25">
      <c r="A13149" t="s">
        <v>6</v>
      </c>
      <c r="B13149" s="1">
        <v>46205</v>
      </c>
      <c r="C13149">
        <v>20</v>
      </c>
      <c r="D13149">
        <v>697.30499999999995</v>
      </c>
      <c r="E13149">
        <v>0</v>
      </c>
      <c r="F13149" t="s">
        <v>7</v>
      </c>
      <c r="G13149" t="s">
        <v>44</v>
      </c>
      <c r="H13149" s="5">
        <f>MONTH(Tabela1[[#This Row],[data]])</f>
        <v>7</v>
      </c>
      <c r="I13149" s="6">
        <f>YEAR(Tabela1[[#This Row],[data]])</f>
        <v>2026</v>
      </c>
    </row>
    <row r="13150" spans="1:9" x14ac:dyDescent="0.25">
      <c r="A13150" t="s">
        <v>6</v>
      </c>
      <c r="B13150" s="1">
        <v>46205</v>
      </c>
      <c r="C13150">
        <v>21</v>
      </c>
      <c r="D13150">
        <v>672.07</v>
      </c>
      <c r="E13150">
        <v>0</v>
      </c>
      <c r="F13150" t="s">
        <v>7</v>
      </c>
      <c r="G13150" t="s">
        <v>44</v>
      </c>
      <c r="H13150" s="5">
        <f>MONTH(Tabela1[[#This Row],[data]])</f>
        <v>7</v>
      </c>
      <c r="I13150" s="6">
        <f>YEAR(Tabela1[[#This Row],[data]])</f>
        <v>2026</v>
      </c>
    </row>
    <row r="13151" spans="1:9" x14ac:dyDescent="0.25">
      <c r="A13151" t="s">
        <v>6</v>
      </c>
      <c r="B13151" s="1">
        <v>46205</v>
      </c>
      <c r="C13151">
        <v>22</v>
      </c>
      <c r="D13151">
        <v>600.005</v>
      </c>
      <c r="E13151">
        <v>0</v>
      </c>
      <c r="F13151" t="s">
        <v>7</v>
      </c>
      <c r="G13151" t="s">
        <v>44</v>
      </c>
      <c r="H13151" s="5">
        <f>MONTH(Tabela1[[#This Row],[data]])</f>
        <v>7</v>
      </c>
      <c r="I13151" s="6">
        <f>YEAR(Tabela1[[#This Row],[data]])</f>
        <v>2026</v>
      </c>
    </row>
    <row r="13152" spans="1:9" x14ac:dyDescent="0.25">
      <c r="A13152" t="s">
        <v>6</v>
      </c>
      <c r="B13152" s="1">
        <v>46205</v>
      </c>
      <c r="C13152">
        <v>23</v>
      </c>
      <c r="D13152">
        <v>384.19499999999999</v>
      </c>
      <c r="E13152">
        <v>0</v>
      </c>
      <c r="F13152" t="s">
        <v>7</v>
      </c>
      <c r="G13152" t="s">
        <v>44</v>
      </c>
      <c r="H13152" s="5">
        <f>MONTH(Tabela1[[#This Row],[data]])</f>
        <v>7</v>
      </c>
      <c r="I13152" s="6">
        <f>YEAR(Tabela1[[#This Row],[data]])</f>
        <v>2026</v>
      </c>
    </row>
    <row r="13153" spans="1:9" x14ac:dyDescent="0.25">
      <c r="A13153" t="s">
        <v>6</v>
      </c>
      <c r="B13153" s="1">
        <v>46205</v>
      </c>
      <c r="C13153">
        <v>24</v>
      </c>
      <c r="D13153">
        <v>271.52999999999997</v>
      </c>
      <c r="E13153">
        <v>0</v>
      </c>
      <c r="F13153" t="s">
        <v>7</v>
      </c>
      <c r="G13153" t="s">
        <v>44</v>
      </c>
      <c r="H13153" s="5">
        <f>MONTH(Tabela1[[#This Row],[data]])</f>
        <v>7</v>
      </c>
      <c r="I13153" s="6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3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46177</v>
      </c>
      <c r="B2">
        <f ca="1">SUMIFS(Tabela1[Ativa (kwh)],Tabela1[data],A2)</f>
        <v>11311.44</v>
      </c>
      <c r="C2">
        <f ca="1">SUMIFS(Tabela1[Reativa (kvarh)],Tabela1[data],A2)</f>
        <v>1199.52</v>
      </c>
      <c r="D2">
        <f t="shared" ref="D2" ca="1" si="1">B2/1000</f>
        <v>11.311440000000001</v>
      </c>
      <c r="E2">
        <f t="shared" ref="E2" ca="1" si="2">C2/1000</f>
        <v>1.1995199999999999</v>
      </c>
    </row>
    <row r="3" spans="1:5" x14ac:dyDescent="0.25">
      <c r="A3" s="1">
        <f t="shared" ca="1" si="0"/>
        <v>46178</v>
      </c>
      <c r="B3">
        <f ca="1">SUMIFS(Tabela1[Ativa (kwh)],Tabela1[data],A3)</f>
        <v>12100.62</v>
      </c>
      <c r="C3">
        <f ca="1">SUMIFS(Tabela1[Reativa (kvarh)],Tabela1[data],A3)</f>
        <v>1436.8199999999997</v>
      </c>
      <c r="D3">
        <f t="shared" ref="D3" ca="1" si="3">B3/1000</f>
        <v>12.100620000000001</v>
      </c>
      <c r="E3">
        <f t="shared" ref="E3" ca="1" si="4">C3/1000</f>
        <v>1.4368199999999998</v>
      </c>
    </row>
    <row r="4" spans="1:5" x14ac:dyDescent="0.25">
      <c r="A4" s="1">
        <f t="shared" ca="1" si="0"/>
        <v>46179</v>
      </c>
      <c r="B4">
        <f ca="1">SUMIFS(Tabela1[Ativa (kwh)],Tabela1[data],A4)</f>
        <v>12494.160000000002</v>
      </c>
      <c r="C4">
        <f ca="1">SUMIFS(Tabela1[Reativa (kvarh)],Tabela1[data],A4)</f>
        <v>1729.56</v>
      </c>
      <c r="D4">
        <f t="shared" ref="D4:D20" ca="1" si="5">B4/1000</f>
        <v>12.494160000000001</v>
      </c>
      <c r="E4">
        <f t="shared" ref="E4:E20" ca="1" si="6">C4/1000</f>
        <v>1.72956</v>
      </c>
    </row>
    <row r="5" spans="1:5" x14ac:dyDescent="0.25">
      <c r="A5" s="1">
        <f t="shared" ca="1" si="0"/>
        <v>46180</v>
      </c>
      <c r="B5">
        <f ca="1">SUMIFS(Tabela1[Ativa (kwh)],Tabela1[data],A5)</f>
        <v>11148.9</v>
      </c>
      <c r="C5">
        <f ca="1">SUMIFS(Tabela1[Reativa (kvarh)],Tabela1[data],A5)</f>
        <v>1205.82</v>
      </c>
      <c r="D5">
        <f t="shared" ca="1" si="5"/>
        <v>11.148899999999999</v>
      </c>
      <c r="E5">
        <f t="shared" ca="1" si="6"/>
        <v>1.2058199999999999</v>
      </c>
    </row>
    <row r="6" spans="1:5" x14ac:dyDescent="0.25">
      <c r="A6" s="1">
        <f t="shared" ca="1" si="0"/>
        <v>46181</v>
      </c>
      <c r="B6">
        <f ca="1">SUMIFS(Tabela1[Ativa (kwh)],Tabela1[data],A6)</f>
        <v>11492.04</v>
      </c>
      <c r="C6">
        <f ca="1">SUMIFS(Tabela1[Reativa (kvarh)],Tabela1[data],A6)</f>
        <v>1235.6399999999999</v>
      </c>
      <c r="D6">
        <f t="shared" ca="1" si="5"/>
        <v>11.492040000000001</v>
      </c>
      <c r="E6">
        <f t="shared" ca="1" si="6"/>
        <v>1.2356399999999998</v>
      </c>
    </row>
    <row r="7" spans="1:5" x14ac:dyDescent="0.25">
      <c r="A7" s="1">
        <f t="shared" ca="1" si="0"/>
        <v>46182</v>
      </c>
      <c r="B7">
        <f ca="1">SUMIFS(Tabela1[Ativa (kwh)],Tabela1[data],A7)</f>
        <v>10300.5</v>
      </c>
      <c r="C7">
        <f ca="1">SUMIFS(Tabela1[Reativa (kvarh)],Tabela1[data],A7)</f>
        <v>457.38000000000005</v>
      </c>
      <c r="D7">
        <f t="shared" ca="1" si="5"/>
        <v>10.3005</v>
      </c>
      <c r="E7">
        <f t="shared" ca="1" si="6"/>
        <v>0.45738000000000006</v>
      </c>
    </row>
    <row r="8" spans="1:5" x14ac:dyDescent="0.25">
      <c r="A8" s="1">
        <f t="shared" ca="1" si="0"/>
        <v>46183</v>
      </c>
      <c r="B8">
        <f ca="1">SUMIFS(Tabela1[Ativa (kwh)],Tabela1[data],A8)</f>
        <v>11750.340000000002</v>
      </c>
      <c r="C8">
        <f ca="1">SUMIFS(Tabela1[Reativa (kvarh)],Tabela1[data],A8)</f>
        <v>1405.32</v>
      </c>
      <c r="D8">
        <f t="shared" ca="1" si="5"/>
        <v>11.750340000000001</v>
      </c>
      <c r="E8">
        <f t="shared" ca="1" si="6"/>
        <v>1.4053199999999999</v>
      </c>
    </row>
    <row r="9" spans="1:5" x14ac:dyDescent="0.25">
      <c r="A9" s="1">
        <f t="shared" ca="1" si="0"/>
        <v>46184</v>
      </c>
      <c r="B9">
        <f ca="1">SUMIFS(Tabela1[Ativa (kwh)],Tabela1[data],A9)</f>
        <v>11335.8</v>
      </c>
      <c r="C9">
        <f ca="1">SUMIFS(Tabela1[Reativa (kvarh)],Tabela1[data],A9)</f>
        <v>988.25999999999988</v>
      </c>
      <c r="D9">
        <f t="shared" ca="1" si="5"/>
        <v>11.335799999999999</v>
      </c>
      <c r="E9">
        <f t="shared" ca="1" si="6"/>
        <v>0.98825999999999992</v>
      </c>
    </row>
    <row r="10" spans="1:5" x14ac:dyDescent="0.25">
      <c r="A10" s="1">
        <f t="shared" ca="1" si="0"/>
        <v>46185</v>
      </c>
      <c r="B10">
        <f ca="1">SUMIFS(Tabela1[Ativa (kwh)],Tabela1[data],A10)</f>
        <v>10812.059999999998</v>
      </c>
      <c r="C10">
        <f ca="1">SUMIFS(Tabela1[Reativa (kvarh)],Tabela1[data],A10)</f>
        <v>656.88000000000011</v>
      </c>
      <c r="D10">
        <f t="shared" ca="1" si="5"/>
        <v>10.812059999999997</v>
      </c>
      <c r="E10">
        <f t="shared" ca="1" si="6"/>
        <v>0.65688000000000013</v>
      </c>
    </row>
    <row r="11" spans="1:5" x14ac:dyDescent="0.25">
      <c r="A11" s="1">
        <f t="shared" ca="1" si="0"/>
        <v>46186</v>
      </c>
      <c r="B11">
        <f ca="1">SUMIFS(Tabela1[Ativa (kwh)],Tabela1[data],A11)</f>
        <v>10479.420000000002</v>
      </c>
      <c r="C11">
        <f ca="1">SUMIFS(Tabela1[Reativa (kvarh)],Tabela1[data],A11)</f>
        <v>706.0200000000001</v>
      </c>
      <c r="D11">
        <f t="shared" ca="1" si="5"/>
        <v>10.479420000000001</v>
      </c>
      <c r="E11">
        <f t="shared" ca="1" si="6"/>
        <v>0.70602000000000009</v>
      </c>
    </row>
    <row r="12" spans="1:5" x14ac:dyDescent="0.25">
      <c r="A12" s="1">
        <f t="shared" ca="1" si="0"/>
        <v>46187</v>
      </c>
      <c r="B12">
        <f ca="1">SUMIFS(Tabela1[Ativa (kwh)],Tabela1[data],A12)</f>
        <v>9899.4000000000015</v>
      </c>
      <c r="C12">
        <f ca="1">SUMIFS(Tabela1[Reativa (kvarh)],Tabela1[data],A12)</f>
        <v>520.37999999999988</v>
      </c>
      <c r="D12">
        <f t="shared" ca="1" si="5"/>
        <v>9.8994000000000018</v>
      </c>
      <c r="E12">
        <f t="shared" ca="1" si="6"/>
        <v>0.52037999999999984</v>
      </c>
    </row>
    <row r="13" spans="1:5" x14ac:dyDescent="0.25">
      <c r="A13" s="1">
        <f t="shared" ca="1" si="0"/>
        <v>46188</v>
      </c>
      <c r="B13">
        <f ca="1">SUMIFS(Tabela1[Ativa (kwh)],Tabela1[data],A13)</f>
        <v>10393.740000000002</v>
      </c>
      <c r="C13">
        <f ca="1">SUMIFS(Tabela1[Reativa (kvarh)],Tabela1[data],A13)</f>
        <v>559.44000000000005</v>
      </c>
      <c r="D13">
        <f t="shared" ca="1" si="5"/>
        <v>10.393740000000001</v>
      </c>
      <c r="E13">
        <f t="shared" ca="1" si="6"/>
        <v>0.55944000000000005</v>
      </c>
    </row>
    <row r="14" spans="1:5" x14ac:dyDescent="0.25">
      <c r="A14" s="1">
        <f t="shared" ref="A14:A20" ca="1" si="7">A15-1</f>
        <v>46189</v>
      </c>
      <c r="B14">
        <f ca="1">SUMIFS(Tabela1[Ativa (kwh)],Tabela1[data],A14)</f>
        <v>10344.6</v>
      </c>
      <c r="C14">
        <f ca="1">SUMIFS(Tabela1[Reativa (kvarh)],Tabela1[data],A14)</f>
        <v>498.96000000000004</v>
      </c>
      <c r="D14">
        <f t="shared" ca="1" si="5"/>
        <v>10.3446</v>
      </c>
      <c r="E14">
        <f t="shared" ca="1" si="6"/>
        <v>0.49896000000000001</v>
      </c>
    </row>
    <row r="15" spans="1:5" x14ac:dyDescent="0.25">
      <c r="A15" s="1">
        <f t="shared" ca="1" si="7"/>
        <v>46190</v>
      </c>
      <c r="B15">
        <f ca="1">SUMIFS(Tabela1[Ativa (kwh)],Tabela1[data],A15)</f>
        <v>10232.039999999999</v>
      </c>
      <c r="C15">
        <f ca="1">SUMIFS(Tabela1[Reativa (kvarh)],Tabela1[data],A15)</f>
        <v>420.00000000000006</v>
      </c>
      <c r="D15">
        <f t="shared" ca="1" si="5"/>
        <v>10.23204</v>
      </c>
      <c r="E15">
        <f t="shared" ca="1" si="6"/>
        <v>0.42000000000000004</v>
      </c>
    </row>
    <row r="16" spans="1:5" x14ac:dyDescent="0.25">
      <c r="A16" s="1">
        <f t="shared" ca="1" si="7"/>
        <v>46191</v>
      </c>
      <c r="B16">
        <f ca="1">SUMIFS(Tabela1[Ativa (kwh)],Tabela1[data],A16)</f>
        <v>10147.620000000001</v>
      </c>
      <c r="C16">
        <f ca="1">SUMIFS(Tabela1[Reativa (kvarh)],Tabela1[data],A16)</f>
        <v>433.44</v>
      </c>
      <c r="D16">
        <f t="shared" ca="1" si="5"/>
        <v>10.147620000000002</v>
      </c>
      <c r="E16">
        <f t="shared" ca="1" si="6"/>
        <v>0.43343999999999999</v>
      </c>
    </row>
    <row r="17" spans="1:5" x14ac:dyDescent="0.25">
      <c r="A17" s="1">
        <f t="shared" ca="1" si="7"/>
        <v>46192</v>
      </c>
      <c r="B17">
        <f ca="1">SUMIFS(Tabela1[Ativa (kwh)],Tabela1[data],A17)</f>
        <v>9920.8200000000015</v>
      </c>
      <c r="C17">
        <f ca="1">SUMIFS(Tabela1[Reativa (kvarh)],Tabela1[data],A17)</f>
        <v>451.08000000000004</v>
      </c>
      <c r="D17">
        <f t="shared" ca="1" si="5"/>
        <v>9.9208200000000009</v>
      </c>
      <c r="E17">
        <f t="shared" ca="1" si="6"/>
        <v>0.45108000000000004</v>
      </c>
    </row>
    <row r="18" spans="1:5" x14ac:dyDescent="0.25">
      <c r="A18" s="1">
        <f t="shared" ca="1" si="7"/>
        <v>46193</v>
      </c>
      <c r="B18">
        <f ca="1">SUMIFS(Tabela1[Ativa (kwh)],Tabela1[data],A18)</f>
        <v>10639.86</v>
      </c>
      <c r="C18">
        <f ca="1">SUMIFS(Tabela1[Reativa (kvarh)],Tabela1[data],A18)</f>
        <v>640.50000000000023</v>
      </c>
      <c r="D18">
        <f t="shared" ca="1" si="5"/>
        <v>10.639860000000001</v>
      </c>
      <c r="E18">
        <f t="shared" ca="1" si="6"/>
        <v>0.64050000000000018</v>
      </c>
    </row>
    <row r="19" spans="1:5" x14ac:dyDescent="0.25">
      <c r="A19" s="1">
        <f t="shared" ca="1" si="7"/>
        <v>46194</v>
      </c>
      <c r="B19">
        <f ca="1">SUMIFS(Tabela1[Ativa (kwh)],Tabela1[data],A19)</f>
        <v>9581.0399999999991</v>
      </c>
      <c r="C19">
        <f ca="1">SUMIFS(Tabela1[Reativa (kvarh)],Tabela1[data],A19)</f>
        <v>405.72</v>
      </c>
      <c r="D19">
        <f t="shared" ca="1" si="5"/>
        <v>9.5810399999999998</v>
      </c>
      <c r="E19">
        <f t="shared" ca="1" si="6"/>
        <v>0.40572000000000003</v>
      </c>
    </row>
    <row r="20" spans="1:5" x14ac:dyDescent="0.25">
      <c r="A20" s="1">
        <f t="shared" ca="1" si="7"/>
        <v>46195</v>
      </c>
      <c r="B20">
        <f ca="1">SUMIFS(Tabela1[Ativa (kwh)],Tabela1[data],A20)</f>
        <v>10041.36</v>
      </c>
      <c r="C20">
        <f ca="1">SUMIFS(Tabela1[Reativa (kvarh)],Tabela1[data],A20)</f>
        <v>391.44000000000005</v>
      </c>
      <c r="D20">
        <f t="shared" ca="1" si="5"/>
        <v>10.041360000000001</v>
      </c>
      <c r="E20">
        <f t="shared" ca="1" si="6"/>
        <v>0.39144000000000007</v>
      </c>
    </row>
    <row r="21" spans="1:5" x14ac:dyDescent="0.25">
      <c r="A21" s="1">
        <f t="shared" ref="A21:A26" ca="1" si="8">A22-1</f>
        <v>46196</v>
      </c>
      <c r="B21">
        <f ca="1">SUMIFS(Tabela1[Ativa (kwh)],Tabela1[data],A21)</f>
        <v>10056.480000000001</v>
      </c>
      <c r="C21">
        <f ca="1">SUMIFS(Tabela1[Reativa (kvarh)],Tabela1[data],A21)</f>
        <v>575.4</v>
      </c>
      <c r="D21">
        <f ca="1">B21/1000</f>
        <v>10.056480000000001</v>
      </c>
      <c r="E21">
        <f ca="1">C21/1000</f>
        <v>0.57540000000000002</v>
      </c>
    </row>
    <row r="22" spans="1:5" x14ac:dyDescent="0.25">
      <c r="A22" s="1">
        <f t="shared" ca="1" si="8"/>
        <v>46197</v>
      </c>
      <c r="B22">
        <f ca="1">SUMIFS(Tabela1[Ativa (kwh)],Tabela1[data],A22)</f>
        <v>9171.1200000000008</v>
      </c>
      <c r="C22">
        <f ca="1">SUMIFS(Tabela1[Reativa (kvarh)],Tabela1[data],A22)</f>
        <v>318.35999999999996</v>
      </c>
      <c r="D22">
        <f t="shared" ref="D22:D30" ca="1" si="9">B22/1000</f>
        <v>9.1711200000000002</v>
      </c>
      <c r="E22">
        <f t="shared" ref="E22:E30" ca="1" si="10">C22/1000</f>
        <v>0.31835999999999998</v>
      </c>
    </row>
    <row r="23" spans="1:5" x14ac:dyDescent="0.25">
      <c r="A23" s="1">
        <f t="shared" ca="1" si="8"/>
        <v>46198</v>
      </c>
      <c r="B23">
        <f ca="1">SUMIFS(Tabela1[Ativa (kwh)],Tabela1[data],A23)</f>
        <v>9925.4400000000023</v>
      </c>
      <c r="C23">
        <f ca="1">SUMIFS(Tabela1[Reativa (kvarh)],Tabela1[data],A23)</f>
        <v>317.52</v>
      </c>
      <c r="D23">
        <f t="shared" ca="1" si="9"/>
        <v>9.9254400000000018</v>
      </c>
      <c r="E23">
        <f t="shared" ca="1" si="10"/>
        <v>0.31751999999999997</v>
      </c>
    </row>
    <row r="24" spans="1:5" x14ac:dyDescent="0.25">
      <c r="A24" s="1">
        <f t="shared" ca="1" si="8"/>
        <v>46199</v>
      </c>
      <c r="B24">
        <f ca="1">SUMIFS(Tabela1[Ativa (kwh)],Tabela1[data],A24)</f>
        <v>10203.899999999998</v>
      </c>
      <c r="C24">
        <f ca="1">SUMIFS(Tabela1[Reativa (kvarh)],Tabela1[data],A24)</f>
        <v>454.86</v>
      </c>
      <c r="D24">
        <f t="shared" ca="1" si="9"/>
        <v>10.203899999999997</v>
      </c>
      <c r="E24">
        <f t="shared" ca="1" si="10"/>
        <v>0.45485999999999999</v>
      </c>
    </row>
    <row r="25" spans="1:5" x14ac:dyDescent="0.25">
      <c r="A25" s="1">
        <f t="shared" ca="1" si="8"/>
        <v>46200</v>
      </c>
      <c r="B25">
        <f ca="1">SUMIFS(Tabela1[Ativa (kwh)],Tabela1[data],A25)</f>
        <v>10983.42</v>
      </c>
      <c r="C25">
        <f ca="1">SUMIFS(Tabela1[Reativa (kvarh)],Tabela1[data],A25)</f>
        <v>879.48000000000013</v>
      </c>
      <c r="D25">
        <f t="shared" ca="1" si="9"/>
        <v>10.983420000000001</v>
      </c>
      <c r="E25">
        <f t="shared" ca="1" si="10"/>
        <v>0.87948000000000015</v>
      </c>
    </row>
    <row r="26" spans="1:5" x14ac:dyDescent="0.25">
      <c r="A26" s="1">
        <f t="shared" ca="1" si="8"/>
        <v>46201</v>
      </c>
      <c r="B26">
        <f ca="1">SUMIFS(Tabela1[Ativa (kwh)],Tabela1[data],A26)</f>
        <v>9685.6200000000008</v>
      </c>
      <c r="C26">
        <f ca="1">SUMIFS(Tabela1[Reativa (kvarh)],Tabela1[data],A26)</f>
        <v>438.90000000000003</v>
      </c>
      <c r="D26">
        <f t="shared" ca="1" si="9"/>
        <v>9.6856200000000001</v>
      </c>
      <c r="E26">
        <f t="shared" ca="1" si="10"/>
        <v>0.43890000000000001</v>
      </c>
    </row>
    <row r="27" spans="1:5" x14ac:dyDescent="0.25">
      <c r="A27" s="1">
        <f ca="1">A28-1</f>
        <v>46202</v>
      </c>
      <c r="B27">
        <f ca="1">SUMIFS(Tabela1[Ativa (kwh)],Tabela1[data],A27)</f>
        <v>9930.8999999999978</v>
      </c>
      <c r="C27">
        <f ca="1">SUMIFS(Tabela1[Reativa (kvarh)],Tabela1[data],A27)</f>
        <v>457.8</v>
      </c>
      <c r="D27">
        <f t="shared" ca="1" si="9"/>
        <v>9.9308999999999976</v>
      </c>
      <c r="E27">
        <f t="shared" ca="1" si="10"/>
        <v>0.45779999999999998</v>
      </c>
    </row>
    <row r="28" spans="1:5" x14ac:dyDescent="0.25">
      <c r="A28" s="1">
        <f ca="1">A29-1</f>
        <v>46203</v>
      </c>
      <c r="B28">
        <f ca="1">SUMIFS(Tabela1[Ativa (kwh)],Tabela1[data],A28)</f>
        <v>11630.22</v>
      </c>
      <c r="C28">
        <f ca="1">SUMIFS(Tabela1[Reativa (kvarh)],Tabela1[data],A28)</f>
        <v>1309.98</v>
      </c>
      <c r="D28">
        <f t="shared" ca="1" si="9"/>
        <v>11.63022</v>
      </c>
      <c r="E28">
        <f t="shared" ca="1" si="10"/>
        <v>1.3099799999999999</v>
      </c>
    </row>
    <row r="29" spans="1:5" x14ac:dyDescent="0.25">
      <c r="A29" s="1">
        <f ca="1">A30-1</f>
        <v>46204</v>
      </c>
      <c r="B29">
        <f ca="1">SUMIFS(Tabela1[Ativa (kwh)],Tabela1[data],A29)</f>
        <v>12429.48</v>
      </c>
      <c r="C29">
        <f ca="1">SUMIFS(Tabela1[Reativa (kvarh)],Tabela1[data],A29)</f>
        <v>1479.66</v>
      </c>
      <c r="D29">
        <f t="shared" ca="1" si="9"/>
        <v>12.42948</v>
      </c>
      <c r="E29">
        <f t="shared" ca="1" si="10"/>
        <v>1.47966</v>
      </c>
    </row>
    <row r="30" spans="1:5" x14ac:dyDescent="0.25">
      <c r="A30" s="1">
        <f ca="1">TODAY()-1</f>
        <v>46205</v>
      </c>
      <c r="B30">
        <f ca="1">SUMIFS(Tabela1[Ativa (kwh)],Tabela1[data],A30)</f>
        <v>12348.035</v>
      </c>
      <c r="C30">
        <f ca="1">SUMIFS(Tabela1[Reativa (kvarh)],Tabela1[data],A30)</f>
        <v>0</v>
      </c>
      <c r="D30">
        <f t="shared" ca="1" si="9"/>
        <v>12.348034999999999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abSelected="1" workbookViewId="0">
      <selection activeCell="F8" sqref="F8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46205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240.52</v>
      </c>
      <c r="D5" s="4">
        <f ca="1">C5/1000</f>
        <v>0.24052000000000001</v>
      </c>
    </row>
    <row r="6" spans="2:4" x14ac:dyDescent="0.25">
      <c r="B6" s="4">
        <v>2</v>
      </c>
      <c r="C6" s="4">
        <f ca="1">SUMIFS(Tabela1[Ativa (kwh)],Tabela1[data],$C$2,Tabela1[Hora],B6)</f>
        <v>228.30500000000001</v>
      </c>
      <c r="D6" s="4">
        <f t="shared" ref="D6:D28" ca="1" si="0">C6/1000</f>
        <v>0.22830500000000001</v>
      </c>
    </row>
    <row r="7" spans="2:4" x14ac:dyDescent="0.25">
      <c r="B7" s="4">
        <v>3</v>
      </c>
      <c r="C7" s="4">
        <f ca="1">SUMIFS(Tabela1[Ativa (kwh)],Tabela1[data],$C$2,Tabela1[Hora],B7)</f>
        <v>225.64500000000001</v>
      </c>
      <c r="D7" s="4">
        <f t="shared" ca="1" si="0"/>
        <v>0.22564500000000001</v>
      </c>
    </row>
    <row r="8" spans="2:4" x14ac:dyDescent="0.25">
      <c r="B8" s="4">
        <v>4</v>
      </c>
      <c r="C8" s="4">
        <f ca="1">SUMIFS(Tabela1[Ativa (kwh)],Tabela1[data],$C$2,Tabela1[Hora],B8)</f>
        <v>225.08500000000001</v>
      </c>
      <c r="D8" s="4">
        <f t="shared" ca="1" si="0"/>
        <v>0.22508500000000001</v>
      </c>
    </row>
    <row r="9" spans="2:4" x14ac:dyDescent="0.25">
      <c r="B9" s="4">
        <v>5</v>
      </c>
      <c r="C9" s="4">
        <f ca="1">SUMIFS(Tabela1[Ativa (kwh)],Tabela1[data],$C$2,Tabela1[Hora],B9)</f>
        <v>232.61</v>
      </c>
      <c r="D9" s="4">
        <f t="shared" ca="1" si="0"/>
        <v>0.23261000000000001</v>
      </c>
    </row>
    <row r="10" spans="2:4" x14ac:dyDescent="0.25">
      <c r="B10" s="4">
        <v>6</v>
      </c>
      <c r="C10" s="4">
        <f ca="1">SUMIFS(Tabela1[Ativa (kwh)],Tabela1[data],$C$2,Tabela1[Hora],B10)</f>
        <v>227.88499999999999</v>
      </c>
      <c r="D10" s="4">
        <f t="shared" ca="1" si="0"/>
        <v>0.227885</v>
      </c>
    </row>
    <row r="11" spans="2:4" x14ac:dyDescent="0.25">
      <c r="B11" s="4">
        <v>7</v>
      </c>
      <c r="C11" s="4">
        <f ca="1">SUMIFS(Tabela1[Ativa (kwh)],Tabela1[data],$C$2,Tabela1[Hora],B11)</f>
        <v>228.34</v>
      </c>
      <c r="D11" s="4">
        <f t="shared" ca="1" si="0"/>
        <v>0.22834000000000002</v>
      </c>
    </row>
    <row r="12" spans="2:4" x14ac:dyDescent="0.25">
      <c r="B12" s="4">
        <v>8</v>
      </c>
      <c r="C12" s="4">
        <f ca="1">SUMIFS(Tabela1[Ativa (kwh)],Tabela1[data],$C$2,Tabela1[Hora],B12)</f>
        <v>252.91</v>
      </c>
      <c r="D12" s="4">
        <f t="shared" ca="1" si="0"/>
        <v>0.25291000000000002</v>
      </c>
    </row>
    <row r="13" spans="2:4" x14ac:dyDescent="0.25">
      <c r="B13" s="4">
        <v>9</v>
      </c>
      <c r="C13" s="4">
        <f ca="1">SUMIFS(Tabela1[Ativa (kwh)],Tabela1[data],$C$2,Tabela1[Hora],B13)</f>
        <v>338.45</v>
      </c>
      <c r="D13" s="4">
        <f t="shared" ca="1" si="0"/>
        <v>0.33844999999999997</v>
      </c>
    </row>
    <row r="14" spans="2:4" x14ac:dyDescent="0.25">
      <c r="B14" s="4">
        <v>10</v>
      </c>
      <c r="C14" s="4">
        <f ca="1">SUMIFS(Tabela1[Ativa (kwh)],Tabela1[data],$C$2,Tabela1[Hora],B14)</f>
        <v>438.48</v>
      </c>
      <c r="D14" s="4">
        <f t="shared" ca="1" si="0"/>
        <v>0.43848000000000004</v>
      </c>
    </row>
    <row r="15" spans="2:4" x14ac:dyDescent="0.25">
      <c r="B15" s="4">
        <v>11</v>
      </c>
      <c r="C15" s="4">
        <f ca="1">SUMIFS(Tabela1[Ativa (kwh)],Tabela1[data],$C$2,Tabela1[Hora],B15)</f>
        <v>688.97500000000002</v>
      </c>
      <c r="D15" s="4">
        <f t="shared" ca="1" si="0"/>
        <v>0.688975</v>
      </c>
    </row>
    <row r="16" spans="2:4" x14ac:dyDescent="0.25">
      <c r="B16" s="4">
        <v>12</v>
      </c>
      <c r="C16" s="4">
        <f ca="1">SUMIFS(Tabela1[Ativa (kwh)],Tabela1[data],$C$2,Tabela1[Hora],B16)</f>
        <v>818.755</v>
      </c>
      <c r="D16" s="4">
        <f t="shared" ca="1" si="0"/>
        <v>0.81875500000000001</v>
      </c>
    </row>
    <row r="17" spans="2:4" x14ac:dyDescent="0.25">
      <c r="B17" s="4">
        <v>13</v>
      </c>
      <c r="C17" s="4">
        <f ca="1">SUMIFS(Tabela1[Ativa (kwh)],Tabela1[data],$C$2,Tabela1[Hora],B17)</f>
        <v>873.6</v>
      </c>
      <c r="D17" s="4">
        <f t="shared" ca="1" si="0"/>
        <v>0.87360000000000004</v>
      </c>
    </row>
    <row r="18" spans="2:4" x14ac:dyDescent="0.25">
      <c r="B18" s="4">
        <v>14</v>
      </c>
      <c r="C18" s="4">
        <f ca="1">SUMIFS(Tabela1[Ativa (kwh)],Tabela1[data],$C$2,Tabela1[Hora],B18)</f>
        <v>865.27</v>
      </c>
      <c r="D18" s="4">
        <f t="shared" ca="1" si="0"/>
        <v>0.86526999999999998</v>
      </c>
    </row>
    <row r="19" spans="2:4" x14ac:dyDescent="0.25">
      <c r="B19" s="4">
        <v>15</v>
      </c>
      <c r="C19" s="4">
        <f ca="1">SUMIFS(Tabela1[Ativa (kwh)],Tabela1[data],$C$2,Tabela1[Hora],B19)</f>
        <v>800.94</v>
      </c>
      <c r="D19" s="4">
        <f t="shared" ca="1" si="0"/>
        <v>0.8009400000000001</v>
      </c>
    </row>
    <row r="20" spans="2:4" x14ac:dyDescent="0.25">
      <c r="B20" s="4">
        <v>16</v>
      </c>
      <c r="C20" s="4">
        <f ca="1">SUMIFS(Tabela1[Ativa (kwh)],Tabela1[data],$C$2,Tabela1[Hora],B20)</f>
        <v>765.8</v>
      </c>
      <c r="D20" s="4">
        <f t="shared" ca="1" si="0"/>
        <v>0.76579999999999993</v>
      </c>
    </row>
    <row r="21" spans="2:4" x14ac:dyDescent="0.25">
      <c r="B21" s="4">
        <v>17</v>
      </c>
      <c r="C21" s="4">
        <f ca="1">SUMIFS(Tabela1[Ativa (kwh)],Tabela1[data],$C$2,Tabela1[Hora],B21)</f>
        <v>780.29</v>
      </c>
      <c r="D21" s="4">
        <f t="shared" ca="1" si="0"/>
        <v>0.78028999999999993</v>
      </c>
    </row>
    <row r="22" spans="2:4" x14ac:dyDescent="0.25">
      <c r="B22" s="4">
        <v>18</v>
      </c>
      <c r="C22" s="4">
        <f ca="1">SUMIFS(Tabela1[Ativa (kwh)],Tabela1[data],$C$2,Tabela1[Hora],B22)</f>
        <v>771.92499999999995</v>
      </c>
      <c r="D22" s="4">
        <f t="shared" ca="1" si="0"/>
        <v>0.77192499999999997</v>
      </c>
    </row>
    <row r="23" spans="2:4" x14ac:dyDescent="0.25">
      <c r="B23" s="4">
        <v>19</v>
      </c>
      <c r="C23" s="4">
        <f ca="1">SUMIFS(Tabela1[Ativa (kwh)],Tabela1[data],$C$2,Tabela1[Hora],B23)</f>
        <v>719.14499999999998</v>
      </c>
      <c r="D23" s="4">
        <f t="shared" ca="1" si="0"/>
        <v>0.71914500000000003</v>
      </c>
    </row>
    <row r="24" spans="2:4" x14ac:dyDescent="0.25">
      <c r="B24" s="4">
        <v>20</v>
      </c>
      <c r="C24" s="4">
        <f ca="1">SUMIFS(Tabela1[Ativa (kwh)],Tabela1[data],$C$2,Tabela1[Hora],B24)</f>
        <v>697.30499999999995</v>
      </c>
      <c r="D24" s="4">
        <f t="shared" ca="1" si="0"/>
        <v>0.69730499999999995</v>
      </c>
    </row>
    <row r="25" spans="2:4" x14ac:dyDescent="0.25">
      <c r="B25" s="4">
        <v>21</v>
      </c>
      <c r="C25" s="4">
        <f ca="1">SUMIFS(Tabela1[Ativa (kwh)],Tabela1[data],$C$2,Tabela1[Hora],B25)</f>
        <v>672.07</v>
      </c>
      <c r="D25" s="4">
        <f t="shared" ca="1" si="0"/>
        <v>0.67207000000000006</v>
      </c>
    </row>
    <row r="26" spans="2:4" x14ac:dyDescent="0.25">
      <c r="B26" s="4">
        <v>22</v>
      </c>
      <c r="C26" s="4">
        <f ca="1">SUMIFS(Tabela1[Ativa (kwh)],Tabela1[data],$C$2,Tabela1[Hora],B26)</f>
        <v>600.005</v>
      </c>
      <c r="D26" s="4">
        <f t="shared" ca="1" si="0"/>
        <v>0.60000500000000001</v>
      </c>
    </row>
    <row r="27" spans="2:4" x14ac:dyDescent="0.25">
      <c r="B27" s="4">
        <v>23</v>
      </c>
      <c r="C27" s="4">
        <f ca="1">SUMIFS(Tabela1[Ativa (kwh)],Tabela1[data],$C$2,Tabela1[Hora],B27)</f>
        <v>384.19499999999999</v>
      </c>
      <c r="D27" s="4">
        <f t="shared" ca="1" si="0"/>
        <v>0.38419500000000001</v>
      </c>
    </row>
    <row r="28" spans="2:4" x14ac:dyDescent="0.25">
      <c r="B28" s="4">
        <v>24</v>
      </c>
      <c r="C28" s="4">
        <f ca="1">SUMIFS(Tabela1[Ativa (kwh)],Tabela1[data],$C$2,Tabela1[Hora],B28)</f>
        <v>271.52999999999997</v>
      </c>
      <c r="D28" s="4">
        <f t="shared" ca="1" si="0"/>
        <v>0.27152999999999999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D22" sqref="D22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45809</v>
      </c>
      <c r="B2" s="5">
        <f t="shared" ref="B2:B12" si="0">MONTH(A2)</f>
        <v>6</v>
      </c>
      <c r="C2" s="5">
        <f t="shared" ref="C2:C12" si="1">YEAR(A2)</f>
        <v>2025</v>
      </c>
      <c r="D2">
        <f>SUMIFS(Tabela1[Ativa (kwh)],Tabela1[Mês],B2,Tabela1[Ano],C2)</f>
        <v>303693.18000000034</v>
      </c>
      <c r="E2">
        <f t="shared" ref="E2:E10" si="2">D2/1000</f>
        <v>303.69318000000032</v>
      </c>
    </row>
    <row r="3" spans="1:10" x14ac:dyDescent="0.25">
      <c r="A3" s="1">
        <v>45839</v>
      </c>
      <c r="B3" s="5">
        <f t="shared" si="0"/>
        <v>7</v>
      </c>
      <c r="C3" s="5">
        <f t="shared" si="1"/>
        <v>2025</v>
      </c>
      <c r="D3">
        <f>SUMIFS(Tabela1[Ativa (kwh)],Tabela1[Mês],B3,Tabela1[Ano],C3)</f>
        <v>323105.1600000005</v>
      </c>
      <c r="E3">
        <f t="shared" si="2"/>
        <v>323.10516000000052</v>
      </c>
    </row>
    <row r="4" spans="1:10" x14ac:dyDescent="0.25">
      <c r="A4" s="1">
        <v>45870</v>
      </c>
      <c r="B4" s="5">
        <f t="shared" si="0"/>
        <v>8</v>
      </c>
      <c r="C4" s="5">
        <f t="shared" si="1"/>
        <v>2025</v>
      </c>
      <c r="D4">
        <f>SUMIFS(Tabela1[Ativa (kwh)],Tabela1[Mês],B4,Tabela1[Ano],C4)</f>
        <v>318037.01999999984</v>
      </c>
      <c r="E4">
        <f t="shared" si="2"/>
        <v>318.03701999999987</v>
      </c>
    </row>
    <row r="5" spans="1:10" x14ac:dyDescent="0.25">
      <c r="A5" s="1">
        <v>45901</v>
      </c>
      <c r="B5" s="5">
        <f t="shared" si="0"/>
        <v>9</v>
      </c>
      <c r="C5" s="5">
        <f t="shared" si="1"/>
        <v>2025</v>
      </c>
      <c r="D5">
        <f>SUMIFS(Tabela1[Ativa (kwh)],Tabela1[Mês],B5,Tabela1[Ano],C5)</f>
        <v>325728.06000000017</v>
      </c>
      <c r="E5">
        <f t="shared" si="2"/>
        <v>325.7280600000002</v>
      </c>
    </row>
    <row r="6" spans="1:10" x14ac:dyDescent="0.25">
      <c r="A6" s="1">
        <v>45931</v>
      </c>
      <c r="B6" s="5">
        <f t="shared" si="0"/>
        <v>10</v>
      </c>
      <c r="C6" s="5">
        <f t="shared" si="1"/>
        <v>2025</v>
      </c>
      <c r="D6">
        <f>SUMIFS(Tabela1[Ativa (kwh)],Tabela1[Mês],B6,Tabela1[Ano],C6)</f>
        <v>351357.72</v>
      </c>
      <c r="E6">
        <f t="shared" si="2"/>
        <v>351.35771999999997</v>
      </c>
    </row>
    <row r="7" spans="1:10" x14ac:dyDescent="0.25">
      <c r="A7" s="1">
        <v>45962</v>
      </c>
      <c r="B7" s="5">
        <f t="shared" si="0"/>
        <v>11</v>
      </c>
      <c r="C7" s="5">
        <f t="shared" si="1"/>
        <v>2025</v>
      </c>
      <c r="D7">
        <f>SUMIFS(Tabela1[Ativa (kwh)],Tabela1[Mês],B7,Tabela1[Ano],C7)</f>
        <v>379097.45999999961</v>
      </c>
      <c r="E7">
        <f t="shared" si="2"/>
        <v>379.09745999999961</v>
      </c>
    </row>
    <row r="8" spans="1:10" x14ac:dyDescent="0.25">
      <c r="A8" s="1">
        <v>45992</v>
      </c>
      <c r="B8" s="5">
        <f t="shared" si="0"/>
        <v>12</v>
      </c>
      <c r="C8" s="5">
        <f t="shared" si="1"/>
        <v>2025</v>
      </c>
      <c r="D8">
        <f>SUMIFS(Tabela1[Ativa (kwh)],Tabela1[Mês],B8,Tabela1[Ano],C8)</f>
        <v>468099.24000000081</v>
      </c>
      <c r="E8">
        <f t="shared" si="2"/>
        <v>468.0992400000008</v>
      </c>
    </row>
    <row r="9" spans="1:10" x14ac:dyDescent="0.25">
      <c r="A9" s="1">
        <v>46023</v>
      </c>
      <c r="B9" s="5">
        <f t="shared" si="0"/>
        <v>1</v>
      </c>
      <c r="C9" s="5">
        <f t="shared" si="1"/>
        <v>2026</v>
      </c>
      <c r="D9">
        <f>SUMIFS(Tabela1[Ativa (kwh)],Tabela1[Mês],B9,Tabela1[Ano],C9)</f>
        <v>434799.95999999973</v>
      </c>
      <c r="E9">
        <f t="shared" si="2"/>
        <v>434.79995999999971</v>
      </c>
      <c r="J9" s="4"/>
    </row>
    <row r="10" spans="1:10" x14ac:dyDescent="0.25">
      <c r="A10" s="1">
        <v>46054</v>
      </c>
      <c r="B10" s="5">
        <f t="shared" si="0"/>
        <v>2</v>
      </c>
      <c r="C10" s="5">
        <f t="shared" si="1"/>
        <v>2026</v>
      </c>
      <c r="D10">
        <f>SUMIFS(Tabela1[Ativa (kwh)],Tabela1[Mês],B10,Tabela1[Ano],C10)</f>
        <v>398883.24000000028</v>
      </c>
      <c r="E10">
        <f t="shared" si="2"/>
        <v>398.88324000000028</v>
      </c>
      <c r="J10" s="4"/>
    </row>
    <row r="11" spans="1:10" x14ac:dyDescent="0.25">
      <c r="A11" s="1">
        <v>46082</v>
      </c>
      <c r="B11" s="5">
        <f t="shared" si="0"/>
        <v>3</v>
      </c>
      <c r="C11" s="5">
        <f t="shared" si="1"/>
        <v>2026</v>
      </c>
      <c r="D11">
        <f>SUMIFS(Tabela1[Ativa (kwh)],Tabela1[Mês],B11,Tabela1[Ano],C11)</f>
        <v>410898.18000000005</v>
      </c>
      <c r="E11">
        <f>D11/1000</f>
        <v>410.89818000000002</v>
      </c>
    </row>
    <row r="12" spans="1:10" x14ac:dyDescent="0.25">
      <c r="A12" s="1">
        <v>46113</v>
      </c>
      <c r="B12" s="5">
        <f t="shared" si="0"/>
        <v>4</v>
      </c>
      <c r="C12" s="5">
        <f t="shared" si="1"/>
        <v>2026</v>
      </c>
      <c r="D12">
        <f>SUMIFS(Tabela1[Ativa (kwh)],Tabela1[Mês],B12,Tabela1[Ano],C12)</f>
        <v>383308.8000000004</v>
      </c>
      <c r="E12">
        <f>D12/1000</f>
        <v>383.30880000000042</v>
      </c>
    </row>
    <row r="13" spans="1:10" x14ac:dyDescent="0.25">
      <c r="A13" s="1">
        <v>46143</v>
      </c>
      <c r="B13" s="5">
        <f t="shared" ref="B13" si="3">MONTH(A13)</f>
        <v>5</v>
      </c>
      <c r="C13" s="5">
        <f t="shared" ref="C13" si="4">YEAR(A13)</f>
        <v>2026</v>
      </c>
      <c r="D13">
        <f>SUMIFS(Tabela1[Ativa (kwh)],Tabela1[Mês],B13,Tabela1[Ano],C13)</f>
        <v>369839.82000000041</v>
      </c>
      <c r="E13">
        <f>D13/1000</f>
        <v>369.83982000000043</v>
      </c>
    </row>
    <row r="14" spans="1:10" x14ac:dyDescent="0.25">
      <c r="A14" s="1">
        <v>46174</v>
      </c>
      <c r="B14" s="5">
        <f t="shared" ref="B14" si="5">MONTH(A14)</f>
        <v>6</v>
      </c>
      <c r="C14" s="5">
        <f t="shared" ref="C14" si="6">YEAR(A14)</f>
        <v>2026</v>
      </c>
      <c r="D14">
        <f>SUMIFS(Tabela1[Ativa (kwh)],Tabela1[Mês],B14,Tabela1[Ano],C14)</f>
        <v>321179.88000000024</v>
      </c>
      <c r="E14">
        <f>D14/1000</f>
        <v>321.17988000000025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2026-07-03T12:52:41Z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