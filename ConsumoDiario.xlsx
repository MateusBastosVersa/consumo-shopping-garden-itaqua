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38" documentId="8_{8D12E28F-71B1-4F28-B6C5-4462CC8675C5}" xr6:coauthVersionLast="47" xr6:coauthVersionMax="47" xr10:uidLastSave="{F52F3225-747A-43B6-85C7-0C00A827E418}"/>
  <bookViews>
    <workbookView xWindow="2250" yWindow="2250" windowWidth="38700" windowHeight="15345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01" i="1" l="1"/>
  <c r="H9601" i="1"/>
  <c r="I9600" i="1"/>
  <c r="H9600" i="1"/>
  <c r="I9599" i="1"/>
  <c r="H9599" i="1"/>
  <c r="I9598" i="1"/>
  <c r="H9598" i="1"/>
  <c r="I9597" i="1"/>
  <c r="H9597" i="1"/>
  <c r="I9596" i="1"/>
  <c r="H9596" i="1"/>
  <c r="I9595" i="1"/>
  <c r="H9595" i="1"/>
  <c r="I9594" i="1"/>
  <c r="H9594" i="1"/>
  <c r="I9593" i="1"/>
  <c r="H9593" i="1"/>
  <c r="I9592" i="1"/>
  <c r="H9592" i="1"/>
  <c r="I9591" i="1"/>
  <c r="H9591" i="1"/>
  <c r="I9590" i="1"/>
  <c r="H9590" i="1"/>
  <c r="I9589" i="1"/>
  <c r="H9589" i="1"/>
  <c r="I9588" i="1"/>
  <c r="H9588" i="1"/>
  <c r="I9587" i="1"/>
  <c r="H9587" i="1"/>
  <c r="I9586" i="1"/>
  <c r="H9586" i="1"/>
  <c r="I9585" i="1"/>
  <c r="H9585" i="1"/>
  <c r="I9584" i="1"/>
  <c r="H9584" i="1"/>
  <c r="I9583" i="1"/>
  <c r="H9583" i="1"/>
  <c r="I9582" i="1"/>
  <c r="H9582" i="1"/>
  <c r="I9581" i="1"/>
  <c r="H9581" i="1"/>
  <c r="I9580" i="1"/>
  <c r="H9580" i="1"/>
  <c r="I9579" i="1"/>
  <c r="H9579" i="1"/>
  <c r="I9578" i="1"/>
  <c r="H9578" i="1"/>
  <c r="I9577" i="1"/>
  <c r="H9577" i="1"/>
  <c r="I9576" i="1"/>
  <c r="H9576" i="1"/>
  <c r="I9575" i="1"/>
  <c r="H9575" i="1"/>
  <c r="I9574" i="1"/>
  <c r="H9574" i="1"/>
  <c r="I9573" i="1"/>
  <c r="H9573" i="1"/>
  <c r="I9572" i="1"/>
  <c r="H9572" i="1"/>
  <c r="I9571" i="1"/>
  <c r="H9571" i="1"/>
  <c r="I9570" i="1"/>
  <c r="H9570" i="1"/>
  <c r="I9569" i="1"/>
  <c r="H9569" i="1"/>
  <c r="I9568" i="1"/>
  <c r="H9568" i="1"/>
  <c r="I9567" i="1"/>
  <c r="H9567" i="1"/>
  <c r="I9566" i="1"/>
  <c r="H9566" i="1"/>
  <c r="I9565" i="1"/>
  <c r="H9565" i="1"/>
  <c r="I9564" i="1"/>
  <c r="H9564" i="1"/>
  <c r="I9563" i="1"/>
  <c r="H9563" i="1"/>
  <c r="I9562" i="1"/>
  <c r="H9562" i="1"/>
  <c r="I9561" i="1"/>
  <c r="H9561" i="1"/>
  <c r="I9560" i="1"/>
  <c r="H9560" i="1"/>
  <c r="I9559" i="1"/>
  <c r="H9559" i="1"/>
  <c r="I9558" i="1"/>
  <c r="H9558" i="1"/>
  <c r="I9557" i="1"/>
  <c r="H9557" i="1"/>
  <c r="I9556" i="1"/>
  <c r="H9556" i="1"/>
  <c r="I9555" i="1"/>
  <c r="H9555" i="1"/>
  <c r="I9554" i="1"/>
  <c r="H9554" i="1"/>
  <c r="C15" i="4" l="1"/>
  <c r="B15" i="4"/>
  <c r="D15" i="4" s="1"/>
  <c r="E15" i="4" s="1"/>
  <c r="I9553" i="1"/>
  <c r="H9553" i="1"/>
  <c r="I9552" i="1"/>
  <c r="H9552" i="1"/>
  <c r="I9551" i="1"/>
  <c r="H9551" i="1"/>
  <c r="I9550" i="1"/>
  <c r="H9550" i="1"/>
  <c r="I9549" i="1"/>
  <c r="H9549" i="1"/>
  <c r="I9548" i="1"/>
  <c r="H9548" i="1"/>
  <c r="I9547" i="1"/>
  <c r="H9547" i="1"/>
  <c r="I9546" i="1"/>
  <c r="H9546" i="1"/>
  <c r="I9545" i="1"/>
  <c r="H9545" i="1"/>
  <c r="I9544" i="1"/>
  <c r="H9544" i="1"/>
  <c r="I9543" i="1"/>
  <c r="H9543" i="1"/>
  <c r="I9542" i="1"/>
  <c r="H9542" i="1"/>
  <c r="I9541" i="1"/>
  <c r="H9541" i="1"/>
  <c r="I9540" i="1"/>
  <c r="H9540" i="1"/>
  <c r="I9539" i="1"/>
  <c r="H9539" i="1"/>
  <c r="I9538" i="1"/>
  <c r="H9538" i="1"/>
  <c r="I9537" i="1"/>
  <c r="H9537" i="1"/>
  <c r="I9536" i="1"/>
  <c r="H9536" i="1"/>
  <c r="I9535" i="1"/>
  <c r="H9535" i="1"/>
  <c r="I9534" i="1"/>
  <c r="H9534" i="1"/>
  <c r="I9533" i="1"/>
  <c r="H9533" i="1"/>
  <c r="I9532" i="1"/>
  <c r="H9532" i="1"/>
  <c r="I9531" i="1"/>
  <c r="H9531" i="1"/>
  <c r="I9530" i="1"/>
  <c r="H9530" i="1"/>
  <c r="I9529" i="1"/>
  <c r="H9529" i="1"/>
  <c r="I9528" i="1"/>
  <c r="H9528" i="1"/>
  <c r="I9527" i="1"/>
  <c r="H9527" i="1"/>
  <c r="I9526" i="1"/>
  <c r="H9526" i="1"/>
  <c r="I9525" i="1"/>
  <c r="H9525" i="1"/>
  <c r="I9524" i="1"/>
  <c r="H9524" i="1"/>
  <c r="I9523" i="1"/>
  <c r="H9523" i="1"/>
  <c r="I9522" i="1"/>
  <c r="H9522" i="1"/>
  <c r="I9521" i="1"/>
  <c r="H9521" i="1"/>
  <c r="I9520" i="1"/>
  <c r="H9520" i="1"/>
  <c r="I9519" i="1"/>
  <c r="H9519" i="1"/>
  <c r="I9518" i="1"/>
  <c r="H9518" i="1"/>
  <c r="I9517" i="1"/>
  <c r="H9517" i="1"/>
  <c r="I9516" i="1"/>
  <c r="H9516" i="1"/>
  <c r="I9515" i="1"/>
  <c r="H9515" i="1"/>
  <c r="I9514" i="1"/>
  <c r="H9514" i="1"/>
  <c r="I9513" i="1"/>
  <c r="H9513" i="1"/>
  <c r="I9512" i="1"/>
  <c r="H9512" i="1"/>
  <c r="I9511" i="1"/>
  <c r="H9511" i="1"/>
  <c r="I9510" i="1"/>
  <c r="H9510" i="1"/>
  <c r="I9509" i="1"/>
  <c r="H9509" i="1"/>
  <c r="I9508" i="1"/>
  <c r="H9508" i="1"/>
  <c r="I9507" i="1"/>
  <c r="H9507" i="1"/>
  <c r="I9506" i="1"/>
  <c r="H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<sst xmlns="http://schemas.openxmlformats.org/spreadsheetml/2006/main" count="36839" uniqueCount="46">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</sst>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579" workbookViewId="0">
      <selection activeCell="A9614" sqref="A9614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F9578" t="s">
        <v>44</v>
      </c>
      <c r="G9578" t="s">
        <v>45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F9579" t="s">
        <v>44</v>
      </c>
      <c r="G9579" t="s">
        <v>45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F9580" t="s">
        <v>44</v>
      </c>
      <c r="G9580" t="s">
        <v>45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F9581" t="s">
        <v>44</v>
      </c>
      <c r="G9581" t="s">
        <v>45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F9582" t="s">
        <v>44</v>
      </c>
      <c r="G9582" t="s">
        <v>45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F9583" t="s">
        <v>44</v>
      </c>
      <c r="G9583" t="s">
        <v>45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F9584" t="s">
        <v>44</v>
      </c>
      <c r="G9584" t="s">
        <v>45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F9585" t="s">
        <v>44</v>
      </c>
      <c r="G9585" t="s">
        <v>45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F9586" t="s">
        <v>44</v>
      </c>
      <c r="G9586" t="s">
        <v>45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F9587" t="s">
        <v>44</v>
      </c>
      <c r="G9587" t="s">
        <v>45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F9588" t="s">
        <v>44</v>
      </c>
      <c r="G9588" t="s">
        <v>45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F9589" t="s">
        <v>44</v>
      </c>
      <c r="G9589" t="s">
        <v>45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F9590" t="s">
        <v>44</v>
      </c>
      <c r="G9590" t="s">
        <v>45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F9591" t="s">
        <v>44</v>
      </c>
      <c r="G9591" t="s">
        <v>45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F9592" t="s">
        <v>44</v>
      </c>
      <c r="G9592" t="s">
        <v>45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F9593" t="s">
        <v>44</v>
      </c>
      <c r="G9593" t="s">
        <v>45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F9594" t="s">
        <v>44</v>
      </c>
      <c r="G9594" t="s">
        <v>45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F9595" t="s">
        <v>44</v>
      </c>
      <c r="G9595" t="s">
        <v>45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F9596" t="s">
        <v>44</v>
      </c>
      <c r="G9596" t="s">
        <v>45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F9597" t="s">
        <v>44</v>
      </c>
      <c r="G9597" t="s">
        <v>45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F9598" t="s">
        <v>44</v>
      </c>
      <c r="G9598" t="s">
        <v>45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F9599" t="s">
        <v>44</v>
      </c>
      <c r="G9599" t="s">
        <v>45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F9600" t="s">
        <v>44</v>
      </c>
      <c r="G9600" t="s">
        <v>45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F9601" t="s">
        <v>44</v>
      </c>
      <c r="G9601" t="s">
        <v>45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B9602" s="1"/>
      <c r="H9602" s="5"/>
    </row>
    <row r="9603" spans="1:9" x14ac:dyDescent="0.25">
      <c r="B9603" s="1"/>
      <c r="H9603" s="5"/>
    </row>
    <row r="9604" spans="1:9" x14ac:dyDescent="0.25">
      <c r="B9604" s="1"/>
      <c r="H9604" s="5"/>
    </row>
    <row r="9605" spans="1:9" x14ac:dyDescent="0.25">
      <c r="B9605" s="1"/>
      <c r="H9605" s="5"/>
    </row>
    <row r="9606" spans="1:9" x14ac:dyDescent="0.25">
      <c r="B9606" s="1"/>
      <c r="H9606" s="5"/>
    </row>
    <row r="9607" spans="1:9" x14ac:dyDescent="0.25">
      <c r="B9607" s="1"/>
      <c r="H9607" s="5"/>
    </row>
    <row r="9608" spans="1:9" x14ac:dyDescent="0.25">
      <c r="B9608" s="1"/>
      <c r="H9608" s="5"/>
    </row>
    <row r="9609" spans="1:9" x14ac:dyDescent="0.25">
      <c r="B9609" s="1"/>
      <c r="H9609" s="5"/>
    </row>
    <row r="9610" spans="1:9" x14ac:dyDescent="0.25">
      <c r="B9610" s="1"/>
      <c r="H9610" s="5"/>
    </row>
    <row r="9611" spans="1:9" x14ac:dyDescent="0.25">
      <c r="B9611" s="1"/>
      <c r="H9611" s="5"/>
    </row>
    <row r="9612" spans="1:9" x14ac:dyDescent="0.25">
      <c r="B9612" s="1"/>
      <c r="H9612" s="5"/>
    </row>
    <row r="9613" spans="1:9" x14ac:dyDescent="0.25">
      <c r="B9613" s="1"/>
      <c r="H9613" s="5"/>
    </row>
    <row r="9614" spans="1:9" x14ac:dyDescent="0.25">
      <c r="B9614" s="1"/>
      <c r="H9614" s="5"/>
    </row>
    <row r="9615" spans="1:9" x14ac:dyDescent="0.25">
      <c r="B9615" s="1"/>
      <c r="H9615" s="5"/>
    </row>
    <row r="9616" spans="1:9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37" sqref="C37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46029</v>
      </c>
      <c r="B2">
        <f ca="1">SUMIFS(Tabela1[Ativa (kwh)],Tabela1[data],A2)</f>
        <v>14550.48</v>
      </c>
      <c r="C2">
        <f ca="1">SUMIFS(Tabela1[Reativa (kvarh)],Tabela1[data],A2)</f>
        <v>2692.6199999999994</v>
      </c>
      <c r="D2">
        <f t="shared" ref="D2" ca="1" si="1">B2/1000</f>
        <v>14.55048</v>
      </c>
      <c r="E2">
        <f t="shared" ref="E2" ca="1" si="2">C2/1000</f>
        <v>2.6926199999999993</v>
      </c>
    </row>
    <row r="3" spans="1:5" x14ac:dyDescent="0.25">
      <c r="A3" s="1">
        <f t="shared" ca="1" si="0"/>
        <v>46030</v>
      </c>
      <c r="B3">
        <f ca="1">SUMIFS(Tabela1[Ativa (kwh)],Tabela1[data],A3)</f>
        <v>15160.740000000003</v>
      </c>
      <c r="C3">
        <f ca="1">SUMIFS(Tabela1[Reativa (kvarh)],Tabela1[data],A3)</f>
        <v>2955.96</v>
      </c>
      <c r="D3">
        <f t="shared" ref="D3" ca="1" si="3">B3/1000</f>
        <v>15.160740000000004</v>
      </c>
      <c r="E3">
        <f t="shared" ref="E3" ca="1" si="4">C3/1000</f>
        <v>2.9559600000000001</v>
      </c>
    </row>
    <row r="4" spans="1:5" x14ac:dyDescent="0.25">
      <c r="A4" s="1">
        <f t="shared" ca="1" si="0"/>
        <v>46031</v>
      </c>
      <c r="B4">
        <f ca="1">SUMIFS(Tabela1[Ativa (kwh)],Tabela1[data],A4)</f>
        <v>16163.280000000002</v>
      </c>
      <c r="C4">
        <f ca="1">SUMIFS(Tabela1[Reativa (kvarh)],Tabela1[data],A4)</f>
        <v>3351.1799999999994</v>
      </c>
      <c r="D4">
        <f t="shared" ref="D4:D20" ca="1" si="5">B4/1000</f>
        <v>16.163280000000004</v>
      </c>
      <c r="E4">
        <f t="shared" ref="E4:E20" ca="1" si="6">C4/1000</f>
        <v>3.3511799999999994</v>
      </c>
    </row>
    <row r="5" spans="1:5" x14ac:dyDescent="0.25">
      <c r="A5" s="1">
        <f t="shared" ca="1" si="0"/>
        <v>46032</v>
      </c>
      <c r="B5">
        <f ca="1">SUMIFS(Tabela1[Ativa (kwh)],Tabela1[data],A5)</f>
        <v>15982.679999999997</v>
      </c>
      <c r="C5">
        <f ca="1">SUMIFS(Tabela1[Reativa (kvarh)],Tabela1[data],A5)</f>
        <v>3376.3800000000006</v>
      </c>
      <c r="D5">
        <f t="shared" ca="1" si="5"/>
        <v>15.982679999999997</v>
      </c>
      <c r="E5">
        <f t="shared" ca="1" si="6"/>
        <v>3.3763800000000006</v>
      </c>
    </row>
    <row r="6" spans="1:5" x14ac:dyDescent="0.25">
      <c r="A6" s="1">
        <f t="shared" ca="1" si="0"/>
        <v>46033</v>
      </c>
      <c r="B6">
        <f ca="1">SUMIFS(Tabela1[Ativa (kwh)],Tabela1[data],A6)</f>
        <v>13762.560000000001</v>
      </c>
      <c r="C6">
        <f ca="1">SUMIFS(Tabela1[Reativa (kvarh)],Tabela1[data],A6)</f>
        <v>2068.9199999999996</v>
      </c>
      <c r="D6">
        <f t="shared" ca="1" si="5"/>
        <v>13.762560000000001</v>
      </c>
      <c r="E6">
        <f t="shared" ca="1" si="6"/>
        <v>2.0689199999999994</v>
      </c>
    </row>
    <row r="7" spans="1:5" x14ac:dyDescent="0.25">
      <c r="A7" s="1">
        <f t="shared" ca="1" si="0"/>
        <v>46034</v>
      </c>
      <c r="B7">
        <f ca="1">SUMIFS(Tabela1[Ativa (kwh)],Tabela1[data],A7)</f>
        <v>16434.599999999999</v>
      </c>
      <c r="C7">
        <f ca="1">SUMIFS(Tabela1[Reativa (kvarh)],Tabela1[data],A7)</f>
        <v>3642.66</v>
      </c>
      <c r="D7">
        <f t="shared" ca="1" si="5"/>
        <v>16.4346</v>
      </c>
      <c r="E7">
        <f t="shared" ca="1" si="6"/>
        <v>3.6426599999999998</v>
      </c>
    </row>
    <row r="8" spans="1:5" x14ac:dyDescent="0.25">
      <c r="A8" s="1">
        <f t="shared" ca="1" si="0"/>
        <v>46035</v>
      </c>
      <c r="B8">
        <f ca="1">SUMIFS(Tabela1[Ativa (kwh)],Tabela1[data],A8)</f>
        <v>14823.9</v>
      </c>
      <c r="C8">
        <f ca="1">SUMIFS(Tabela1[Reativa (kvarh)],Tabela1[data],A8)</f>
        <v>2710.68</v>
      </c>
      <c r="D8">
        <f t="shared" ca="1" si="5"/>
        <v>14.8239</v>
      </c>
      <c r="E8">
        <f t="shared" ca="1" si="6"/>
        <v>2.71068</v>
      </c>
    </row>
    <row r="9" spans="1:5" x14ac:dyDescent="0.25">
      <c r="A9" s="1">
        <f t="shared" ca="1" si="0"/>
        <v>46036</v>
      </c>
      <c r="B9">
        <f ca="1">SUMIFS(Tabela1[Ativa (kwh)],Tabela1[data],A9)</f>
        <v>13618.079999999998</v>
      </c>
      <c r="C9">
        <f ca="1">SUMIFS(Tabela1[Reativa (kvarh)],Tabela1[data],A9)</f>
        <v>2440.62</v>
      </c>
      <c r="D9">
        <f t="shared" ca="1" si="5"/>
        <v>13.618079999999997</v>
      </c>
      <c r="E9">
        <f t="shared" ca="1" si="6"/>
        <v>2.44062</v>
      </c>
    </row>
    <row r="10" spans="1:5" x14ac:dyDescent="0.25">
      <c r="A10" s="1">
        <f t="shared" ca="1" si="0"/>
        <v>46037</v>
      </c>
      <c r="B10">
        <f ca="1">SUMIFS(Tabela1[Ativa (kwh)],Tabela1[data],A10)</f>
        <v>15137.640000000001</v>
      </c>
      <c r="C10">
        <f ca="1">SUMIFS(Tabela1[Reativa (kvarh)],Tabela1[data],A10)</f>
        <v>3173.0999999999995</v>
      </c>
      <c r="D10">
        <f t="shared" ca="1" si="5"/>
        <v>15.137640000000001</v>
      </c>
      <c r="E10">
        <f t="shared" ca="1" si="6"/>
        <v>3.1730999999999994</v>
      </c>
    </row>
    <row r="11" spans="1:5" x14ac:dyDescent="0.25">
      <c r="A11" s="1">
        <f t="shared" ca="1" si="0"/>
        <v>46038</v>
      </c>
      <c r="B11">
        <f ca="1">SUMIFS(Tabela1[Ativa (kwh)],Tabela1[data],A11)</f>
        <v>14939.820000000002</v>
      </c>
      <c r="C11">
        <f ca="1">SUMIFS(Tabela1[Reativa (kvarh)],Tabela1[data],A11)</f>
        <v>3063.48</v>
      </c>
      <c r="D11">
        <f t="shared" ca="1" si="5"/>
        <v>14.939820000000001</v>
      </c>
      <c r="E11">
        <f t="shared" ca="1" si="6"/>
        <v>3.0634800000000002</v>
      </c>
    </row>
    <row r="12" spans="1:5" x14ac:dyDescent="0.25">
      <c r="A12" s="1">
        <f t="shared" ca="1" si="0"/>
        <v>46039</v>
      </c>
      <c r="B12">
        <f ca="1">SUMIFS(Tabela1[Ativa (kwh)],Tabela1[data],A12)</f>
        <v>14940.660000000002</v>
      </c>
      <c r="C12">
        <f ca="1">SUMIFS(Tabela1[Reativa (kvarh)],Tabela1[data],A12)</f>
        <v>2964.78</v>
      </c>
      <c r="D12">
        <f t="shared" ca="1" si="5"/>
        <v>14.940660000000001</v>
      </c>
      <c r="E12">
        <f t="shared" ca="1" si="6"/>
        <v>2.9647800000000002</v>
      </c>
    </row>
    <row r="13" spans="1:5" x14ac:dyDescent="0.25">
      <c r="A13" s="1">
        <f t="shared" ca="1" si="0"/>
        <v>46040</v>
      </c>
      <c r="B13">
        <f ca="1">SUMIFS(Tabela1[Ativa (kwh)],Tabela1[data],A13)</f>
        <v>14079.660000000002</v>
      </c>
      <c r="C13">
        <f ca="1">SUMIFS(Tabela1[Reativa (kvarh)],Tabela1[data],A13)</f>
        <v>2550.2399999999998</v>
      </c>
      <c r="D13">
        <f t="shared" ca="1" si="5"/>
        <v>14.079660000000002</v>
      </c>
      <c r="E13">
        <f t="shared" ca="1" si="6"/>
        <v>2.5502399999999996</v>
      </c>
    </row>
    <row r="14" spans="1:5" x14ac:dyDescent="0.25">
      <c r="A14" s="1">
        <f t="shared" ref="A14:A20" ca="1" si="7">A15-1</f>
        <v>46041</v>
      </c>
      <c r="B14">
        <f ca="1">SUMIFS(Tabela1[Ativa (kwh)],Tabela1[data],A14)</f>
        <v>14305.62</v>
      </c>
      <c r="C14">
        <f ca="1">SUMIFS(Tabela1[Reativa (kvarh)],Tabela1[data],A14)</f>
        <v>2668.26</v>
      </c>
      <c r="D14">
        <f t="shared" ca="1" si="5"/>
        <v>14.305620000000001</v>
      </c>
      <c r="E14">
        <f t="shared" ca="1" si="6"/>
        <v>2.6682600000000001</v>
      </c>
    </row>
    <row r="15" spans="1:5" x14ac:dyDescent="0.25">
      <c r="A15" s="1">
        <f t="shared" ca="1" si="7"/>
        <v>46042</v>
      </c>
      <c r="B15">
        <f ca="1">SUMIFS(Tabela1[Ativa (kwh)],Tabela1[data],A15)</f>
        <v>12807.479999999998</v>
      </c>
      <c r="C15">
        <f ca="1">SUMIFS(Tabela1[Reativa (kvarh)],Tabela1[data],A15)</f>
        <v>1900.5</v>
      </c>
      <c r="D15">
        <f t="shared" ca="1" si="5"/>
        <v>12.807479999999998</v>
      </c>
      <c r="E15">
        <f t="shared" ca="1" si="6"/>
        <v>1.9005000000000001</v>
      </c>
    </row>
    <row r="16" spans="1:5" x14ac:dyDescent="0.25">
      <c r="A16" s="1">
        <f t="shared" ca="1" si="7"/>
        <v>46043</v>
      </c>
      <c r="B16">
        <f ca="1">SUMIFS(Tabela1[Ativa (kwh)],Tabela1[data],A16)</f>
        <v>12381.18</v>
      </c>
      <c r="C16">
        <f ca="1">SUMIFS(Tabela1[Reativa (kvarh)],Tabela1[data],A16)</f>
        <v>1631.28</v>
      </c>
      <c r="D16">
        <f t="shared" ca="1" si="5"/>
        <v>12.381180000000001</v>
      </c>
      <c r="E16">
        <f t="shared" ca="1" si="6"/>
        <v>1.6312800000000001</v>
      </c>
    </row>
    <row r="17" spans="1:5" x14ac:dyDescent="0.25">
      <c r="A17" s="1">
        <f t="shared" ca="1" si="7"/>
        <v>46044</v>
      </c>
      <c r="B17">
        <f ca="1">SUMIFS(Tabela1[Ativa (kwh)],Tabela1[data],A17)</f>
        <v>12840.659999999998</v>
      </c>
      <c r="C17">
        <f ca="1">SUMIFS(Tabela1[Reativa (kvarh)],Tabela1[data],A17)</f>
        <v>1766.9399999999998</v>
      </c>
      <c r="D17">
        <f t="shared" ca="1" si="5"/>
        <v>12.840659999999998</v>
      </c>
      <c r="E17">
        <f t="shared" ca="1" si="6"/>
        <v>1.7669399999999997</v>
      </c>
    </row>
    <row r="18" spans="1:5" x14ac:dyDescent="0.25">
      <c r="A18" s="1">
        <f t="shared" ca="1" si="7"/>
        <v>46045</v>
      </c>
      <c r="B18">
        <f ca="1">SUMIFS(Tabela1[Ativa (kwh)],Tabela1[data],A18)</f>
        <v>13196.400000000001</v>
      </c>
      <c r="C18">
        <f ca="1">SUMIFS(Tabela1[Reativa (kvarh)],Tabela1[data],A18)</f>
        <v>1843.8000000000002</v>
      </c>
      <c r="D18">
        <f t="shared" ca="1" si="5"/>
        <v>13.196400000000001</v>
      </c>
      <c r="E18">
        <f t="shared" ca="1" si="6"/>
        <v>1.8438000000000001</v>
      </c>
    </row>
    <row r="19" spans="1:5" x14ac:dyDescent="0.25">
      <c r="A19" s="1">
        <f t="shared" ca="1" si="7"/>
        <v>46046</v>
      </c>
      <c r="B19">
        <f ca="1">SUMIFS(Tabela1[Ativa (kwh)],Tabela1[data],A19)</f>
        <v>13135.08</v>
      </c>
      <c r="C19">
        <f ca="1">SUMIFS(Tabela1[Reativa (kvarh)],Tabela1[data],A19)</f>
        <v>1895.8800000000003</v>
      </c>
      <c r="D19">
        <f t="shared" ca="1" si="5"/>
        <v>13.13508</v>
      </c>
      <c r="E19">
        <f t="shared" ca="1" si="6"/>
        <v>1.8958800000000002</v>
      </c>
    </row>
    <row r="20" spans="1:5" x14ac:dyDescent="0.25">
      <c r="A20" s="1">
        <f t="shared" ca="1" si="7"/>
        <v>46047</v>
      </c>
      <c r="B20">
        <f ca="1">SUMIFS(Tabela1[Ativa (kwh)],Tabela1[data],A20)</f>
        <v>12241.32</v>
      </c>
      <c r="C20">
        <f ca="1">SUMIFS(Tabela1[Reativa (kvarh)],Tabela1[data],A20)</f>
        <v>1618.68</v>
      </c>
      <c r="D20">
        <f t="shared" ca="1" si="5"/>
        <v>12.24132</v>
      </c>
      <c r="E20">
        <f t="shared" ca="1" si="6"/>
        <v>1.6186800000000001</v>
      </c>
    </row>
    <row r="21" spans="1:5" x14ac:dyDescent="0.25">
      <c r="A21" s="1">
        <f t="shared" ref="A21:A26" ca="1" si="8">A22-1</f>
        <v>46048</v>
      </c>
      <c r="B21">
        <f ca="1">SUMIFS(Tabela1[Ativa (kwh)],Tabela1[data],A21)</f>
        <v>13613.039999999999</v>
      </c>
      <c r="C21">
        <f ca="1">SUMIFS(Tabela1[Reativa (kvarh)],Tabela1[data],A21)</f>
        <v>2065.1400000000003</v>
      </c>
      <c r="D21">
        <f ca="1">B21/1000</f>
        <v>13.61304</v>
      </c>
      <c r="E21">
        <f ca="1">C21/1000</f>
        <v>2.0651400000000004</v>
      </c>
    </row>
    <row r="22" spans="1:5" x14ac:dyDescent="0.25">
      <c r="A22" s="1">
        <f t="shared" ca="1" si="8"/>
        <v>46049</v>
      </c>
      <c r="B22">
        <f ca="1">SUMIFS(Tabela1[Ativa (kwh)],Tabela1[data],A22)</f>
        <v>14142.659999999998</v>
      </c>
      <c r="C22">
        <f ca="1">SUMIFS(Tabela1[Reativa (kvarh)],Tabela1[data],A22)</f>
        <v>2213.4</v>
      </c>
      <c r="D22">
        <f t="shared" ref="D22:D30" ca="1" si="9">B22/1000</f>
        <v>14.142659999999998</v>
      </c>
      <c r="E22">
        <f t="shared" ref="E22:E30" ca="1" si="10">C22/1000</f>
        <v>2.2134</v>
      </c>
    </row>
    <row r="23" spans="1:5" x14ac:dyDescent="0.25">
      <c r="A23" s="1">
        <f t="shared" ca="1" si="8"/>
        <v>46050</v>
      </c>
      <c r="B23">
        <f ca="1">SUMIFS(Tabela1[Ativa (kwh)],Tabela1[data],A23)</f>
        <v>14193.899999999998</v>
      </c>
      <c r="C23">
        <f ca="1">SUMIFS(Tabela1[Reativa (kvarh)],Tabela1[data],A23)</f>
        <v>2321.3400000000006</v>
      </c>
      <c r="D23">
        <f t="shared" ca="1" si="9"/>
        <v>14.193899999999998</v>
      </c>
      <c r="E23">
        <f t="shared" ca="1" si="10"/>
        <v>2.3213400000000006</v>
      </c>
    </row>
    <row r="24" spans="1:5" x14ac:dyDescent="0.25">
      <c r="A24" s="1">
        <f t="shared" ca="1" si="8"/>
        <v>46051</v>
      </c>
      <c r="B24">
        <f ca="1">SUMIFS(Tabela1[Ativa (kwh)],Tabela1[data],A24)</f>
        <v>14400.539999999999</v>
      </c>
      <c r="C24">
        <f ca="1">SUMIFS(Tabela1[Reativa (kvarh)],Tabela1[data],A24)</f>
        <v>2362.4999999999995</v>
      </c>
      <c r="D24">
        <f t="shared" ca="1" si="9"/>
        <v>14.400539999999999</v>
      </c>
      <c r="E24">
        <f t="shared" ca="1" si="10"/>
        <v>2.3624999999999994</v>
      </c>
    </row>
    <row r="25" spans="1:5" x14ac:dyDescent="0.25">
      <c r="A25" s="1">
        <f t="shared" ca="1" si="8"/>
        <v>46052</v>
      </c>
      <c r="B25">
        <f ca="1">SUMIFS(Tabela1[Ativa (kwh)],Tabela1[data],A25)</f>
        <v>14121.660000000002</v>
      </c>
      <c r="C25">
        <f ca="1">SUMIFS(Tabela1[Reativa (kvarh)],Tabela1[data],A25)</f>
        <v>2515.8000000000002</v>
      </c>
      <c r="D25">
        <f t="shared" ca="1" si="9"/>
        <v>14.121660000000002</v>
      </c>
      <c r="E25">
        <f t="shared" ca="1" si="10"/>
        <v>2.5158</v>
      </c>
    </row>
    <row r="26" spans="1:5" x14ac:dyDescent="0.25">
      <c r="A26" s="1">
        <f t="shared" ca="1" si="8"/>
        <v>46053</v>
      </c>
      <c r="B26">
        <f ca="1">SUMIFS(Tabela1[Ativa (kwh)],Tabela1[data],A26)</f>
        <v>14013.720000000001</v>
      </c>
      <c r="C26">
        <f ca="1">SUMIFS(Tabela1[Reativa (kvarh)],Tabela1[data],A26)</f>
        <v>2095.8000000000002</v>
      </c>
      <c r="D26">
        <f t="shared" ca="1" si="9"/>
        <v>14.013720000000001</v>
      </c>
      <c r="E26">
        <f t="shared" ca="1" si="10"/>
        <v>2.0958000000000001</v>
      </c>
    </row>
    <row r="27" spans="1:5" x14ac:dyDescent="0.25">
      <c r="A27" s="1">
        <f ca="1">A28-1</f>
        <v>46054</v>
      </c>
      <c r="B27">
        <f ca="1">SUMIFS(Tabela1[Ativa (kwh)],Tabela1[data],A27)</f>
        <v>12420.239999999998</v>
      </c>
      <c r="C27">
        <f ca="1">SUMIFS(Tabela1[Reativa (kvarh)],Tabela1[data],A27)</f>
        <v>1626.24</v>
      </c>
      <c r="D27">
        <f t="shared" ca="1" si="9"/>
        <v>12.420239999999998</v>
      </c>
      <c r="E27">
        <f t="shared" ca="1" si="10"/>
        <v>1.6262399999999999</v>
      </c>
    </row>
    <row r="28" spans="1:5" x14ac:dyDescent="0.25">
      <c r="A28" s="1">
        <f ca="1">A29-1</f>
        <v>46055</v>
      </c>
      <c r="B28">
        <f ca="1">SUMIFS(Tabela1[Ativa (kwh)],Tabela1[data],A28)</f>
        <v>13443.359999999999</v>
      </c>
      <c r="C28">
        <f ca="1">SUMIFS(Tabela1[Reativa (kvarh)],Tabela1[data],A28)</f>
        <v>2128.14</v>
      </c>
      <c r="D28">
        <f t="shared" ca="1" si="9"/>
        <v>13.443359999999998</v>
      </c>
      <c r="E28">
        <f t="shared" ca="1" si="10"/>
        <v>2.1281399999999997</v>
      </c>
    </row>
    <row r="29" spans="1:5" x14ac:dyDescent="0.25">
      <c r="A29" s="1">
        <f ca="1">A30-1</f>
        <v>46056</v>
      </c>
      <c r="B29">
        <f ca="1">SUMIFS(Tabela1[Ativa (kwh)],Tabela1[data],A29)</f>
        <v>14899.92</v>
      </c>
      <c r="C29">
        <f ca="1">SUMIFS(Tabela1[Reativa (kvarh)],Tabela1[data],A29)</f>
        <v>2819.4600000000005</v>
      </c>
      <c r="D29">
        <f t="shared" ca="1" si="9"/>
        <v>14.89992</v>
      </c>
      <c r="E29">
        <f t="shared" ca="1" si="10"/>
        <v>2.8194600000000003</v>
      </c>
    </row>
    <row r="30" spans="1:5" x14ac:dyDescent="0.25">
      <c r="A30" s="1">
        <f ca="1">TODAY()-1</f>
        <v>46057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46057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K9" sqref="K9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40763.520000000011</v>
      </c>
      <c r="E15">
        <f>D15/1000</f>
        <v>40.763520000000014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2026-02-05T12:25:56Z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