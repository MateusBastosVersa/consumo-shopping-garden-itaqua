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84" documentId="8_{8D12E28F-71B1-4F28-B6C5-4462CC8675C5}" xr6:coauthVersionLast="47" xr6:coauthVersionMax="47" xr10:uidLastSave="{F24A284E-4B46-45ED-BFD0-B6C83928BA9D}"/>
  <bookViews>
    <workbookView xWindow="-120" yWindow="-120" windowWidth="20730" windowHeight="1104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369" i="1" l="1"/>
  <c r="H10369" i="1"/>
  <c r="I10368" i="1"/>
  <c r="H10368" i="1"/>
  <c r="I10367" i="1"/>
  <c r="H10367" i="1"/>
  <c r="I10366" i="1"/>
  <c r="H10366" i="1"/>
  <c r="I10365" i="1"/>
  <c r="H10365" i="1"/>
  <c r="I10364" i="1"/>
  <c r="H10364" i="1"/>
  <c r="I10363" i="1"/>
  <c r="H10363" i="1"/>
  <c r="I10362" i="1"/>
  <c r="H10362" i="1"/>
  <c r="I10361" i="1"/>
  <c r="H10361" i="1"/>
  <c r="I10360" i="1"/>
  <c r="H10360" i="1"/>
  <c r="I10359" i="1"/>
  <c r="H10359" i="1"/>
  <c r="I10358" i="1"/>
  <c r="H10358" i="1"/>
  <c r="I10357" i="1"/>
  <c r="H10357" i="1"/>
  <c r="I10356" i="1"/>
  <c r="H10356" i="1"/>
  <c r="I10355" i="1"/>
  <c r="H10355" i="1"/>
  <c r="I10354" i="1"/>
  <c r="H10354" i="1"/>
  <c r="I10353" i="1"/>
  <c r="H10353" i="1"/>
  <c r="I10352" i="1"/>
  <c r="H10352" i="1"/>
  <c r="I10351" i="1"/>
  <c r="H10351" i="1"/>
  <c r="I10350" i="1"/>
  <c r="H10350" i="1"/>
  <c r="I10349" i="1"/>
  <c r="H10349" i="1"/>
  <c r="I10348" i="1"/>
  <c r="H10348" i="1"/>
  <c r="I10347" i="1"/>
  <c r="H10347" i="1"/>
  <c r="I10346" i="1"/>
  <c r="H10346" i="1"/>
  <c r="I10345" i="1"/>
  <c r="H10345" i="1"/>
  <c r="I10344" i="1"/>
  <c r="H10344" i="1"/>
  <c r="I10343" i="1"/>
  <c r="H10343" i="1"/>
  <c r="I10342" i="1"/>
  <c r="H10342" i="1"/>
  <c r="I10341" i="1"/>
  <c r="H10341" i="1"/>
  <c r="I10340" i="1"/>
  <c r="H10340" i="1"/>
  <c r="I10339" i="1"/>
  <c r="H10339" i="1"/>
  <c r="I10338" i="1"/>
  <c r="H10338" i="1"/>
  <c r="I10337" i="1"/>
  <c r="H10337" i="1"/>
  <c r="I10336" i="1"/>
  <c r="H10336" i="1"/>
  <c r="I10335" i="1"/>
  <c r="H10335" i="1"/>
  <c r="I10334" i="1"/>
  <c r="H10334" i="1"/>
  <c r="I10333" i="1"/>
  <c r="H10333" i="1"/>
  <c r="I10332" i="1"/>
  <c r="H10332" i="1"/>
  <c r="I10331" i="1"/>
  <c r="H10331" i="1"/>
  <c r="I10330" i="1"/>
  <c r="H10330" i="1"/>
  <c r="I10329" i="1"/>
  <c r="H10329" i="1"/>
  <c r="I10328" i="1"/>
  <c r="H10328" i="1"/>
  <c r="I10327" i="1"/>
  <c r="H10327" i="1"/>
  <c r="I10326" i="1"/>
  <c r="H10326" i="1"/>
  <c r="I10325" i="1"/>
  <c r="H10325" i="1"/>
  <c r="I10324" i="1"/>
  <c r="H10324" i="1"/>
  <c r="I10323" i="1"/>
  <c r="H10323" i="1"/>
  <c r="I10322" i="1"/>
  <c r="H10322" i="1"/>
  <c r="I10321" i="1"/>
  <c r="H10321" i="1"/>
  <c r="I10320" i="1"/>
  <c r="H10320" i="1"/>
  <c r="I10319" i="1"/>
  <c r="H10319" i="1"/>
  <c r="I10318" i="1"/>
  <c r="H10318" i="1"/>
  <c r="I10317" i="1"/>
  <c r="H10317" i="1"/>
  <c r="I10316" i="1"/>
  <c r="H10316" i="1"/>
  <c r="I10315" i="1"/>
  <c r="H10315" i="1"/>
  <c r="I10314" i="1"/>
  <c r="H10314" i="1"/>
  <c r="I10313" i="1"/>
  <c r="H10313" i="1"/>
  <c r="I10312" i="1"/>
  <c r="H10312" i="1"/>
  <c r="I10311" i="1"/>
  <c r="H10311" i="1"/>
  <c r="I10310" i="1"/>
  <c r="H10310" i="1"/>
  <c r="I10309" i="1"/>
  <c r="H10309" i="1"/>
  <c r="I10308" i="1"/>
  <c r="H10308" i="1"/>
  <c r="I10307" i="1"/>
  <c r="H10307" i="1"/>
  <c r="I10306" i="1"/>
  <c r="H10306" i="1"/>
  <c r="I10305" i="1"/>
  <c r="H10305" i="1"/>
  <c r="I10304" i="1"/>
  <c r="H10304" i="1"/>
  <c r="I10303" i="1"/>
  <c r="H10303" i="1"/>
  <c r="I10302" i="1"/>
  <c r="H10302" i="1"/>
  <c r="I10301" i="1"/>
  <c r="H10301" i="1"/>
  <c r="I10300" i="1"/>
  <c r="H10300" i="1"/>
  <c r="I10299" i="1"/>
  <c r="H10299" i="1"/>
  <c r="I10298" i="1"/>
  <c r="H10298" i="1"/>
  <c r="C14" i="4"/>
  <c r="B14" i="4"/>
  <c r="D14" i="4" s="1"/>
  <c r="E14" i="4" s="1"/>
  <c r="I10297" i="1"/>
  <c r="H10297" i="1"/>
  <c r="I10296" i="1"/>
  <c r="H10296" i="1"/>
  <c r="I10295" i="1"/>
  <c r="H10295" i="1"/>
  <c r="I10294" i="1"/>
  <c r="H10294" i="1"/>
  <c r="I10293" i="1"/>
  <c r="H10293" i="1"/>
  <c r="I10292" i="1"/>
  <c r="H10292" i="1"/>
  <c r="I10291" i="1"/>
  <c r="H10291" i="1"/>
  <c r="I10290" i="1"/>
  <c r="H10290" i="1"/>
  <c r="I10289" i="1"/>
  <c r="H10289" i="1"/>
  <c r="I10288" i="1"/>
  <c r="H10288" i="1"/>
  <c r="I10287" i="1"/>
  <c r="H10287" i="1"/>
  <c r="I10286" i="1"/>
  <c r="H10286" i="1"/>
  <c r="I10285" i="1"/>
  <c r="H10285" i="1"/>
  <c r="I10284" i="1"/>
  <c r="H10284" i="1"/>
  <c r="I10283" i="1"/>
  <c r="H10283" i="1"/>
  <c r="I10282" i="1"/>
  <c r="H10282" i="1"/>
  <c r="I10281" i="1"/>
  <c r="H10281" i="1"/>
  <c r="I10280" i="1"/>
  <c r="H10280" i="1"/>
  <c r="I10279" i="1"/>
  <c r="H10279" i="1"/>
  <c r="I10278" i="1"/>
  <c r="H10278" i="1"/>
  <c r="I10277" i="1"/>
  <c r="H10277" i="1"/>
  <c r="I10276" i="1"/>
  <c r="H10276" i="1"/>
  <c r="I10275" i="1"/>
  <c r="H10275" i="1"/>
  <c r="I10274" i="1"/>
  <c r="H10274" i="1"/>
  <c r="I10273" i="1"/>
  <c r="H10273" i="1"/>
  <c r="I10272" i="1"/>
  <c r="H10272" i="1"/>
  <c r="I10271" i="1"/>
  <c r="H10271" i="1"/>
  <c r="I10270" i="1"/>
  <c r="H10270" i="1"/>
  <c r="I10269" i="1"/>
  <c r="H10269" i="1"/>
  <c r="I10268" i="1"/>
  <c r="H10268" i="1"/>
  <c r="I10267" i="1"/>
  <c r="H10267" i="1"/>
  <c r="I10266" i="1"/>
  <c r="H10266" i="1"/>
  <c r="I10265" i="1"/>
  <c r="H10265" i="1"/>
  <c r="I10264" i="1"/>
  <c r="H10264" i="1"/>
  <c r="I10263" i="1"/>
  <c r="H10263" i="1"/>
  <c r="I10262" i="1"/>
  <c r="H10262" i="1"/>
  <c r="I10261" i="1"/>
  <c r="H10261" i="1"/>
  <c r="I10260" i="1"/>
  <c r="H10260" i="1"/>
  <c r="I10259" i="1"/>
  <c r="H10259" i="1"/>
  <c r="I10258" i="1"/>
  <c r="H10258" i="1"/>
  <c r="I10257" i="1"/>
  <c r="H10257" i="1"/>
  <c r="I10256" i="1"/>
  <c r="H10256" i="1"/>
  <c r="I10255" i="1"/>
  <c r="H10255" i="1"/>
  <c r="I10254" i="1"/>
  <c r="H10254" i="1"/>
  <c r="I10253" i="1"/>
  <c r="H10253" i="1"/>
  <c r="I10252" i="1"/>
  <c r="H10252" i="1"/>
  <c r="I10251" i="1"/>
  <c r="H10251" i="1"/>
  <c r="I10250" i="1"/>
  <c r="H10250" i="1"/>
  <c r="I10249" i="1"/>
  <c r="H10249" i="1"/>
  <c r="I10248" i="1"/>
  <c r="H10248" i="1"/>
  <c r="I10247" i="1"/>
  <c r="H10247" i="1"/>
  <c r="I10246" i="1"/>
  <c r="H10246" i="1"/>
  <c r="I10245" i="1"/>
  <c r="H10245" i="1"/>
  <c r="I10244" i="1"/>
  <c r="H10244" i="1"/>
  <c r="I10243" i="1"/>
  <c r="H10243" i="1"/>
  <c r="I10242" i="1"/>
  <c r="H10242" i="1"/>
  <c r="I10241" i="1"/>
  <c r="H10241" i="1"/>
  <c r="I10240" i="1"/>
  <c r="H10240" i="1"/>
  <c r="I10239" i="1"/>
  <c r="H10239" i="1"/>
  <c r="I10238" i="1"/>
  <c r="H10238" i="1"/>
  <c r="I10237" i="1"/>
  <c r="H10237" i="1"/>
  <c r="I10236" i="1"/>
  <c r="H10236" i="1"/>
  <c r="I10235" i="1"/>
  <c r="H10235" i="1"/>
  <c r="I10234" i="1"/>
  <c r="H10234" i="1"/>
  <c r="I10233" i="1"/>
  <c r="H10233" i="1"/>
  <c r="I10232" i="1"/>
  <c r="H10232" i="1"/>
  <c r="I10231" i="1"/>
  <c r="H10231" i="1"/>
  <c r="I10230" i="1"/>
  <c r="H10230" i="1"/>
  <c r="I10229" i="1"/>
  <c r="H10229" i="1"/>
  <c r="I10228" i="1"/>
  <c r="H10228" i="1"/>
  <c r="I10227" i="1"/>
  <c r="H10227" i="1"/>
  <c r="I10226" i="1"/>
  <c r="H10226" i="1"/>
  <c r="I10225" i="1"/>
  <c r="H10225" i="1"/>
  <c r="I10224" i="1"/>
  <c r="H10224" i="1"/>
  <c r="I10223" i="1"/>
  <c r="H10223" i="1"/>
  <c r="I10222" i="1"/>
  <c r="H10222" i="1"/>
  <c r="I10221" i="1"/>
  <c r="H10221" i="1"/>
  <c r="I10220" i="1"/>
  <c r="H10220" i="1"/>
  <c r="I10219" i="1"/>
  <c r="H10219" i="1"/>
  <c r="I10218" i="1"/>
  <c r="H10218" i="1"/>
  <c r="I10217" i="1"/>
  <c r="H10217" i="1"/>
  <c r="I10216" i="1"/>
  <c r="H10216" i="1"/>
  <c r="I10215" i="1"/>
  <c r="H10215" i="1"/>
  <c r="I10214" i="1"/>
  <c r="H10214" i="1"/>
  <c r="I10213" i="1"/>
  <c r="H10213" i="1"/>
  <c r="I10212" i="1"/>
  <c r="H10212" i="1"/>
  <c r="I10211" i="1"/>
  <c r="H10211" i="1"/>
  <c r="I10210" i="1"/>
  <c r="H10210" i="1"/>
  <c r="I10209" i="1"/>
  <c r="H10209" i="1"/>
  <c r="I10208" i="1"/>
  <c r="H10208" i="1"/>
  <c r="I10207" i="1"/>
  <c r="H10207" i="1"/>
  <c r="I10206" i="1"/>
  <c r="H10206" i="1"/>
  <c r="I10205" i="1"/>
  <c r="H10205" i="1"/>
  <c r="I10204" i="1"/>
  <c r="H10204" i="1"/>
  <c r="I10203" i="1"/>
  <c r="H10203" i="1"/>
  <c r="I10202" i="1"/>
  <c r="H10202" i="1"/>
  <c r="I10201" i="1"/>
  <c r="H10201" i="1"/>
  <c r="I10200" i="1"/>
  <c r="H10200" i="1"/>
  <c r="I10199" i="1"/>
  <c r="H10199" i="1"/>
  <c r="I10198" i="1"/>
  <c r="H10198" i="1"/>
  <c r="I10197" i="1"/>
  <c r="H10197" i="1"/>
  <c r="I10196" i="1"/>
  <c r="H10196" i="1"/>
  <c r="I10195" i="1"/>
  <c r="H10195" i="1"/>
  <c r="I10194" i="1"/>
  <c r="H10194" i="1"/>
  <c r="I10193" i="1"/>
  <c r="H10193" i="1"/>
  <c r="I10192" i="1"/>
  <c r="H10192" i="1"/>
  <c r="I10191" i="1"/>
  <c r="H10191" i="1"/>
  <c r="I10190" i="1"/>
  <c r="H10190" i="1"/>
  <c r="I10189" i="1"/>
  <c r="H10189" i="1"/>
  <c r="I10188" i="1"/>
  <c r="H10188" i="1"/>
  <c r="I10187" i="1"/>
  <c r="H10187" i="1"/>
  <c r="I10186" i="1"/>
  <c r="H10186" i="1"/>
  <c r="I10185" i="1"/>
  <c r="H10185" i="1"/>
  <c r="I10184" i="1"/>
  <c r="H10184" i="1"/>
  <c r="I10183" i="1"/>
  <c r="H10183" i="1"/>
  <c r="I10182" i="1"/>
  <c r="H10182" i="1"/>
  <c r="I10181" i="1"/>
  <c r="H10181" i="1"/>
  <c r="I10180" i="1"/>
  <c r="H10180" i="1"/>
  <c r="I10179" i="1"/>
  <c r="H10179" i="1"/>
  <c r="I10178" i="1"/>
  <c r="H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3" i="4" s="1"/>
  <c r="E13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3" i="4" l="1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<sst xmlns="http://schemas.openxmlformats.org/spreadsheetml/2006/main" count="39143" uniqueCount="46">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</sst>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topLeftCell="A10359" workbookViewId="0">
      <selection activeCell="H10369" sqref="H10298:I10369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46084</v>
      </c>
      <c r="C10226">
        <v>1</v>
      </c>
      <c r="D10226">
        <v>270.06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46084</v>
      </c>
      <c r="C10227">
        <v>2</v>
      </c>
      <c r="D10227">
        <v>244.86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46084</v>
      </c>
      <c r="C10228">
        <v>3</v>
      </c>
      <c r="D10228">
        <v>238.98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46084</v>
      </c>
      <c r="C10229">
        <v>4</v>
      </c>
      <c r="D10229">
        <v>236.46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46084</v>
      </c>
      <c r="C10230">
        <v>5</v>
      </c>
      <c r="D10230">
        <v>242.34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46084</v>
      </c>
      <c r="C10231">
        <v>6</v>
      </c>
      <c r="D10231">
        <v>231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46084</v>
      </c>
      <c r="C10232">
        <v>7</v>
      </c>
      <c r="D10232">
        <v>225.96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46084</v>
      </c>
      <c r="C10233">
        <v>8</v>
      </c>
      <c r="D10233">
        <v>250.74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46084</v>
      </c>
      <c r="C10234">
        <v>9</v>
      </c>
      <c r="D10234">
        <v>353.64</v>
      </c>
      <c r="E10234">
        <v>0.84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46084</v>
      </c>
      <c r="C10235">
        <v>10</v>
      </c>
      <c r="D10235">
        <v>477.96</v>
      </c>
      <c r="E10235">
        <v>40.32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46084</v>
      </c>
      <c r="C10236">
        <v>11</v>
      </c>
      <c r="D10236">
        <v>816.06</v>
      </c>
      <c r="E10236">
        <v>181.02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46084</v>
      </c>
      <c r="C10237">
        <v>12</v>
      </c>
      <c r="D10237">
        <v>862.26</v>
      </c>
      <c r="E10237">
        <v>217.98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46084</v>
      </c>
      <c r="C10238">
        <v>13</v>
      </c>
      <c r="D10238">
        <v>867.3</v>
      </c>
      <c r="E10238">
        <v>214.2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46084</v>
      </c>
      <c r="C10239">
        <v>14</v>
      </c>
      <c r="D10239">
        <v>864.36</v>
      </c>
      <c r="E10239">
        <v>189.84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46084</v>
      </c>
      <c r="C10240">
        <v>15</v>
      </c>
      <c r="D10240">
        <v>873.6</v>
      </c>
      <c r="E10240">
        <v>191.1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46084</v>
      </c>
      <c r="C10241">
        <v>16</v>
      </c>
      <c r="D10241">
        <v>884.52</v>
      </c>
      <c r="E10241">
        <v>203.28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46084</v>
      </c>
      <c r="C10242">
        <v>17</v>
      </c>
      <c r="D10242">
        <v>900.06</v>
      </c>
      <c r="E10242">
        <v>232.26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46084</v>
      </c>
      <c r="C10243">
        <v>18</v>
      </c>
      <c r="D10243">
        <v>861.42</v>
      </c>
      <c r="E10243">
        <v>204.12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46084</v>
      </c>
      <c r="C10244">
        <v>19</v>
      </c>
      <c r="D10244">
        <v>837.48</v>
      </c>
      <c r="E10244">
        <v>168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46084</v>
      </c>
      <c r="C10245">
        <v>20</v>
      </c>
      <c r="D10245">
        <v>805.56</v>
      </c>
      <c r="E10245">
        <v>179.34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46084</v>
      </c>
      <c r="C10246">
        <v>21</v>
      </c>
      <c r="D10246">
        <v>784.14</v>
      </c>
      <c r="E10246">
        <v>188.16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46084</v>
      </c>
      <c r="C10247">
        <v>22</v>
      </c>
      <c r="D10247">
        <v>578.34</v>
      </c>
      <c r="E10247">
        <v>66.36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46084</v>
      </c>
      <c r="C10248">
        <v>23</v>
      </c>
      <c r="D10248">
        <v>349.44</v>
      </c>
      <c r="E10248">
        <v>2.52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46084</v>
      </c>
      <c r="C10249">
        <v>24</v>
      </c>
      <c r="D10249">
        <v>268.38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46085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46085</v>
      </c>
      <c r="C10251">
        <v>2</v>
      </c>
      <c r="D10251">
        <v>226.38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46085</v>
      </c>
      <c r="C10252">
        <v>3</v>
      </c>
      <c r="D10252">
        <v>220.5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46085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46085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46085</v>
      </c>
      <c r="C10255">
        <v>6</v>
      </c>
      <c r="D10255">
        <v>212.1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46085</v>
      </c>
      <c r="C10256">
        <v>7</v>
      </c>
      <c r="D10256">
        <v>201.18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46085</v>
      </c>
      <c r="C10257">
        <v>8</v>
      </c>
      <c r="D10257">
        <v>226.38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46085</v>
      </c>
      <c r="C10258">
        <v>9</v>
      </c>
      <c r="D10258">
        <v>330.96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46085</v>
      </c>
      <c r="C10259">
        <v>10</v>
      </c>
      <c r="D10259">
        <v>406.98</v>
      </c>
      <c r="E10259">
        <v>9.24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46085</v>
      </c>
      <c r="C10260">
        <v>11</v>
      </c>
      <c r="D10260">
        <v>845.46</v>
      </c>
      <c r="E10260">
        <v>172.2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46085</v>
      </c>
      <c r="C10261">
        <v>12</v>
      </c>
      <c r="D10261">
        <v>830.34</v>
      </c>
      <c r="E10261">
        <v>166.74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46085</v>
      </c>
      <c r="C10262">
        <v>13</v>
      </c>
      <c r="D10262">
        <v>845.04</v>
      </c>
      <c r="E10262">
        <v>189.42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46085</v>
      </c>
      <c r="C10263">
        <v>14</v>
      </c>
      <c r="D10263">
        <v>837.48</v>
      </c>
      <c r="E10263">
        <v>177.24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46085</v>
      </c>
      <c r="C10264">
        <v>15</v>
      </c>
      <c r="D10264">
        <v>844.2</v>
      </c>
      <c r="E10264">
        <v>180.18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46085</v>
      </c>
      <c r="C10265">
        <v>16</v>
      </c>
      <c r="D10265">
        <v>882</v>
      </c>
      <c r="E10265">
        <v>202.44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46085</v>
      </c>
      <c r="C10266">
        <v>17</v>
      </c>
      <c r="D10266">
        <v>883.26</v>
      </c>
      <c r="E10266">
        <v>225.12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46085</v>
      </c>
      <c r="C10267">
        <v>18</v>
      </c>
      <c r="D10267">
        <v>853.44</v>
      </c>
      <c r="E10267">
        <v>202.02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46085</v>
      </c>
      <c r="C10268">
        <v>19</v>
      </c>
      <c r="D10268">
        <v>807.66</v>
      </c>
      <c r="E10268">
        <v>181.02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46085</v>
      </c>
      <c r="C10269">
        <v>20</v>
      </c>
      <c r="D10269">
        <v>780.36</v>
      </c>
      <c r="E10269">
        <v>160.02000000000001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46085</v>
      </c>
      <c r="C10270">
        <v>21</v>
      </c>
      <c r="D10270">
        <v>631.26</v>
      </c>
      <c r="E10270">
        <v>88.2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46085</v>
      </c>
      <c r="C10271">
        <v>22</v>
      </c>
      <c r="D10271">
        <v>553.98</v>
      </c>
      <c r="E10271">
        <v>39.06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46085</v>
      </c>
      <c r="C10272">
        <v>23</v>
      </c>
      <c r="D10272">
        <v>334.74</v>
      </c>
      <c r="E10272">
        <v>0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46085</v>
      </c>
      <c r="C10273">
        <v>24</v>
      </c>
      <c r="D10273">
        <v>250.32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46086</v>
      </c>
      <c r="C10274">
        <v>1</v>
      </c>
      <c r="D10274">
        <v>224.7</v>
      </c>
      <c r="E10274">
        <v>0</v>
      </c>
      <c r="F10274" t="s">
        <v>7</v>
      </c>
      <c r="G10274" t="s">
        <v>12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46086</v>
      </c>
      <c r="C10275">
        <v>2</v>
      </c>
      <c r="D10275">
        <v>220.5</v>
      </c>
      <c r="E10275">
        <v>0</v>
      </c>
      <c r="F10275" t="s">
        <v>7</v>
      </c>
      <c r="G10275" t="s">
        <v>12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46086</v>
      </c>
      <c r="C10276">
        <v>3</v>
      </c>
      <c r="D10276">
        <v>220.5</v>
      </c>
      <c r="E10276">
        <v>0</v>
      </c>
      <c r="F10276" t="s">
        <v>7</v>
      </c>
      <c r="G10276" t="s">
        <v>12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46086</v>
      </c>
      <c r="C10277">
        <v>4</v>
      </c>
      <c r="D10277">
        <v>220.5</v>
      </c>
      <c r="E10277">
        <v>0</v>
      </c>
      <c r="F10277" t="s">
        <v>7</v>
      </c>
      <c r="G10277" t="s">
        <v>12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46086</v>
      </c>
      <c r="C10278">
        <v>5</v>
      </c>
      <c r="D10278">
        <v>226.8</v>
      </c>
      <c r="E10278">
        <v>0</v>
      </c>
      <c r="F10278" t="s">
        <v>7</v>
      </c>
      <c r="G10278" t="s">
        <v>12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46086</v>
      </c>
      <c r="C10279">
        <v>6</v>
      </c>
      <c r="D10279">
        <v>220.08</v>
      </c>
      <c r="E10279">
        <v>0</v>
      </c>
      <c r="F10279" t="s">
        <v>7</v>
      </c>
      <c r="G10279" t="s">
        <v>12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46086</v>
      </c>
      <c r="C10280">
        <v>7</v>
      </c>
      <c r="D10280">
        <v>217.98</v>
      </c>
      <c r="E10280">
        <v>0</v>
      </c>
      <c r="F10280" t="s">
        <v>7</v>
      </c>
      <c r="G10280" t="s">
        <v>12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46086</v>
      </c>
      <c r="C10281">
        <v>8</v>
      </c>
      <c r="D10281">
        <v>231.42</v>
      </c>
      <c r="E10281">
        <v>0</v>
      </c>
      <c r="F10281" t="s">
        <v>7</v>
      </c>
      <c r="G10281" t="s">
        <v>12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46086</v>
      </c>
      <c r="C10282">
        <v>9</v>
      </c>
      <c r="D10282">
        <v>304.5</v>
      </c>
      <c r="E10282">
        <v>0</v>
      </c>
      <c r="F10282" t="s">
        <v>7</v>
      </c>
      <c r="G10282" t="s">
        <v>12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46086</v>
      </c>
      <c r="C10283">
        <v>10</v>
      </c>
      <c r="D10283">
        <v>400.68</v>
      </c>
      <c r="E10283">
        <v>10.5</v>
      </c>
      <c r="F10283" t="s">
        <v>7</v>
      </c>
      <c r="G10283" t="s">
        <v>12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46086</v>
      </c>
      <c r="C10284">
        <v>11</v>
      </c>
      <c r="D10284">
        <v>823.2</v>
      </c>
      <c r="E10284">
        <v>166.32</v>
      </c>
      <c r="F10284" t="s">
        <v>7</v>
      </c>
      <c r="G10284" t="s">
        <v>12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46086</v>
      </c>
      <c r="C10285">
        <v>12</v>
      </c>
      <c r="D10285">
        <v>839.16</v>
      </c>
      <c r="E10285">
        <v>169.68</v>
      </c>
      <c r="F10285" t="s">
        <v>7</v>
      </c>
      <c r="G10285" t="s">
        <v>12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46086</v>
      </c>
      <c r="C10286">
        <v>13</v>
      </c>
      <c r="D10286">
        <v>844.2</v>
      </c>
      <c r="E10286">
        <v>196.98</v>
      </c>
      <c r="F10286" t="s">
        <v>7</v>
      </c>
      <c r="G10286" t="s">
        <v>12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46086</v>
      </c>
      <c r="C10287">
        <v>14</v>
      </c>
      <c r="D10287">
        <v>920.64</v>
      </c>
      <c r="E10287">
        <v>207.9</v>
      </c>
      <c r="F10287" t="s">
        <v>7</v>
      </c>
      <c r="G10287" t="s">
        <v>12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46086</v>
      </c>
      <c r="C10288">
        <v>15</v>
      </c>
      <c r="D10288">
        <v>937.44</v>
      </c>
      <c r="E10288">
        <v>209.58</v>
      </c>
      <c r="F10288" t="s">
        <v>7</v>
      </c>
      <c r="G10288" t="s">
        <v>12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46086</v>
      </c>
      <c r="C10289">
        <v>16</v>
      </c>
      <c r="D10289">
        <v>959.7</v>
      </c>
      <c r="E10289">
        <v>234.36</v>
      </c>
      <c r="F10289" t="s">
        <v>7</v>
      </c>
      <c r="G10289" t="s">
        <v>12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46086</v>
      </c>
      <c r="C10290">
        <v>17</v>
      </c>
      <c r="D10290">
        <v>935.34</v>
      </c>
      <c r="E10290">
        <v>260.39999999999998</v>
      </c>
      <c r="F10290" t="s">
        <v>7</v>
      </c>
      <c r="G10290" t="s">
        <v>12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46086</v>
      </c>
      <c r="C10291">
        <v>18</v>
      </c>
      <c r="D10291">
        <v>887.88</v>
      </c>
      <c r="E10291">
        <v>212.94</v>
      </c>
      <c r="F10291" t="s">
        <v>7</v>
      </c>
      <c r="G10291" t="s">
        <v>12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46086</v>
      </c>
      <c r="C10292">
        <v>19</v>
      </c>
      <c r="D10292">
        <v>841.68</v>
      </c>
      <c r="E10292">
        <v>170.94</v>
      </c>
      <c r="F10292" t="s">
        <v>7</v>
      </c>
      <c r="G10292" t="s">
        <v>12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46086</v>
      </c>
      <c r="C10293">
        <v>20</v>
      </c>
      <c r="D10293">
        <v>832.86</v>
      </c>
      <c r="E10293">
        <v>172.62</v>
      </c>
      <c r="F10293" t="s">
        <v>7</v>
      </c>
      <c r="G10293" t="s">
        <v>12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46086</v>
      </c>
      <c r="C10294">
        <v>21</v>
      </c>
      <c r="D10294">
        <v>822.78</v>
      </c>
      <c r="E10294">
        <v>175.98</v>
      </c>
      <c r="F10294" t="s">
        <v>7</v>
      </c>
      <c r="G10294" t="s">
        <v>12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46086</v>
      </c>
      <c r="C10295">
        <v>22</v>
      </c>
      <c r="D10295">
        <v>779.1</v>
      </c>
      <c r="E10295">
        <v>166.32</v>
      </c>
      <c r="F10295" t="s">
        <v>7</v>
      </c>
      <c r="G10295" t="s">
        <v>12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46086</v>
      </c>
      <c r="C10296">
        <v>23</v>
      </c>
      <c r="D10296">
        <v>360.78</v>
      </c>
      <c r="E10296">
        <v>2.1</v>
      </c>
      <c r="F10296" t="s">
        <v>7</v>
      </c>
      <c r="G10296" t="s">
        <v>12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46086</v>
      </c>
      <c r="C10297">
        <v>24</v>
      </c>
      <c r="D10297">
        <v>264.18</v>
      </c>
      <c r="E10297">
        <v>0</v>
      </c>
      <c r="F10297" t="s">
        <v>7</v>
      </c>
      <c r="G10297" t="s">
        <v>12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A10298" t="s">
        <v>6</v>
      </c>
      <c r="B10298" s="1">
        <v>46087</v>
      </c>
      <c r="C10298">
        <v>1</v>
      </c>
      <c r="F10298" t="s">
        <v>44</v>
      </c>
      <c r="G10298" t="s">
        <v>45</v>
      </c>
      <c r="H10298" s="5">
        <f>MONTH(Tabela1[[#This Row],[data]])</f>
        <v>3</v>
      </c>
      <c r="I10298">
        <f>YEAR(Tabela1[[#This Row],[data]])</f>
        <v>2026</v>
      </c>
    </row>
    <row r="10299" spans="1:9" x14ac:dyDescent="0.25">
      <c r="A10299" t="s">
        <v>6</v>
      </c>
      <c r="B10299" s="1">
        <v>46087</v>
      </c>
      <c r="C10299">
        <v>2</v>
      </c>
      <c r="F10299" t="s">
        <v>44</v>
      </c>
      <c r="G10299" t="s">
        <v>45</v>
      </c>
      <c r="H10299" s="5">
        <f>MONTH(Tabela1[[#This Row],[data]])</f>
        <v>3</v>
      </c>
      <c r="I10299">
        <f>YEAR(Tabela1[[#This Row],[data]])</f>
        <v>2026</v>
      </c>
    </row>
    <row r="10300" spans="1:9" x14ac:dyDescent="0.25">
      <c r="A10300" t="s">
        <v>6</v>
      </c>
      <c r="B10300" s="1">
        <v>46087</v>
      </c>
      <c r="C10300">
        <v>3</v>
      </c>
      <c r="F10300" t="s">
        <v>44</v>
      </c>
      <c r="G10300" t="s">
        <v>45</v>
      </c>
      <c r="H10300" s="5">
        <f>MONTH(Tabela1[[#This Row],[data]])</f>
        <v>3</v>
      </c>
      <c r="I10300">
        <f>YEAR(Tabela1[[#This Row],[data]])</f>
        <v>2026</v>
      </c>
    </row>
    <row r="10301" spans="1:9" x14ac:dyDescent="0.25">
      <c r="A10301" t="s">
        <v>6</v>
      </c>
      <c r="B10301" s="1">
        <v>46087</v>
      </c>
      <c r="C10301">
        <v>4</v>
      </c>
      <c r="F10301" t="s">
        <v>44</v>
      </c>
      <c r="G10301" t="s">
        <v>45</v>
      </c>
      <c r="H10301" s="5">
        <f>MONTH(Tabela1[[#This Row],[data]])</f>
        <v>3</v>
      </c>
      <c r="I10301">
        <f>YEAR(Tabela1[[#This Row],[data]])</f>
        <v>2026</v>
      </c>
    </row>
    <row r="10302" spans="1:9" x14ac:dyDescent="0.25">
      <c r="A10302" t="s">
        <v>6</v>
      </c>
      <c r="B10302" s="1">
        <v>46087</v>
      </c>
      <c r="C10302">
        <v>5</v>
      </c>
      <c r="F10302" t="s">
        <v>44</v>
      </c>
      <c r="G10302" t="s">
        <v>45</v>
      </c>
      <c r="H10302" s="5">
        <f>MONTH(Tabela1[[#This Row],[data]])</f>
        <v>3</v>
      </c>
      <c r="I10302">
        <f>YEAR(Tabela1[[#This Row],[data]])</f>
        <v>2026</v>
      </c>
    </row>
    <row r="10303" spans="1:9" x14ac:dyDescent="0.25">
      <c r="A10303" t="s">
        <v>6</v>
      </c>
      <c r="B10303" s="1">
        <v>46087</v>
      </c>
      <c r="C10303">
        <v>6</v>
      </c>
      <c r="F10303" t="s">
        <v>44</v>
      </c>
      <c r="G10303" t="s">
        <v>45</v>
      </c>
      <c r="H10303" s="5">
        <f>MONTH(Tabela1[[#This Row],[data]])</f>
        <v>3</v>
      </c>
      <c r="I10303">
        <f>YEAR(Tabela1[[#This Row],[data]])</f>
        <v>2026</v>
      </c>
    </row>
    <row r="10304" spans="1:9" x14ac:dyDescent="0.25">
      <c r="A10304" t="s">
        <v>6</v>
      </c>
      <c r="B10304" s="1">
        <v>46087</v>
      </c>
      <c r="C10304">
        <v>7</v>
      </c>
      <c r="F10304" t="s">
        <v>44</v>
      </c>
      <c r="G10304" t="s">
        <v>45</v>
      </c>
      <c r="H10304" s="5">
        <f>MONTH(Tabela1[[#This Row],[data]])</f>
        <v>3</v>
      </c>
      <c r="I10304">
        <f>YEAR(Tabela1[[#This Row],[data]])</f>
        <v>2026</v>
      </c>
    </row>
    <row r="10305" spans="1:9" x14ac:dyDescent="0.25">
      <c r="A10305" t="s">
        <v>6</v>
      </c>
      <c r="B10305" s="1">
        <v>46087</v>
      </c>
      <c r="C10305">
        <v>8</v>
      </c>
      <c r="F10305" t="s">
        <v>44</v>
      </c>
      <c r="G10305" t="s">
        <v>45</v>
      </c>
      <c r="H10305" s="5">
        <f>MONTH(Tabela1[[#This Row],[data]])</f>
        <v>3</v>
      </c>
      <c r="I10305">
        <f>YEAR(Tabela1[[#This Row],[data]])</f>
        <v>2026</v>
      </c>
    </row>
    <row r="10306" spans="1:9" x14ac:dyDescent="0.25">
      <c r="A10306" t="s">
        <v>6</v>
      </c>
      <c r="B10306" s="1">
        <v>46087</v>
      </c>
      <c r="C10306">
        <v>9</v>
      </c>
      <c r="F10306" t="s">
        <v>44</v>
      </c>
      <c r="G10306" t="s">
        <v>45</v>
      </c>
      <c r="H10306" s="5">
        <f>MONTH(Tabela1[[#This Row],[data]])</f>
        <v>3</v>
      </c>
      <c r="I10306">
        <f>YEAR(Tabela1[[#This Row],[data]])</f>
        <v>2026</v>
      </c>
    </row>
    <row r="10307" spans="1:9" x14ac:dyDescent="0.25">
      <c r="A10307" t="s">
        <v>6</v>
      </c>
      <c r="B10307" s="1">
        <v>46087</v>
      </c>
      <c r="C10307">
        <v>10</v>
      </c>
      <c r="F10307" t="s">
        <v>44</v>
      </c>
      <c r="G10307" t="s">
        <v>45</v>
      </c>
      <c r="H10307" s="5">
        <f>MONTH(Tabela1[[#This Row],[data]])</f>
        <v>3</v>
      </c>
      <c r="I10307">
        <f>YEAR(Tabela1[[#This Row],[data]])</f>
        <v>2026</v>
      </c>
    </row>
    <row r="10308" spans="1:9" x14ac:dyDescent="0.25">
      <c r="A10308" t="s">
        <v>6</v>
      </c>
      <c r="B10308" s="1">
        <v>46087</v>
      </c>
      <c r="C10308">
        <v>11</v>
      </c>
      <c r="F10308" t="s">
        <v>44</v>
      </c>
      <c r="G10308" t="s">
        <v>45</v>
      </c>
      <c r="H10308" s="5">
        <f>MONTH(Tabela1[[#This Row],[data]])</f>
        <v>3</v>
      </c>
      <c r="I10308">
        <f>YEAR(Tabela1[[#This Row],[data]])</f>
        <v>2026</v>
      </c>
    </row>
    <row r="10309" spans="1:9" x14ac:dyDescent="0.25">
      <c r="A10309" t="s">
        <v>6</v>
      </c>
      <c r="B10309" s="1">
        <v>46087</v>
      </c>
      <c r="C10309">
        <v>12</v>
      </c>
      <c r="F10309" t="s">
        <v>44</v>
      </c>
      <c r="G10309" t="s">
        <v>45</v>
      </c>
      <c r="H10309" s="5">
        <f>MONTH(Tabela1[[#This Row],[data]])</f>
        <v>3</v>
      </c>
      <c r="I10309">
        <f>YEAR(Tabela1[[#This Row],[data]])</f>
        <v>2026</v>
      </c>
    </row>
    <row r="10310" spans="1:9" x14ac:dyDescent="0.25">
      <c r="A10310" t="s">
        <v>6</v>
      </c>
      <c r="B10310" s="1">
        <v>46087</v>
      </c>
      <c r="C10310">
        <v>13</v>
      </c>
      <c r="F10310" t="s">
        <v>44</v>
      </c>
      <c r="G10310" t="s">
        <v>45</v>
      </c>
      <c r="H10310" s="5">
        <f>MONTH(Tabela1[[#This Row],[data]])</f>
        <v>3</v>
      </c>
      <c r="I10310">
        <f>YEAR(Tabela1[[#This Row],[data]])</f>
        <v>2026</v>
      </c>
    </row>
    <row r="10311" spans="1:9" x14ac:dyDescent="0.25">
      <c r="A10311" t="s">
        <v>6</v>
      </c>
      <c r="B10311" s="1">
        <v>46087</v>
      </c>
      <c r="C10311">
        <v>14</v>
      </c>
      <c r="F10311" t="s">
        <v>44</v>
      </c>
      <c r="G10311" t="s">
        <v>45</v>
      </c>
      <c r="H10311" s="5">
        <f>MONTH(Tabela1[[#This Row],[data]])</f>
        <v>3</v>
      </c>
      <c r="I10311">
        <f>YEAR(Tabela1[[#This Row],[data]])</f>
        <v>2026</v>
      </c>
    </row>
    <row r="10312" spans="1:9" x14ac:dyDescent="0.25">
      <c r="A10312" t="s">
        <v>6</v>
      </c>
      <c r="B10312" s="1">
        <v>46087</v>
      </c>
      <c r="C10312">
        <v>15</v>
      </c>
      <c r="F10312" t="s">
        <v>44</v>
      </c>
      <c r="G10312" t="s">
        <v>45</v>
      </c>
      <c r="H10312" s="5">
        <f>MONTH(Tabela1[[#This Row],[data]])</f>
        <v>3</v>
      </c>
      <c r="I10312">
        <f>YEAR(Tabela1[[#This Row],[data]])</f>
        <v>2026</v>
      </c>
    </row>
    <row r="10313" spans="1:9" x14ac:dyDescent="0.25">
      <c r="A10313" t="s">
        <v>6</v>
      </c>
      <c r="B10313" s="1">
        <v>46087</v>
      </c>
      <c r="C10313">
        <v>16</v>
      </c>
      <c r="F10313" t="s">
        <v>44</v>
      </c>
      <c r="G10313" t="s">
        <v>45</v>
      </c>
      <c r="H10313" s="5">
        <f>MONTH(Tabela1[[#This Row],[data]])</f>
        <v>3</v>
      </c>
      <c r="I10313">
        <f>YEAR(Tabela1[[#This Row],[data]])</f>
        <v>2026</v>
      </c>
    </row>
    <row r="10314" spans="1:9" x14ac:dyDescent="0.25">
      <c r="A10314" t="s">
        <v>6</v>
      </c>
      <c r="B10314" s="1">
        <v>46087</v>
      </c>
      <c r="C10314">
        <v>17</v>
      </c>
      <c r="F10314" t="s">
        <v>44</v>
      </c>
      <c r="G10314" t="s">
        <v>45</v>
      </c>
      <c r="H10314" s="5">
        <f>MONTH(Tabela1[[#This Row],[data]])</f>
        <v>3</v>
      </c>
      <c r="I10314">
        <f>YEAR(Tabela1[[#This Row],[data]])</f>
        <v>2026</v>
      </c>
    </row>
    <row r="10315" spans="1:9" x14ac:dyDescent="0.25">
      <c r="A10315" t="s">
        <v>6</v>
      </c>
      <c r="B10315" s="1">
        <v>46087</v>
      </c>
      <c r="C10315">
        <v>18</v>
      </c>
      <c r="F10315" t="s">
        <v>44</v>
      </c>
      <c r="G10315" t="s">
        <v>45</v>
      </c>
      <c r="H10315" s="5">
        <f>MONTH(Tabela1[[#This Row],[data]])</f>
        <v>3</v>
      </c>
      <c r="I10315">
        <f>YEAR(Tabela1[[#This Row],[data]])</f>
        <v>2026</v>
      </c>
    </row>
    <row r="10316" spans="1:9" x14ac:dyDescent="0.25">
      <c r="A10316" t="s">
        <v>6</v>
      </c>
      <c r="B10316" s="1">
        <v>46087</v>
      </c>
      <c r="C10316">
        <v>19</v>
      </c>
      <c r="F10316" t="s">
        <v>44</v>
      </c>
      <c r="G10316" t="s">
        <v>45</v>
      </c>
      <c r="H10316" s="5">
        <f>MONTH(Tabela1[[#This Row],[data]])</f>
        <v>3</v>
      </c>
      <c r="I10316">
        <f>YEAR(Tabela1[[#This Row],[data]])</f>
        <v>2026</v>
      </c>
    </row>
    <row r="10317" spans="1:9" x14ac:dyDescent="0.25">
      <c r="A10317" t="s">
        <v>6</v>
      </c>
      <c r="B10317" s="1">
        <v>46087</v>
      </c>
      <c r="C10317">
        <v>20</v>
      </c>
      <c r="F10317" t="s">
        <v>44</v>
      </c>
      <c r="G10317" t="s">
        <v>45</v>
      </c>
      <c r="H10317" s="5">
        <f>MONTH(Tabela1[[#This Row],[data]])</f>
        <v>3</v>
      </c>
      <c r="I10317">
        <f>YEAR(Tabela1[[#This Row],[data]])</f>
        <v>2026</v>
      </c>
    </row>
    <row r="10318" spans="1:9" x14ac:dyDescent="0.25">
      <c r="A10318" t="s">
        <v>6</v>
      </c>
      <c r="B10318" s="1">
        <v>46087</v>
      </c>
      <c r="C10318">
        <v>21</v>
      </c>
      <c r="F10318" t="s">
        <v>44</v>
      </c>
      <c r="G10318" t="s">
        <v>45</v>
      </c>
      <c r="H10318" s="5">
        <f>MONTH(Tabela1[[#This Row],[data]])</f>
        <v>3</v>
      </c>
      <c r="I10318">
        <f>YEAR(Tabela1[[#This Row],[data]])</f>
        <v>2026</v>
      </c>
    </row>
    <row r="10319" spans="1:9" x14ac:dyDescent="0.25">
      <c r="A10319" t="s">
        <v>6</v>
      </c>
      <c r="B10319" s="1">
        <v>46087</v>
      </c>
      <c r="C10319">
        <v>22</v>
      </c>
      <c r="F10319" t="s">
        <v>44</v>
      </c>
      <c r="G10319" t="s">
        <v>45</v>
      </c>
      <c r="H10319" s="5">
        <f>MONTH(Tabela1[[#This Row],[data]])</f>
        <v>3</v>
      </c>
      <c r="I10319">
        <f>YEAR(Tabela1[[#This Row],[data]])</f>
        <v>2026</v>
      </c>
    </row>
    <row r="10320" spans="1:9" x14ac:dyDescent="0.25">
      <c r="A10320" t="s">
        <v>6</v>
      </c>
      <c r="B10320" s="1">
        <v>46087</v>
      </c>
      <c r="C10320">
        <v>23</v>
      </c>
      <c r="F10320" t="s">
        <v>44</v>
      </c>
      <c r="G10320" t="s">
        <v>45</v>
      </c>
      <c r="H10320" s="5">
        <f>MONTH(Tabela1[[#This Row],[data]])</f>
        <v>3</v>
      </c>
      <c r="I10320">
        <f>YEAR(Tabela1[[#This Row],[data]])</f>
        <v>2026</v>
      </c>
    </row>
    <row r="10321" spans="1:9" x14ac:dyDescent="0.25">
      <c r="A10321" t="s">
        <v>6</v>
      </c>
      <c r="B10321" s="1">
        <v>46087</v>
      </c>
      <c r="C10321">
        <v>24</v>
      </c>
      <c r="F10321" t="s">
        <v>44</v>
      </c>
      <c r="G10321" t="s">
        <v>45</v>
      </c>
      <c r="H10321" s="5">
        <f>MONTH(Tabela1[[#This Row],[data]])</f>
        <v>3</v>
      </c>
      <c r="I10321">
        <f>YEAR(Tabela1[[#This Row],[data]])</f>
        <v>2026</v>
      </c>
    </row>
    <row r="10322" spans="1:9" x14ac:dyDescent="0.25">
      <c r="A10322" t="s">
        <v>6</v>
      </c>
      <c r="B10322" s="1">
        <v>46088</v>
      </c>
      <c r="C10322">
        <v>1</v>
      </c>
      <c r="D10322">
        <v>245.7</v>
      </c>
      <c r="E10322">
        <v>0</v>
      </c>
      <c r="F10322" t="s">
        <v>7</v>
      </c>
      <c r="G10322" t="s">
        <v>11</v>
      </c>
      <c r="H10322" s="5">
        <f>MONTH(Tabela1[[#This Row],[data]])</f>
        <v>3</v>
      </c>
      <c r="I10322">
        <f>YEAR(Tabela1[[#This Row],[data]])</f>
        <v>2026</v>
      </c>
    </row>
    <row r="10323" spans="1:9" x14ac:dyDescent="0.25">
      <c r="A10323" t="s">
        <v>6</v>
      </c>
      <c r="B10323" s="1">
        <v>46088</v>
      </c>
      <c r="C10323">
        <v>2</v>
      </c>
      <c r="D10323">
        <v>230.16</v>
      </c>
      <c r="E10323">
        <v>0</v>
      </c>
      <c r="F10323" t="s">
        <v>7</v>
      </c>
      <c r="G10323" t="s">
        <v>11</v>
      </c>
      <c r="H10323" s="5">
        <f>MONTH(Tabela1[[#This Row],[data]])</f>
        <v>3</v>
      </c>
      <c r="I10323">
        <f>YEAR(Tabela1[[#This Row],[data]])</f>
        <v>2026</v>
      </c>
    </row>
    <row r="10324" spans="1:9" x14ac:dyDescent="0.25">
      <c r="A10324" t="s">
        <v>6</v>
      </c>
      <c r="B10324" s="1">
        <v>46088</v>
      </c>
      <c r="C10324">
        <v>3</v>
      </c>
      <c r="D10324">
        <v>225.54</v>
      </c>
      <c r="E10324">
        <v>0</v>
      </c>
      <c r="F10324" t="s">
        <v>7</v>
      </c>
      <c r="G10324" t="s">
        <v>11</v>
      </c>
      <c r="H10324" s="5">
        <f>MONTH(Tabela1[[#This Row],[data]])</f>
        <v>3</v>
      </c>
      <c r="I10324">
        <f>YEAR(Tabela1[[#This Row],[data]])</f>
        <v>2026</v>
      </c>
    </row>
    <row r="10325" spans="1:9" x14ac:dyDescent="0.25">
      <c r="A10325" t="s">
        <v>6</v>
      </c>
      <c r="B10325" s="1">
        <v>46088</v>
      </c>
      <c r="C10325">
        <v>4</v>
      </c>
      <c r="D10325">
        <v>223.86</v>
      </c>
      <c r="E10325">
        <v>0</v>
      </c>
      <c r="F10325" t="s">
        <v>7</v>
      </c>
      <c r="G10325" t="s">
        <v>11</v>
      </c>
      <c r="H10325" s="5">
        <f>MONTH(Tabela1[[#This Row],[data]])</f>
        <v>3</v>
      </c>
      <c r="I10325">
        <f>YEAR(Tabela1[[#This Row],[data]])</f>
        <v>2026</v>
      </c>
    </row>
    <row r="10326" spans="1:9" x14ac:dyDescent="0.25">
      <c r="A10326" t="s">
        <v>6</v>
      </c>
      <c r="B10326" s="1">
        <v>46088</v>
      </c>
      <c r="C10326">
        <v>5</v>
      </c>
      <c r="D10326">
        <v>232.26</v>
      </c>
      <c r="E10326">
        <v>0</v>
      </c>
      <c r="F10326" t="s">
        <v>7</v>
      </c>
      <c r="G10326" t="s">
        <v>11</v>
      </c>
      <c r="H10326" s="5">
        <f>MONTH(Tabela1[[#This Row],[data]])</f>
        <v>3</v>
      </c>
      <c r="I10326">
        <f>YEAR(Tabela1[[#This Row],[data]])</f>
        <v>2026</v>
      </c>
    </row>
    <row r="10327" spans="1:9" x14ac:dyDescent="0.25">
      <c r="A10327" t="s">
        <v>6</v>
      </c>
      <c r="B10327" s="1">
        <v>46088</v>
      </c>
      <c r="C10327">
        <v>6</v>
      </c>
      <c r="D10327">
        <v>220.08</v>
      </c>
      <c r="E10327">
        <v>0</v>
      </c>
      <c r="F10327" t="s">
        <v>7</v>
      </c>
      <c r="G10327" t="s">
        <v>11</v>
      </c>
      <c r="H10327" s="5">
        <f>MONTH(Tabela1[[#This Row],[data]])</f>
        <v>3</v>
      </c>
      <c r="I10327">
        <f>YEAR(Tabela1[[#This Row],[data]])</f>
        <v>2026</v>
      </c>
    </row>
    <row r="10328" spans="1:9" x14ac:dyDescent="0.25">
      <c r="A10328" t="s">
        <v>6</v>
      </c>
      <c r="B10328" s="1">
        <v>46088</v>
      </c>
      <c r="C10328">
        <v>7</v>
      </c>
      <c r="D10328">
        <v>223.86</v>
      </c>
      <c r="E10328">
        <v>0</v>
      </c>
      <c r="F10328" t="s">
        <v>7</v>
      </c>
      <c r="G10328" t="s">
        <v>11</v>
      </c>
      <c r="H10328" s="5">
        <f>MONTH(Tabela1[[#This Row],[data]])</f>
        <v>3</v>
      </c>
      <c r="I10328">
        <f>YEAR(Tabela1[[#This Row],[data]])</f>
        <v>2026</v>
      </c>
    </row>
    <row r="10329" spans="1:9" x14ac:dyDescent="0.25">
      <c r="A10329" t="s">
        <v>6</v>
      </c>
      <c r="B10329" s="1">
        <v>46088</v>
      </c>
      <c r="C10329">
        <v>8</v>
      </c>
      <c r="D10329">
        <v>227.64</v>
      </c>
      <c r="E10329">
        <v>0</v>
      </c>
      <c r="F10329" t="s">
        <v>7</v>
      </c>
      <c r="G10329" t="s">
        <v>11</v>
      </c>
      <c r="H10329" s="5">
        <f>MONTH(Tabela1[[#This Row],[data]])</f>
        <v>3</v>
      </c>
      <c r="I10329">
        <f>YEAR(Tabela1[[#This Row],[data]])</f>
        <v>2026</v>
      </c>
    </row>
    <row r="10330" spans="1:9" x14ac:dyDescent="0.25">
      <c r="A10330" t="s">
        <v>6</v>
      </c>
      <c r="B10330" s="1">
        <v>46088</v>
      </c>
      <c r="C10330">
        <v>9</v>
      </c>
      <c r="D10330">
        <v>361.2</v>
      </c>
      <c r="E10330">
        <v>0.42</v>
      </c>
      <c r="F10330" t="s">
        <v>7</v>
      </c>
      <c r="G10330" t="s">
        <v>11</v>
      </c>
      <c r="H10330" s="5">
        <f>MONTH(Tabela1[[#This Row],[data]])</f>
        <v>3</v>
      </c>
      <c r="I10330">
        <f>YEAR(Tabela1[[#This Row],[data]])</f>
        <v>2026</v>
      </c>
    </row>
    <row r="10331" spans="1:9" x14ac:dyDescent="0.25">
      <c r="A10331" t="s">
        <v>6</v>
      </c>
      <c r="B10331" s="1">
        <v>46088</v>
      </c>
      <c r="C10331">
        <v>10</v>
      </c>
      <c r="D10331">
        <v>490.56</v>
      </c>
      <c r="E10331">
        <v>51.24</v>
      </c>
      <c r="F10331" t="s">
        <v>7</v>
      </c>
      <c r="G10331" t="s">
        <v>11</v>
      </c>
      <c r="H10331" s="5">
        <f>MONTH(Tabela1[[#This Row],[data]])</f>
        <v>3</v>
      </c>
      <c r="I10331">
        <f>YEAR(Tabela1[[#This Row],[data]])</f>
        <v>2026</v>
      </c>
    </row>
    <row r="10332" spans="1:9" x14ac:dyDescent="0.25">
      <c r="A10332" t="s">
        <v>6</v>
      </c>
      <c r="B10332" s="1">
        <v>46088</v>
      </c>
      <c r="C10332">
        <v>11</v>
      </c>
      <c r="D10332">
        <v>871.5</v>
      </c>
      <c r="E10332">
        <v>202.44</v>
      </c>
      <c r="F10332" t="s">
        <v>7</v>
      </c>
      <c r="G10332" t="s">
        <v>11</v>
      </c>
      <c r="H10332" s="5">
        <f>MONTH(Tabela1[[#This Row],[data]])</f>
        <v>3</v>
      </c>
      <c r="I10332">
        <f>YEAR(Tabela1[[#This Row],[data]])</f>
        <v>2026</v>
      </c>
    </row>
    <row r="10333" spans="1:9" x14ac:dyDescent="0.25">
      <c r="A10333" t="s">
        <v>6</v>
      </c>
      <c r="B10333" s="1">
        <v>46088</v>
      </c>
      <c r="C10333">
        <v>12</v>
      </c>
      <c r="D10333">
        <v>886.2</v>
      </c>
      <c r="E10333">
        <v>209.58</v>
      </c>
      <c r="F10333" t="s">
        <v>7</v>
      </c>
      <c r="G10333" t="s">
        <v>11</v>
      </c>
      <c r="H10333" s="5">
        <f>MONTH(Tabela1[[#This Row],[data]])</f>
        <v>3</v>
      </c>
      <c r="I10333">
        <f>YEAR(Tabela1[[#This Row],[data]])</f>
        <v>2026</v>
      </c>
    </row>
    <row r="10334" spans="1:9" x14ac:dyDescent="0.25">
      <c r="A10334" t="s">
        <v>6</v>
      </c>
      <c r="B10334" s="1">
        <v>46088</v>
      </c>
      <c r="C10334">
        <v>13</v>
      </c>
      <c r="D10334">
        <v>916.86</v>
      </c>
      <c r="E10334">
        <v>231.84</v>
      </c>
      <c r="F10334" t="s">
        <v>7</v>
      </c>
      <c r="G10334" t="s">
        <v>11</v>
      </c>
      <c r="H10334" s="5">
        <f>MONTH(Tabela1[[#This Row],[data]])</f>
        <v>3</v>
      </c>
      <c r="I10334">
        <f>YEAR(Tabela1[[#This Row],[data]])</f>
        <v>2026</v>
      </c>
    </row>
    <row r="10335" spans="1:9" x14ac:dyDescent="0.25">
      <c r="A10335" t="s">
        <v>6</v>
      </c>
      <c r="B10335" s="1">
        <v>46088</v>
      </c>
      <c r="C10335">
        <v>14</v>
      </c>
      <c r="D10335">
        <v>938.28</v>
      </c>
      <c r="E10335">
        <v>228.48</v>
      </c>
      <c r="F10335" t="s">
        <v>7</v>
      </c>
      <c r="G10335" t="s">
        <v>11</v>
      </c>
      <c r="H10335" s="5">
        <f>MONTH(Tabela1[[#This Row],[data]])</f>
        <v>3</v>
      </c>
      <c r="I10335">
        <f>YEAR(Tabela1[[#This Row],[data]])</f>
        <v>2026</v>
      </c>
    </row>
    <row r="10336" spans="1:9" x14ac:dyDescent="0.25">
      <c r="A10336" t="s">
        <v>6</v>
      </c>
      <c r="B10336" s="1">
        <v>46088</v>
      </c>
      <c r="C10336">
        <v>15</v>
      </c>
      <c r="D10336">
        <v>922.74</v>
      </c>
      <c r="E10336">
        <v>215.88</v>
      </c>
      <c r="F10336" t="s">
        <v>7</v>
      </c>
      <c r="G10336" t="s">
        <v>11</v>
      </c>
      <c r="H10336" s="5">
        <f>MONTH(Tabela1[[#This Row],[data]])</f>
        <v>3</v>
      </c>
      <c r="I10336">
        <f>YEAR(Tabela1[[#This Row],[data]])</f>
        <v>2026</v>
      </c>
    </row>
    <row r="10337" spans="1:9" x14ac:dyDescent="0.25">
      <c r="A10337" t="s">
        <v>6</v>
      </c>
      <c r="B10337" s="1">
        <v>46088</v>
      </c>
      <c r="C10337">
        <v>16</v>
      </c>
      <c r="D10337">
        <v>946.26</v>
      </c>
      <c r="E10337">
        <v>228.06</v>
      </c>
      <c r="F10337" t="s">
        <v>7</v>
      </c>
      <c r="G10337" t="s">
        <v>11</v>
      </c>
      <c r="H10337" s="5">
        <f>MONTH(Tabela1[[#This Row],[data]])</f>
        <v>3</v>
      </c>
      <c r="I10337">
        <f>YEAR(Tabela1[[#This Row],[data]])</f>
        <v>2026</v>
      </c>
    </row>
    <row r="10338" spans="1:9" x14ac:dyDescent="0.25">
      <c r="A10338" t="s">
        <v>6</v>
      </c>
      <c r="B10338" s="1">
        <v>46088</v>
      </c>
      <c r="C10338">
        <v>17</v>
      </c>
      <c r="D10338">
        <v>882</v>
      </c>
      <c r="E10338">
        <v>223.44</v>
      </c>
      <c r="F10338" t="s">
        <v>7</v>
      </c>
      <c r="G10338" t="s">
        <v>11</v>
      </c>
      <c r="H10338" s="5">
        <f>MONTH(Tabela1[[#This Row],[data]])</f>
        <v>3</v>
      </c>
      <c r="I10338">
        <f>YEAR(Tabela1[[#This Row],[data]])</f>
        <v>2026</v>
      </c>
    </row>
    <row r="10339" spans="1:9" x14ac:dyDescent="0.25">
      <c r="A10339" t="s">
        <v>6</v>
      </c>
      <c r="B10339" s="1">
        <v>46088</v>
      </c>
      <c r="C10339">
        <v>18</v>
      </c>
      <c r="D10339">
        <v>882</v>
      </c>
      <c r="E10339">
        <v>215.88</v>
      </c>
      <c r="F10339" t="s">
        <v>7</v>
      </c>
      <c r="G10339" t="s">
        <v>11</v>
      </c>
      <c r="H10339" s="5">
        <f>MONTH(Tabela1[[#This Row],[data]])</f>
        <v>3</v>
      </c>
      <c r="I10339">
        <f>YEAR(Tabela1[[#This Row],[data]])</f>
        <v>2026</v>
      </c>
    </row>
    <row r="10340" spans="1:9" x14ac:dyDescent="0.25">
      <c r="A10340" t="s">
        <v>6</v>
      </c>
      <c r="B10340" s="1">
        <v>46088</v>
      </c>
      <c r="C10340">
        <v>19</v>
      </c>
      <c r="D10340">
        <v>894.18</v>
      </c>
      <c r="E10340">
        <v>211.68</v>
      </c>
      <c r="F10340" t="s">
        <v>7</v>
      </c>
      <c r="G10340" t="s">
        <v>11</v>
      </c>
      <c r="H10340" s="5">
        <f>MONTH(Tabela1[[#This Row],[data]])</f>
        <v>3</v>
      </c>
      <c r="I10340">
        <f>YEAR(Tabela1[[#This Row],[data]])</f>
        <v>2026</v>
      </c>
    </row>
    <row r="10341" spans="1:9" x14ac:dyDescent="0.25">
      <c r="A10341" t="s">
        <v>6</v>
      </c>
      <c r="B10341" s="1">
        <v>46088</v>
      </c>
      <c r="C10341">
        <v>20</v>
      </c>
      <c r="D10341">
        <v>894.6</v>
      </c>
      <c r="E10341">
        <v>220.5</v>
      </c>
      <c r="F10341" t="s">
        <v>7</v>
      </c>
      <c r="G10341" t="s">
        <v>11</v>
      </c>
      <c r="H10341" s="5">
        <f>MONTH(Tabela1[[#This Row],[data]])</f>
        <v>3</v>
      </c>
      <c r="I10341">
        <f>YEAR(Tabela1[[#This Row],[data]])</f>
        <v>2026</v>
      </c>
    </row>
    <row r="10342" spans="1:9" x14ac:dyDescent="0.25">
      <c r="A10342" t="s">
        <v>6</v>
      </c>
      <c r="B10342" s="1">
        <v>46088</v>
      </c>
      <c r="C10342">
        <v>21</v>
      </c>
      <c r="D10342">
        <v>884.52</v>
      </c>
      <c r="E10342">
        <v>213.78</v>
      </c>
      <c r="F10342" t="s">
        <v>7</v>
      </c>
      <c r="G10342" t="s">
        <v>11</v>
      </c>
      <c r="H10342" s="5">
        <f>MONTH(Tabela1[[#This Row],[data]])</f>
        <v>3</v>
      </c>
      <c r="I10342">
        <f>YEAR(Tabela1[[#This Row],[data]])</f>
        <v>2026</v>
      </c>
    </row>
    <row r="10343" spans="1:9" x14ac:dyDescent="0.25">
      <c r="A10343" t="s">
        <v>6</v>
      </c>
      <c r="B10343" s="1">
        <v>46088</v>
      </c>
      <c r="C10343">
        <v>22</v>
      </c>
      <c r="D10343">
        <v>801.78</v>
      </c>
      <c r="E10343">
        <v>167.16</v>
      </c>
      <c r="F10343" t="s">
        <v>7</v>
      </c>
      <c r="G10343" t="s">
        <v>11</v>
      </c>
      <c r="H10343" s="5">
        <f>MONTH(Tabela1[[#This Row],[data]])</f>
        <v>3</v>
      </c>
      <c r="I10343">
        <f>YEAR(Tabela1[[#This Row],[data]])</f>
        <v>2026</v>
      </c>
    </row>
    <row r="10344" spans="1:9" x14ac:dyDescent="0.25">
      <c r="A10344" t="s">
        <v>6</v>
      </c>
      <c r="B10344" s="1">
        <v>46088</v>
      </c>
      <c r="C10344">
        <v>23</v>
      </c>
      <c r="D10344">
        <v>420.42</v>
      </c>
      <c r="E10344">
        <v>2.52</v>
      </c>
      <c r="F10344" t="s">
        <v>7</v>
      </c>
      <c r="G10344" t="s">
        <v>11</v>
      </c>
      <c r="H10344" s="5">
        <f>MONTH(Tabela1[[#This Row],[data]])</f>
        <v>3</v>
      </c>
      <c r="I10344">
        <f>YEAR(Tabela1[[#This Row],[data]])</f>
        <v>2026</v>
      </c>
    </row>
    <row r="10345" spans="1:9" x14ac:dyDescent="0.25">
      <c r="A10345" t="s">
        <v>6</v>
      </c>
      <c r="B10345" s="1">
        <v>46088</v>
      </c>
      <c r="C10345">
        <v>24</v>
      </c>
      <c r="D10345">
        <v>288.54000000000002</v>
      </c>
      <c r="E10345">
        <v>0</v>
      </c>
      <c r="F10345" t="s">
        <v>7</v>
      </c>
      <c r="G10345" t="s">
        <v>11</v>
      </c>
      <c r="H10345" s="5">
        <f>MONTH(Tabela1[[#This Row],[data]])</f>
        <v>3</v>
      </c>
      <c r="I10345">
        <f>YEAR(Tabela1[[#This Row],[data]])</f>
        <v>2026</v>
      </c>
    </row>
    <row r="10346" spans="1:9" x14ac:dyDescent="0.25">
      <c r="A10346" t="s">
        <v>6</v>
      </c>
      <c r="B10346" s="1">
        <v>46089</v>
      </c>
      <c r="C10346">
        <v>1</v>
      </c>
      <c r="D10346">
        <v>251.16</v>
      </c>
      <c r="E10346">
        <v>0</v>
      </c>
      <c r="F10346" t="s">
        <v>7</v>
      </c>
      <c r="G10346" t="s">
        <v>11</v>
      </c>
      <c r="H10346" s="5">
        <f>MONTH(Tabela1[[#This Row],[data]])</f>
        <v>3</v>
      </c>
      <c r="I10346">
        <f>YEAR(Tabela1[[#This Row],[data]])</f>
        <v>2026</v>
      </c>
    </row>
    <row r="10347" spans="1:9" x14ac:dyDescent="0.25">
      <c r="A10347" t="s">
        <v>6</v>
      </c>
      <c r="B10347" s="1">
        <v>46089</v>
      </c>
      <c r="C10347">
        <v>2</v>
      </c>
      <c r="D10347">
        <v>227.22</v>
      </c>
      <c r="E10347">
        <v>0</v>
      </c>
      <c r="F10347" t="s">
        <v>7</v>
      </c>
      <c r="G10347" t="s">
        <v>11</v>
      </c>
      <c r="H10347" s="5">
        <f>MONTH(Tabela1[[#This Row],[data]])</f>
        <v>3</v>
      </c>
      <c r="I10347">
        <f>YEAR(Tabela1[[#This Row],[data]])</f>
        <v>2026</v>
      </c>
    </row>
    <row r="10348" spans="1:9" x14ac:dyDescent="0.25">
      <c r="A10348" t="s">
        <v>6</v>
      </c>
      <c r="B10348" s="1">
        <v>46089</v>
      </c>
      <c r="C10348">
        <v>3</v>
      </c>
      <c r="D10348">
        <v>226.8</v>
      </c>
      <c r="E10348">
        <v>0</v>
      </c>
      <c r="F10348" t="s">
        <v>7</v>
      </c>
      <c r="G10348" t="s">
        <v>11</v>
      </c>
      <c r="H10348" s="5">
        <f>MONTH(Tabela1[[#This Row],[data]])</f>
        <v>3</v>
      </c>
      <c r="I10348">
        <f>YEAR(Tabela1[[#This Row],[data]])</f>
        <v>2026</v>
      </c>
    </row>
    <row r="10349" spans="1:9" x14ac:dyDescent="0.25">
      <c r="A10349" t="s">
        <v>6</v>
      </c>
      <c r="B10349" s="1">
        <v>46089</v>
      </c>
      <c r="C10349">
        <v>4</v>
      </c>
      <c r="D10349">
        <v>224.7</v>
      </c>
      <c r="E10349">
        <v>0</v>
      </c>
      <c r="F10349" t="s">
        <v>7</v>
      </c>
      <c r="G10349" t="s">
        <v>11</v>
      </c>
      <c r="H10349" s="5">
        <f>MONTH(Tabela1[[#This Row],[data]])</f>
        <v>3</v>
      </c>
      <c r="I10349">
        <f>YEAR(Tabela1[[#This Row],[data]])</f>
        <v>2026</v>
      </c>
    </row>
    <row r="10350" spans="1:9" x14ac:dyDescent="0.25">
      <c r="A10350" t="s">
        <v>6</v>
      </c>
      <c r="B10350" s="1">
        <v>46089</v>
      </c>
      <c r="C10350">
        <v>5</v>
      </c>
      <c r="D10350">
        <v>230.58</v>
      </c>
      <c r="E10350">
        <v>0</v>
      </c>
      <c r="F10350" t="s">
        <v>7</v>
      </c>
      <c r="G10350" t="s">
        <v>11</v>
      </c>
      <c r="H10350" s="5">
        <f>MONTH(Tabela1[[#This Row],[data]])</f>
        <v>3</v>
      </c>
      <c r="I10350">
        <f>YEAR(Tabela1[[#This Row],[data]])</f>
        <v>2026</v>
      </c>
    </row>
    <row r="10351" spans="1:9" x14ac:dyDescent="0.25">
      <c r="A10351" t="s">
        <v>6</v>
      </c>
      <c r="B10351" s="1">
        <v>46089</v>
      </c>
      <c r="C10351">
        <v>6</v>
      </c>
      <c r="D10351">
        <v>214.62</v>
      </c>
      <c r="E10351">
        <v>0</v>
      </c>
      <c r="F10351" t="s">
        <v>7</v>
      </c>
      <c r="G10351" t="s">
        <v>11</v>
      </c>
      <c r="H10351" s="5">
        <f>MONTH(Tabela1[[#This Row],[data]])</f>
        <v>3</v>
      </c>
      <c r="I10351">
        <f>YEAR(Tabela1[[#This Row],[data]])</f>
        <v>2026</v>
      </c>
    </row>
    <row r="10352" spans="1:9" x14ac:dyDescent="0.25">
      <c r="A10352" t="s">
        <v>6</v>
      </c>
      <c r="B10352" s="1">
        <v>46089</v>
      </c>
      <c r="C10352">
        <v>7</v>
      </c>
      <c r="D10352">
        <v>198.66</v>
      </c>
      <c r="E10352">
        <v>0</v>
      </c>
      <c r="F10352" t="s">
        <v>7</v>
      </c>
      <c r="G10352" t="s">
        <v>11</v>
      </c>
      <c r="H10352" s="5">
        <f>MONTH(Tabela1[[#This Row],[data]])</f>
        <v>3</v>
      </c>
      <c r="I10352">
        <f>YEAR(Tabela1[[#This Row],[data]])</f>
        <v>2026</v>
      </c>
    </row>
    <row r="10353" spans="1:9" x14ac:dyDescent="0.25">
      <c r="A10353" t="s">
        <v>6</v>
      </c>
      <c r="B10353" s="1">
        <v>46089</v>
      </c>
      <c r="C10353">
        <v>8</v>
      </c>
      <c r="D10353">
        <v>197.4</v>
      </c>
      <c r="E10353">
        <v>0</v>
      </c>
      <c r="F10353" t="s">
        <v>7</v>
      </c>
      <c r="G10353" t="s">
        <v>11</v>
      </c>
      <c r="H10353" s="5">
        <f>MONTH(Tabela1[[#This Row],[data]])</f>
        <v>3</v>
      </c>
      <c r="I10353">
        <f>YEAR(Tabela1[[#This Row],[data]])</f>
        <v>2026</v>
      </c>
    </row>
    <row r="10354" spans="1:9" x14ac:dyDescent="0.25">
      <c r="A10354" t="s">
        <v>6</v>
      </c>
      <c r="B10354" s="1">
        <v>46089</v>
      </c>
      <c r="C10354">
        <v>9</v>
      </c>
      <c r="D10354">
        <v>247.8</v>
      </c>
      <c r="E10354">
        <v>0</v>
      </c>
      <c r="F10354" t="s">
        <v>7</v>
      </c>
      <c r="G10354" t="s">
        <v>11</v>
      </c>
      <c r="H10354" s="5">
        <f>MONTH(Tabela1[[#This Row],[data]])</f>
        <v>3</v>
      </c>
      <c r="I10354">
        <f>YEAR(Tabela1[[#This Row],[data]])</f>
        <v>2026</v>
      </c>
    </row>
    <row r="10355" spans="1:9" x14ac:dyDescent="0.25">
      <c r="A10355" t="s">
        <v>6</v>
      </c>
      <c r="B10355" s="1">
        <v>46089</v>
      </c>
      <c r="C10355">
        <v>10</v>
      </c>
      <c r="D10355">
        <v>311.22000000000003</v>
      </c>
      <c r="E10355">
        <v>0.42</v>
      </c>
      <c r="F10355" t="s">
        <v>7</v>
      </c>
      <c r="G10355" t="s">
        <v>11</v>
      </c>
      <c r="H10355" s="5">
        <f>MONTH(Tabela1[[#This Row],[data]])</f>
        <v>3</v>
      </c>
      <c r="I10355">
        <f>YEAR(Tabela1[[#This Row],[data]])</f>
        <v>2026</v>
      </c>
    </row>
    <row r="10356" spans="1:9" x14ac:dyDescent="0.25">
      <c r="A10356" t="s">
        <v>6</v>
      </c>
      <c r="B10356" s="1">
        <v>46089</v>
      </c>
      <c r="C10356">
        <v>11</v>
      </c>
      <c r="D10356">
        <v>592.62</v>
      </c>
      <c r="E10356">
        <v>102.9</v>
      </c>
      <c r="F10356" t="s">
        <v>7</v>
      </c>
      <c r="G10356" t="s">
        <v>11</v>
      </c>
      <c r="H10356" s="5">
        <f>MONTH(Tabela1[[#This Row],[data]])</f>
        <v>3</v>
      </c>
      <c r="I10356">
        <f>YEAR(Tabela1[[#This Row],[data]])</f>
        <v>2026</v>
      </c>
    </row>
    <row r="10357" spans="1:9" x14ac:dyDescent="0.25">
      <c r="A10357" t="s">
        <v>6</v>
      </c>
      <c r="B10357" s="1">
        <v>46089</v>
      </c>
      <c r="C10357">
        <v>12</v>
      </c>
      <c r="D10357">
        <v>810.18</v>
      </c>
      <c r="E10357">
        <v>202.86</v>
      </c>
      <c r="F10357" t="s">
        <v>7</v>
      </c>
      <c r="G10357" t="s">
        <v>11</v>
      </c>
      <c r="H10357" s="5">
        <f>MONTH(Tabela1[[#This Row],[data]])</f>
        <v>3</v>
      </c>
      <c r="I10357">
        <f>YEAR(Tabela1[[#This Row],[data]])</f>
        <v>2026</v>
      </c>
    </row>
    <row r="10358" spans="1:9" x14ac:dyDescent="0.25">
      <c r="A10358" t="s">
        <v>6</v>
      </c>
      <c r="B10358" s="1">
        <v>46089</v>
      </c>
      <c r="C10358">
        <v>13</v>
      </c>
      <c r="D10358">
        <v>891.24</v>
      </c>
      <c r="E10358">
        <v>202.86</v>
      </c>
      <c r="F10358" t="s">
        <v>7</v>
      </c>
      <c r="G10358" t="s">
        <v>11</v>
      </c>
      <c r="H10358" s="5">
        <f>MONTH(Tabela1[[#This Row],[data]])</f>
        <v>3</v>
      </c>
      <c r="I10358">
        <f>YEAR(Tabela1[[#This Row],[data]])</f>
        <v>2026</v>
      </c>
    </row>
    <row r="10359" spans="1:9" x14ac:dyDescent="0.25">
      <c r="A10359" t="s">
        <v>6</v>
      </c>
      <c r="B10359" s="1">
        <v>46089</v>
      </c>
      <c r="C10359">
        <v>14</v>
      </c>
      <c r="D10359">
        <v>939.54</v>
      </c>
      <c r="E10359">
        <v>216.3</v>
      </c>
      <c r="F10359" t="s">
        <v>7</v>
      </c>
      <c r="G10359" t="s">
        <v>11</v>
      </c>
      <c r="H10359" s="5">
        <f>MONTH(Tabela1[[#This Row],[data]])</f>
        <v>3</v>
      </c>
      <c r="I10359">
        <f>YEAR(Tabela1[[#This Row],[data]])</f>
        <v>2026</v>
      </c>
    </row>
    <row r="10360" spans="1:9" x14ac:dyDescent="0.25">
      <c r="A10360" t="s">
        <v>6</v>
      </c>
      <c r="B10360" s="1">
        <v>46089</v>
      </c>
      <c r="C10360">
        <v>15</v>
      </c>
      <c r="D10360">
        <v>918.54</v>
      </c>
      <c r="E10360">
        <v>215.04</v>
      </c>
      <c r="F10360" t="s">
        <v>7</v>
      </c>
      <c r="G10360" t="s">
        <v>11</v>
      </c>
      <c r="H10360" s="5">
        <f>MONTH(Tabela1[[#This Row],[data]])</f>
        <v>3</v>
      </c>
      <c r="I10360">
        <f>YEAR(Tabela1[[#This Row],[data]])</f>
        <v>2026</v>
      </c>
    </row>
    <row r="10361" spans="1:9" x14ac:dyDescent="0.25">
      <c r="A10361" t="s">
        <v>6</v>
      </c>
      <c r="B10361" s="1">
        <v>46089</v>
      </c>
      <c r="C10361">
        <v>16</v>
      </c>
      <c r="D10361">
        <v>933.24</v>
      </c>
      <c r="E10361">
        <v>217.14</v>
      </c>
      <c r="F10361" t="s">
        <v>7</v>
      </c>
      <c r="G10361" t="s">
        <v>11</v>
      </c>
      <c r="H10361" s="5">
        <f>MONTH(Tabela1[[#This Row],[data]])</f>
        <v>3</v>
      </c>
      <c r="I10361">
        <f>YEAR(Tabela1[[#This Row],[data]])</f>
        <v>2026</v>
      </c>
    </row>
    <row r="10362" spans="1:9" x14ac:dyDescent="0.25">
      <c r="A10362" t="s">
        <v>6</v>
      </c>
      <c r="B10362" s="1">
        <v>46089</v>
      </c>
      <c r="C10362">
        <v>17</v>
      </c>
      <c r="D10362">
        <v>915.6</v>
      </c>
      <c r="E10362">
        <v>212.52</v>
      </c>
      <c r="F10362" t="s">
        <v>7</v>
      </c>
      <c r="G10362" t="s">
        <v>11</v>
      </c>
      <c r="H10362" s="5">
        <f>MONTH(Tabela1[[#This Row],[data]])</f>
        <v>3</v>
      </c>
      <c r="I10362">
        <f>YEAR(Tabela1[[#This Row],[data]])</f>
        <v>2026</v>
      </c>
    </row>
    <row r="10363" spans="1:9" x14ac:dyDescent="0.25">
      <c r="A10363" t="s">
        <v>6</v>
      </c>
      <c r="B10363" s="1">
        <v>46089</v>
      </c>
      <c r="C10363">
        <v>18</v>
      </c>
      <c r="D10363">
        <v>894.18</v>
      </c>
      <c r="E10363">
        <v>204.12</v>
      </c>
      <c r="F10363" t="s">
        <v>7</v>
      </c>
      <c r="G10363" t="s">
        <v>11</v>
      </c>
      <c r="H10363" s="5">
        <f>MONTH(Tabela1[[#This Row],[data]])</f>
        <v>3</v>
      </c>
      <c r="I10363">
        <f>YEAR(Tabela1[[#This Row],[data]])</f>
        <v>2026</v>
      </c>
    </row>
    <row r="10364" spans="1:9" x14ac:dyDescent="0.25">
      <c r="A10364" t="s">
        <v>6</v>
      </c>
      <c r="B10364" s="1">
        <v>46089</v>
      </c>
      <c r="C10364">
        <v>19</v>
      </c>
      <c r="D10364">
        <v>895.86</v>
      </c>
      <c r="E10364">
        <v>201.6</v>
      </c>
      <c r="F10364" t="s">
        <v>7</v>
      </c>
      <c r="G10364" t="s">
        <v>11</v>
      </c>
      <c r="H10364" s="5">
        <f>MONTH(Tabela1[[#This Row],[data]])</f>
        <v>3</v>
      </c>
      <c r="I10364">
        <f>YEAR(Tabela1[[#This Row],[data]])</f>
        <v>2026</v>
      </c>
    </row>
    <row r="10365" spans="1:9" x14ac:dyDescent="0.25">
      <c r="A10365" t="s">
        <v>6</v>
      </c>
      <c r="B10365" s="1">
        <v>46089</v>
      </c>
      <c r="C10365">
        <v>20</v>
      </c>
      <c r="D10365">
        <v>887.88</v>
      </c>
      <c r="E10365">
        <v>196.56</v>
      </c>
      <c r="F10365" t="s">
        <v>7</v>
      </c>
      <c r="G10365" t="s">
        <v>11</v>
      </c>
      <c r="H10365" s="5">
        <f>MONTH(Tabela1[[#This Row],[data]])</f>
        <v>3</v>
      </c>
      <c r="I10365">
        <f>YEAR(Tabela1[[#This Row],[data]])</f>
        <v>2026</v>
      </c>
    </row>
    <row r="10366" spans="1:9" x14ac:dyDescent="0.25">
      <c r="A10366" t="s">
        <v>6</v>
      </c>
      <c r="B10366" s="1">
        <v>46089</v>
      </c>
      <c r="C10366">
        <v>21</v>
      </c>
      <c r="D10366">
        <v>758.94</v>
      </c>
      <c r="E10366">
        <v>147.41999999999999</v>
      </c>
      <c r="F10366" t="s">
        <v>7</v>
      </c>
      <c r="G10366" t="s">
        <v>11</v>
      </c>
      <c r="H10366" s="5">
        <f>MONTH(Tabela1[[#This Row],[data]])</f>
        <v>3</v>
      </c>
      <c r="I10366">
        <f>YEAR(Tabela1[[#This Row],[data]])</f>
        <v>2026</v>
      </c>
    </row>
    <row r="10367" spans="1:9" x14ac:dyDescent="0.25">
      <c r="A10367" t="s">
        <v>6</v>
      </c>
      <c r="B10367" s="1">
        <v>46089</v>
      </c>
      <c r="C10367">
        <v>22</v>
      </c>
      <c r="D10367">
        <v>514.91999999999996</v>
      </c>
      <c r="E10367">
        <v>31.08</v>
      </c>
      <c r="F10367" t="s">
        <v>7</v>
      </c>
      <c r="G10367" t="s">
        <v>11</v>
      </c>
      <c r="H10367" s="5">
        <f>MONTH(Tabela1[[#This Row],[data]])</f>
        <v>3</v>
      </c>
      <c r="I10367">
        <f>YEAR(Tabela1[[#This Row],[data]])</f>
        <v>2026</v>
      </c>
    </row>
    <row r="10368" spans="1:9" x14ac:dyDescent="0.25">
      <c r="A10368" t="s">
        <v>6</v>
      </c>
      <c r="B10368" s="1">
        <v>46089</v>
      </c>
      <c r="C10368">
        <v>23</v>
      </c>
      <c r="D10368">
        <v>341.88</v>
      </c>
      <c r="E10368">
        <v>0</v>
      </c>
      <c r="F10368" t="s">
        <v>7</v>
      </c>
      <c r="G10368" t="s">
        <v>11</v>
      </c>
      <c r="H10368" s="5">
        <f>MONTH(Tabela1[[#This Row],[data]])</f>
        <v>3</v>
      </c>
      <c r="I10368">
        <f>YEAR(Tabela1[[#This Row],[data]])</f>
        <v>2026</v>
      </c>
    </row>
    <row r="10369" spans="1:9" x14ac:dyDescent="0.25">
      <c r="A10369" t="s">
        <v>6</v>
      </c>
      <c r="B10369" s="1">
        <v>46089</v>
      </c>
      <c r="C10369">
        <v>24</v>
      </c>
      <c r="D10369">
        <v>283.5</v>
      </c>
      <c r="E10369">
        <v>0</v>
      </c>
      <c r="F10369" t="s">
        <v>7</v>
      </c>
      <c r="G10369" t="s">
        <v>11</v>
      </c>
      <c r="H10369" s="5">
        <f>MONTH(Tabela1[[#This Row],[data]])</f>
        <v>3</v>
      </c>
      <c r="I10369">
        <f>YEAR(Tabela1[[#This Row],[data]])</f>
        <v>2026</v>
      </c>
    </row>
    <row r="10370" spans="1:9" x14ac:dyDescent="0.25">
      <c r="B10370" s="1"/>
      <c r="H10370" s="5"/>
    </row>
    <row r="10371" spans="1:9" x14ac:dyDescent="0.25">
      <c r="B10371" s="1"/>
      <c r="H10371" s="5"/>
    </row>
    <row r="10372" spans="1:9" x14ac:dyDescent="0.25">
      <c r="B10372" s="1"/>
      <c r="H10372" s="5"/>
    </row>
    <row r="10373" spans="1:9" x14ac:dyDescent="0.25">
      <c r="B10373" s="1"/>
      <c r="H10373" s="5"/>
    </row>
    <row r="10374" spans="1:9" x14ac:dyDescent="0.25">
      <c r="B10374" s="1"/>
      <c r="H10374" s="5"/>
    </row>
    <row r="10375" spans="1:9" x14ac:dyDescent="0.25">
      <c r="B10375" s="1"/>
      <c r="H10375" s="5"/>
    </row>
    <row r="10376" spans="1:9" x14ac:dyDescent="0.25">
      <c r="B10376" s="1"/>
      <c r="H10376" s="5"/>
    </row>
    <row r="10377" spans="1:9" x14ac:dyDescent="0.25">
      <c r="B10377" s="1"/>
      <c r="H10377" s="5"/>
    </row>
    <row r="10378" spans="1:9" x14ac:dyDescent="0.25">
      <c r="B10378" s="1"/>
      <c r="H10378" s="5"/>
    </row>
    <row r="10379" spans="1:9" x14ac:dyDescent="0.25">
      <c r="B10379" s="1"/>
      <c r="H10379" s="5"/>
    </row>
    <row r="10380" spans="1:9" x14ac:dyDescent="0.25">
      <c r="B10380" s="1"/>
      <c r="H10380" s="5"/>
    </row>
    <row r="10381" spans="1:9" x14ac:dyDescent="0.25">
      <c r="B10381" s="1"/>
      <c r="D10381" s="2"/>
      <c r="H10381" s="5"/>
    </row>
    <row r="10382" spans="1:9" x14ac:dyDescent="0.25">
      <c r="B10382" s="1"/>
      <c r="D10382" s="2"/>
      <c r="H10382" s="5"/>
    </row>
    <row r="10383" spans="1:9" x14ac:dyDescent="0.25">
      <c r="B10383" s="1"/>
      <c r="D10383" s="2"/>
      <c r="H10383" s="5"/>
    </row>
    <row r="10384" spans="1:9" x14ac:dyDescent="0.25">
      <c r="B10384" s="1"/>
      <c r="D10384" s="2"/>
      <c r="H10384" s="5"/>
    </row>
    <row r="10385" spans="2:8" x14ac:dyDescent="0.25">
      <c r="B10385" s="1"/>
      <c r="D10385" s="2"/>
      <c r="H10385" s="5"/>
    </row>
    <row r="10386" spans="2:8" x14ac:dyDescent="0.25">
      <c r="B10386" s="1"/>
      <c r="D10386" s="2"/>
      <c r="H10386" s="5"/>
    </row>
    <row r="10387" spans="2:8" x14ac:dyDescent="0.25">
      <c r="B10387" s="1"/>
      <c r="D10387" s="2"/>
      <c r="H10387" s="5"/>
    </row>
    <row r="10388" spans="2:8" x14ac:dyDescent="0.25">
      <c r="B10388" s="1"/>
      <c r="H10388" s="5"/>
    </row>
    <row r="10389" spans="2:8" x14ac:dyDescent="0.25">
      <c r="B10389" s="1"/>
      <c r="H10389" s="5"/>
    </row>
    <row r="10390" spans="2:8" x14ac:dyDescent="0.25">
      <c r="B10390" s="1"/>
      <c r="H10390" s="5"/>
    </row>
    <row r="10391" spans="2:8" x14ac:dyDescent="0.25">
      <c r="B10391" s="1"/>
      <c r="H10391" s="5"/>
    </row>
    <row r="10392" spans="2:8" x14ac:dyDescent="0.25">
      <c r="B10392" s="1"/>
      <c r="H10392" s="5"/>
    </row>
    <row r="10393" spans="2:8" x14ac:dyDescent="0.25">
      <c r="B10393" s="1"/>
      <c r="H10393" s="5"/>
    </row>
    <row r="10394" spans="2:8" x14ac:dyDescent="0.25">
      <c r="B10394" s="1"/>
      <c r="H10394" s="5"/>
    </row>
    <row r="10395" spans="2:8" x14ac:dyDescent="0.25">
      <c r="B10395" s="1"/>
      <c r="H10395" s="5"/>
    </row>
    <row r="10396" spans="2:8" x14ac:dyDescent="0.25">
      <c r="B10396" s="1"/>
      <c r="H10396" s="5"/>
    </row>
    <row r="10397" spans="2:8" x14ac:dyDescent="0.25">
      <c r="B10397" s="1"/>
      <c r="H10397" s="5"/>
    </row>
    <row r="10398" spans="2:8" x14ac:dyDescent="0.25">
      <c r="B10398" s="1"/>
      <c r="H10398" s="5"/>
    </row>
    <row r="10399" spans="2:8" x14ac:dyDescent="0.25">
      <c r="B10399" s="1"/>
      <c r="H10399" s="5"/>
    </row>
    <row r="10400" spans="2:8" x14ac:dyDescent="0.25">
      <c r="B10400" s="1"/>
      <c r="H10400" s="5"/>
    </row>
    <row r="10401" spans="2:8" x14ac:dyDescent="0.25">
      <c r="B10401" s="1"/>
      <c r="H10401" s="5"/>
    </row>
    <row r="10402" spans="2:8" x14ac:dyDescent="0.25">
      <c r="B10402" s="1"/>
      <c r="H10402" s="5"/>
    </row>
    <row r="10403" spans="2:8" x14ac:dyDescent="0.25">
      <c r="B10403" s="1"/>
      <c r="H10403" s="5"/>
    </row>
    <row r="10404" spans="2:8" x14ac:dyDescent="0.25">
      <c r="B10404" s="1"/>
      <c r="H10404" s="5"/>
    </row>
    <row r="10405" spans="2:8" x14ac:dyDescent="0.25">
      <c r="B10405" s="1"/>
      <c r="H10405" s="5"/>
    </row>
    <row r="10406" spans="2:8" x14ac:dyDescent="0.25">
      <c r="B10406" s="1"/>
      <c r="D10406" s="2"/>
      <c r="H10406" s="5"/>
    </row>
    <row r="10407" spans="2:8" x14ac:dyDescent="0.25">
      <c r="B10407" s="1"/>
      <c r="D10407" s="2"/>
      <c r="H10407" s="5"/>
    </row>
    <row r="10408" spans="2:8" x14ac:dyDescent="0.25">
      <c r="B10408" s="1"/>
      <c r="D10408" s="2"/>
      <c r="H10408" s="5"/>
    </row>
    <row r="10409" spans="2:8" x14ac:dyDescent="0.25">
      <c r="B10409" s="1"/>
      <c r="D10409" s="2"/>
      <c r="H10409" s="5"/>
    </row>
    <row r="10410" spans="2:8" x14ac:dyDescent="0.25">
      <c r="B10410" s="1"/>
      <c r="D10410" s="2"/>
      <c r="H10410" s="5"/>
    </row>
    <row r="10411" spans="2:8" x14ac:dyDescent="0.25">
      <c r="B10411" s="1"/>
      <c r="D10411" s="2"/>
      <c r="H10411" s="5"/>
    </row>
    <row r="10412" spans="2:8" x14ac:dyDescent="0.25">
      <c r="B10412" s="1"/>
      <c r="H10412" s="5"/>
    </row>
    <row r="10413" spans="2:8" x14ac:dyDescent="0.25">
      <c r="B10413" s="1"/>
      <c r="H10413" s="5"/>
    </row>
    <row r="10414" spans="2:8" x14ac:dyDescent="0.25">
      <c r="B10414" s="1"/>
      <c r="H10414" s="5"/>
    </row>
    <row r="10415" spans="2:8" x14ac:dyDescent="0.25">
      <c r="B10415" s="1"/>
      <c r="H10415" s="5"/>
    </row>
    <row r="10416" spans="2:8" x14ac:dyDescent="0.25">
      <c r="B10416" s="1"/>
      <c r="H10416" s="5"/>
    </row>
    <row r="10417" spans="2:8" x14ac:dyDescent="0.25">
      <c r="B10417" s="1"/>
      <c r="H10417" s="5"/>
    </row>
    <row r="10418" spans="2:8" x14ac:dyDescent="0.25">
      <c r="B10418" s="1"/>
      <c r="H10418" s="5"/>
    </row>
    <row r="10419" spans="2:8" x14ac:dyDescent="0.25">
      <c r="B10419" s="1"/>
      <c r="H10419" s="5"/>
    </row>
    <row r="10420" spans="2:8" x14ac:dyDescent="0.25">
      <c r="B10420" s="1"/>
      <c r="H10420" s="5"/>
    </row>
    <row r="10421" spans="2:8" x14ac:dyDescent="0.25">
      <c r="B10421" s="1"/>
      <c r="H10421" s="5"/>
    </row>
    <row r="10422" spans="2:8" x14ac:dyDescent="0.25">
      <c r="B10422" s="1"/>
      <c r="H10422" s="5"/>
    </row>
    <row r="10423" spans="2:8" x14ac:dyDescent="0.25">
      <c r="B10423" s="1"/>
      <c r="H10423" s="5"/>
    </row>
    <row r="10424" spans="2:8" x14ac:dyDescent="0.25">
      <c r="B10424" s="1"/>
      <c r="H10424" s="5"/>
    </row>
    <row r="10425" spans="2:8" x14ac:dyDescent="0.25">
      <c r="B10425" s="1"/>
      <c r="H10425" s="5"/>
    </row>
    <row r="10426" spans="2:8" x14ac:dyDescent="0.25">
      <c r="B10426" s="1"/>
      <c r="H10426" s="5"/>
    </row>
    <row r="10427" spans="2:8" x14ac:dyDescent="0.25">
      <c r="B10427" s="1"/>
      <c r="H10427" s="5"/>
    </row>
    <row r="10428" spans="2:8" x14ac:dyDescent="0.25">
      <c r="B10428" s="1"/>
      <c r="D10428" s="2"/>
      <c r="H10428" s="5"/>
    </row>
    <row r="10429" spans="2:8" x14ac:dyDescent="0.25">
      <c r="B10429" s="1"/>
      <c r="D10429" s="2"/>
      <c r="H10429" s="5"/>
    </row>
    <row r="10430" spans="2:8" x14ac:dyDescent="0.25">
      <c r="B10430" s="1"/>
      <c r="D10430" s="2"/>
      <c r="H10430" s="5"/>
    </row>
    <row r="10431" spans="2:8" x14ac:dyDescent="0.25">
      <c r="B10431" s="1"/>
      <c r="D10431" s="2"/>
      <c r="H10431" s="5"/>
    </row>
    <row r="10432" spans="2:8" x14ac:dyDescent="0.25">
      <c r="B10432" s="1"/>
      <c r="D10432" s="2"/>
      <c r="H10432" s="5"/>
    </row>
    <row r="10433" spans="2:8" x14ac:dyDescent="0.25">
      <c r="B10433" s="1"/>
      <c r="H10433" s="5"/>
    </row>
    <row r="10434" spans="2:8" x14ac:dyDescent="0.25">
      <c r="B10434" s="1"/>
      <c r="H10434" s="5"/>
    </row>
    <row r="10435" spans="2:8" x14ac:dyDescent="0.25">
      <c r="B10435" s="1"/>
      <c r="H10435" s="5"/>
    </row>
    <row r="10436" spans="2:8" x14ac:dyDescent="0.25">
      <c r="B10436" s="1"/>
      <c r="H10436" s="5"/>
    </row>
    <row r="10437" spans="2:8" x14ac:dyDescent="0.25">
      <c r="B10437" s="1"/>
      <c r="H10437" s="5"/>
    </row>
    <row r="10438" spans="2:8" x14ac:dyDescent="0.25">
      <c r="B10438" s="1"/>
      <c r="H10438" s="5"/>
    </row>
    <row r="10439" spans="2:8" x14ac:dyDescent="0.25">
      <c r="B10439" s="1"/>
      <c r="H10439" s="5"/>
    </row>
    <row r="10440" spans="2:8" x14ac:dyDescent="0.25">
      <c r="B10440" s="1"/>
      <c r="H10440" s="5"/>
    </row>
    <row r="10441" spans="2:8" x14ac:dyDescent="0.25">
      <c r="B10441" s="1"/>
      <c r="H10441" s="5"/>
    </row>
    <row r="10442" spans="2:8" x14ac:dyDescent="0.25">
      <c r="B10442" s="1"/>
      <c r="H10442" s="5"/>
    </row>
    <row r="10443" spans="2:8" x14ac:dyDescent="0.25">
      <c r="B10443" s="1"/>
      <c r="H10443" s="5"/>
    </row>
    <row r="10444" spans="2:8" x14ac:dyDescent="0.25">
      <c r="B10444" s="1"/>
      <c r="H10444" s="5"/>
    </row>
    <row r="10445" spans="2:8" x14ac:dyDescent="0.25">
      <c r="B10445" s="1"/>
      <c r="H10445" s="5"/>
    </row>
    <row r="10446" spans="2:8" x14ac:dyDescent="0.25">
      <c r="B10446" s="1"/>
      <c r="H10446" s="5"/>
    </row>
    <row r="10447" spans="2:8" x14ac:dyDescent="0.25">
      <c r="B10447" s="1"/>
      <c r="H10447" s="5"/>
    </row>
    <row r="10448" spans="2:8" x14ac:dyDescent="0.25">
      <c r="B10448" s="1"/>
      <c r="H10448" s="5"/>
    </row>
    <row r="10449" spans="2:8" x14ac:dyDescent="0.25">
      <c r="B10449" s="1"/>
      <c r="H10449" s="5"/>
    </row>
    <row r="10450" spans="2:8" x14ac:dyDescent="0.25">
      <c r="B10450" s="1"/>
      <c r="H10450" s="5"/>
    </row>
    <row r="10451" spans="2:8" x14ac:dyDescent="0.25">
      <c r="B10451" s="1"/>
      <c r="H10451" s="5"/>
    </row>
    <row r="10452" spans="2:8" x14ac:dyDescent="0.25">
      <c r="B10452" s="1"/>
      <c r="H10452" s="5"/>
    </row>
    <row r="10453" spans="2:8" x14ac:dyDescent="0.25">
      <c r="B10453" s="1"/>
      <c r="H10453" s="5"/>
    </row>
    <row r="10454" spans="2:8" x14ac:dyDescent="0.25">
      <c r="B10454" s="1"/>
      <c r="H10454" s="5"/>
    </row>
    <row r="10455" spans="2:8" x14ac:dyDescent="0.25">
      <c r="B10455" s="1"/>
      <c r="H10455" s="5"/>
    </row>
    <row r="10456" spans="2:8" x14ac:dyDescent="0.25">
      <c r="B10456" s="1"/>
      <c r="H10456" s="5"/>
    </row>
    <row r="10457" spans="2:8" x14ac:dyDescent="0.25">
      <c r="B10457" s="1"/>
      <c r="H10457" s="5"/>
    </row>
    <row r="10458" spans="2:8" x14ac:dyDescent="0.25">
      <c r="B10458" s="1"/>
      <c r="H10458" s="5"/>
    </row>
    <row r="10459" spans="2:8" x14ac:dyDescent="0.25">
      <c r="B10459" s="1"/>
      <c r="H10459" s="5"/>
    </row>
    <row r="10460" spans="2:8" x14ac:dyDescent="0.25">
      <c r="B10460" s="1"/>
      <c r="H10460" s="5"/>
    </row>
    <row r="10461" spans="2:8" x14ac:dyDescent="0.25">
      <c r="B10461" s="1"/>
      <c r="H10461" s="5"/>
    </row>
    <row r="10462" spans="2:8" x14ac:dyDescent="0.25">
      <c r="B10462" s="1"/>
      <c r="H10462" s="5"/>
    </row>
    <row r="10463" spans="2:8" x14ac:dyDescent="0.25">
      <c r="B10463" s="1"/>
      <c r="H10463" s="5"/>
    </row>
    <row r="10464" spans="2:8" x14ac:dyDescent="0.25">
      <c r="B10464" s="1"/>
      <c r="H10464" s="5"/>
    </row>
    <row r="10465" spans="2:8" x14ac:dyDescent="0.25">
      <c r="B10465" s="1"/>
      <c r="H10465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46061</v>
      </c>
      <c r="B2">
        <f ca="1">SUMIFS(Tabela1[Ativa (kwh)],Tabela1[data],A2)</f>
        <v>10849.439999999999</v>
      </c>
      <c r="C2">
        <f ca="1">SUMIFS(Tabela1[Reativa (kvarh)],Tabela1[data],A2)</f>
        <v>1142.82</v>
      </c>
      <c r="D2">
        <f t="shared" ref="D2" ca="1" si="1">B2/1000</f>
        <v>10.84944</v>
      </c>
      <c r="E2">
        <f t="shared" ref="E2" ca="1" si="2">C2/1000</f>
        <v>1.1428199999999999</v>
      </c>
    </row>
    <row r="3" spans="1:5" x14ac:dyDescent="0.25">
      <c r="A3" s="1">
        <f t="shared" ca="1" si="0"/>
        <v>46062</v>
      </c>
      <c r="B3">
        <f ca="1">SUMIFS(Tabela1[Ativa (kwh)],Tabela1[data],A3)</f>
        <v>13959.96</v>
      </c>
      <c r="C3">
        <f ca="1">SUMIFS(Tabela1[Reativa (kvarh)],Tabela1[data],A3)</f>
        <v>2362.08</v>
      </c>
      <c r="D3">
        <f t="shared" ref="D3" ca="1" si="3">B3/1000</f>
        <v>13.959959999999999</v>
      </c>
      <c r="E3">
        <f t="shared" ref="E3" ca="1" si="4">C3/1000</f>
        <v>2.3620799999999997</v>
      </c>
    </row>
    <row r="4" spans="1:5" x14ac:dyDescent="0.25">
      <c r="A4" s="1">
        <f t="shared" ca="1" si="0"/>
        <v>46063</v>
      </c>
      <c r="B4">
        <f ca="1">SUMIFS(Tabela1[Ativa (kwh)],Tabela1[data],A4)</f>
        <v>13565.580000000002</v>
      </c>
      <c r="C4">
        <f ca="1">SUMIFS(Tabela1[Reativa (kvarh)],Tabela1[data],A4)</f>
        <v>2019.3600000000001</v>
      </c>
      <c r="D4">
        <f t="shared" ref="D4:D20" ca="1" si="5">B4/1000</f>
        <v>13.565580000000002</v>
      </c>
      <c r="E4">
        <f t="shared" ref="E4:E20" ca="1" si="6">C4/1000</f>
        <v>2.0193600000000003</v>
      </c>
    </row>
    <row r="5" spans="1:5" x14ac:dyDescent="0.25">
      <c r="A5" s="1">
        <f t="shared" ca="1" si="0"/>
        <v>46064</v>
      </c>
      <c r="B5">
        <f ca="1">SUMIFS(Tabela1[Ativa (kwh)],Tabela1[data],A5)</f>
        <v>14547.119999999999</v>
      </c>
      <c r="C5">
        <f ca="1">SUMIFS(Tabela1[Reativa (kvarh)],Tabela1[data],A5)</f>
        <v>2474.6400000000003</v>
      </c>
      <c r="D5">
        <f t="shared" ca="1" si="5"/>
        <v>14.54712</v>
      </c>
      <c r="E5">
        <f t="shared" ca="1" si="6"/>
        <v>2.4746400000000004</v>
      </c>
    </row>
    <row r="6" spans="1:5" x14ac:dyDescent="0.25">
      <c r="A6" s="1">
        <f t="shared" ca="1" si="0"/>
        <v>46065</v>
      </c>
      <c r="B6">
        <f ca="1">SUMIFS(Tabela1[Ativa (kwh)],Tabela1[data],A6)</f>
        <v>14613.9</v>
      </c>
      <c r="C6">
        <f ca="1">SUMIFS(Tabela1[Reativa (kvarh)],Tabela1[data],A6)</f>
        <v>2491.8599999999997</v>
      </c>
      <c r="D6">
        <f t="shared" ca="1" si="5"/>
        <v>14.613899999999999</v>
      </c>
      <c r="E6">
        <f t="shared" ca="1" si="6"/>
        <v>2.4918599999999995</v>
      </c>
    </row>
    <row r="7" spans="1:5" x14ac:dyDescent="0.25">
      <c r="A7" s="1">
        <f t="shared" ca="1" si="0"/>
        <v>46066</v>
      </c>
      <c r="B7">
        <f ca="1">SUMIFS(Tabela1[Ativa (kwh)],Tabela1[data],A7)</f>
        <v>15783.6</v>
      </c>
      <c r="C7">
        <f ca="1">SUMIFS(Tabela1[Reativa (kvarh)],Tabela1[data],A7)</f>
        <v>3041.2200000000003</v>
      </c>
      <c r="D7">
        <f t="shared" ca="1" si="5"/>
        <v>15.7836</v>
      </c>
      <c r="E7">
        <f t="shared" ca="1" si="6"/>
        <v>3.04122</v>
      </c>
    </row>
    <row r="8" spans="1:5" x14ac:dyDescent="0.25">
      <c r="A8" s="1">
        <f t="shared" ca="1" si="0"/>
        <v>46067</v>
      </c>
      <c r="B8">
        <f ca="1">SUMIFS(Tabela1[Ativa (kwh)],Tabela1[data],A8)</f>
        <v>14310.24</v>
      </c>
      <c r="C8">
        <f ca="1">SUMIFS(Tabela1[Reativa (kvarh)],Tabela1[data],A8)</f>
        <v>2245.3199999999997</v>
      </c>
      <c r="D8">
        <f t="shared" ca="1" si="5"/>
        <v>14.31024</v>
      </c>
      <c r="E8">
        <f t="shared" ca="1" si="6"/>
        <v>2.2453199999999995</v>
      </c>
    </row>
    <row r="9" spans="1:5" x14ac:dyDescent="0.25">
      <c r="A9" s="1">
        <f t="shared" ca="1" si="0"/>
        <v>46068</v>
      </c>
      <c r="B9">
        <f ca="1">SUMIFS(Tabela1[Ativa (kwh)],Tabela1[data],A9)</f>
        <v>13153.559999999998</v>
      </c>
      <c r="C9">
        <f ca="1">SUMIFS(Tabela1[Reativa (kvarh)],Tabela1[data],A9)</f>
        <v>2066.8200000000002</v>
      </c>
      <c r="D9">
        <f t="shared" ca="1" si="5"/>
        <v>13.153559999999997</v>
      </c>
      <c r="E9">
        <f t="shared" ca="1" si="6"/>
        <v>2.0668200000000003</v>
      </c>
    </row>
    <row r="10" spans="1:5" x14ac:dyDescent="0.25">
      <c r="A10" s="1">
        <f t="shared" ca="1" si="0"/>
        <v>46069</v>
      </c>
      <c r="B10">
        <f ca="1">SUMIFS(Tabela1[Ativa (kwh)],Tabela1[data],A10)</f>
        <v>14484.960000000001</v>
      </c>
      <c r="C10">
        <f ca="1">SUMIFS(Tabela1[Reativa (kvarh)],Tabela1[data],A10)</f>
        <v>2625.84</v>
      </c>
      <c r="D10">
        <f t="shared" ca="1" si="5"/>
        <v>14.484960000000001</v>
      </c>
      <c r="E10">
        <f t="shared" ca="1" si="6"/>
        <v>2.6258400000000002</v>
      </c>
    </row>
    <row r="11" spans="1:5" x14ac:dyDescent="0.25">
      <c r="A11" s="1">
        <f t="shared" ca="1" si="0"/>
        <v>46070</v>
      </c>
      <c r="B11">
        <f ca="1">SUMIFS(Tabela1[Ativa (kwh)],Tabela1[data],A11)</f>
        <v>13996.499999999995</v>
      </c>
      <c r="C11">
        <f ca="1">SUMIFS(Tabela1[Reativa (kvarh)],Tabela1[data],A11)</f>
        <v>2766.96</v>
      </c>
      <c r="D11">
        <f t="shared" ca="1" si="5"/>
        <v>13.996499999999994</v>
      </c>
      <c r="E11">
        <f t="shared" ca="1" si="6"/>
        <v>2.7669600000000001</v>
      </c>
    </row>
    <row r="12" spans="1:5" x14ac:dyDescent="0.25">
      <c r="A12" s="1">
        <f t="shared" ca="1" si="0"/>
        <v>46071</v>
      </c>
      <c r="B12">
        <f ca="1">SUMIFS(Tabela1[Ativa (kwh)],Tabela1[data],A12)</f>
        <v>14146.859999999997</v>
      </c>
      <c r="C12">
        <f ca="1">SUMIFS(Tabela1[Reativa (kvarh)],Tabela1[data],A12)</f>
        <v>2533.86</v>
      </c>
      <c r="D12">
        <f t="shared" ca="1" si="5"/>
        <v>14.146859999999997</v>
      </c>
      <c r="E12">
        <f t="shared" ca="1" si="6"/>
        <v>2.5338600000000002</v>
      </c>
    </row>
    <row r="13" spans="1:5" x14ac:dyDescent="0.25">
      <c r="A13" s="1">
        <f t="shared" ca="1" si="0"/>
        <v>46072</v>
      </c>
      <c r="B13">
        <f ca="1">SUMIFS(Tabela1[Ativa (kwh)],Tabela1[data],A13)</f>
        <v>15716.400000000001</v>
      </c>
      <c r="C13">
        <f ca="1">SUMIFS(Tabela1[Reativa (kvarh)],Tabela1[data],A13)</f>
        <v>3582.6000000000004</v>
      </c>
      <c r="D13">
        <f t="shared" ca="1" si="5"/>
        <v>15.716400000000002</v>
      </c>
      <c r="E13">
        <f t="shared" ca="1" si="6"/>
        <v>3.5826000000000002</v>
      </c>
    </row>
    <row r="14" spans="1:5" x14ac:dyDescent="0.25">
      <c r="A14" s="1">
        <f t="shared" ref="A14:A20" ca="1" si="7">A15-1</f>
        <v>46073</v>
      </c>
      <c r="B14">
        <f ca="1">SUMIFS(Tabela1[Ativa (kwh)],Tabela1[data],A14)</f>
        <v>15205.68</v>
      </c>
      <c r="C14">
        <f ca="1">SUMIFS(Tabela1[Reativa (kvarh)],Tabela1[data],A14)</f>
        <v>3071.0400000000004</v>
      </c>
      <c r="D14">
        <f t="shared" ca="1" si="5"/>
        <v>15.205680000000001</v>
      </c>
      <c r="E14">
        <f t="shared" ca="1" si="6"/>
        <v>3.0710400000000004</v>
      </c>
    </row>
    <row r="15" spans="1:5" x14ac:dyDescent="0.25">
      <c r="A15" s="1">
        <f t="shared" ca="1" si="7"/>
        <v>46074</v>
      </c>
      <c r="B15">
        <f ca="1">SUMIFS(Tabela1[Ativa (kwh)],Tabela1[data],A15)</f>
        <v>15608.880000000001</v>
      </c>
      <c r="C15">
        <f ca="1">SUMIFS(Tabela1[Reativa (kvarh)],Tabela1[data],A15)</f>
        <v>3656.52</v>
      </c>
      <c r="D15">
        <f t="shared" ca="1" si="5"/>
        <v>15.608880000000001</v>
      </c>
      <c r="E15">
        <f t="shared" ca="1" si="6"/>
        <v>3.65652</v>
      </c>
    </row>
    <row r="16" spans="1:5" x14ac:dyDescent="0.25">
      <c r="A16" s="1">
        <f t="shared" ca="1" si="7"/>
        <v>46075</v>
      </c>
      <c r="B16">
        <f ca="1">SUMIFS(Tabela1[Ativa (kwh)],Tabela1[data],A16)</f>
        <v>13204.8</v>
      </c>
      <c r="C16">
        <f ca="1">SUMIFS(Tabela1[Reativa (kvarh)],Tabela1[data],A16)</f>
        <v>2372.5800000000004</v>
      </c>
      <c r="D16">
        <f t="shared" ca="1" si="5"/>
        <v>13.204799999999999</v>
      </c>
      <c r="E16">
        <f t="shared" ca="1" si="6"/>
        <v>2.3725800000000006</v>
      </c>
    </row>
    <row r="17" spans="1:5" x14ac:dyDescent="0.25">
      <c r="A17" s="1">
        <f t="shared" ca="1" si="7"/>
        <v>46076</v>
      </c>
      <c r="B17">
        <f ca="1">SUMIFS(Tabela1[Ativa (kwh)],Tabela1[data],A17)</f>
        <v>15299.759999999998</v>
      </c>
      <c r="C17">
        <f ca="1">SUMIFS(Tabela1[Reativa (kvarh)],Tabela1[data],A17)</f>
        <v>3145.38</v>
      </c>
      <c r="D17">
        <f t="shared" ca="1" si="5"/>
        <v>15.299759999999999</v>
      </c>
      <c r="E17">
        <f t="shared" ca="1" si="6"/>
        <v>3.1453800000000003</v>
      </c>
    </row>
    <row r="18" spans="1:5" x14ac:dyDescent="0.25">
      <c r="A18" s="1">
        <f t="shared" ca="1" si="7"/>
        <v>46077</v>
      </c>
      <c r="B18">
        <f ca="1">SUMIFS(Tabela1[Ativa (kwh)],Tabela1[data],A18)</f>
        <v>15763.859999999999</v>
      </c>
      <c r="C18">
        <f ca="1">SUMIFS(Tabela1[Reativa (kvarh)],Tabela1[data],A18)</f>
        <v>3323.4599999999996</v>
      </c>
      <c r="D18">
        <f t="shared" ca="1" si="5"/>
        <v>15.763859999999999</v>
      </c>
      <c r="E18">
        <f t="shared" ca="1" si="6"/>
        <v>3.3234599999999994</v>
      </c>
    </row>
    <row r="19" spans="1:5" x14ac:dyDescent="0.25">
      <c r="A19" s="1">
        <f t="shared" ca="1" si="7"/>
        <v>46078</v>
      </c>
      <c r="B19">
        <f ca="1">SUMIFS(Tabela1[Ativa (kwh)],Tabela1[data],A19)</f>
        <v>15613.920000000004</v>
      </c>
      <c r="C19">
        <f ca="1">SUMIFS(Tabela1[Reativa (kvarh)],Tabela1[data],A19)</f>
        <v>3279.3599999999997</v>
      </c>
      <c r="D19">
        <f t="shared" ca="1" si="5"/>
        <v>15.613920000000004</v>
      </c>
      <c r="E19">
        <f t="shared" ca="1" si="6"/>
        <v>3.2793599999999996</v>
      </c>
    </row>
    <row r="20" spans="1:5" x14ac:dyDescent="0.25">
      <c r="A20" s="1">
        <f t="shared" ca="1" si="7"/>
        <v>46079</v>
      </c>
      <c r="B20">
        <f ca="1">SUMIFS(Tabela1[Ativa (kwh)],Tabela1[data],A20)</f>
        <v>14546.699999999999</v>
      </c>
      <c r="C20">
        <f ca="1">SUMIFS(Tabela1[Reativa (kvarh)],Tabela1[data],A20)</f>
        <v>2902.6199999999994</v>
      </c>
      <c r="D20">
        <f t="shared" ca="1" si="5"/>
        <v>14.5467</v>
      </c>
      <c r="E20">
        <f t="shared" ca="1" si="6"/>
        <v>2.9026199999999993</v>
      </c>
    </row>
    <row r="21" spans="1:5" x14ac:dyDescent="0.25">
      <c r="A21" s="1">
        <f t="shared" ref="A21:A26" ca="1" si="8">A22-1</f>
        <v>46080</v>
      </c>
      <c r="B21">
        <f ca="1">SUMIFS(Tabela1[Ativa (kwh)],Tabela1[data],A21)</f>
        <v>12985.980000000001</v>
      </c>
      <c r="C21">
        <f ca="1">SUMIFS(Tabela1[Reativa (kvarh)],Tabela1[data],A21)</f>
        <v>2105.04</v>
      </c>
      <c r="D21">
        <f ca="1">B21/1000</f>
        <v>12.985980000000001</v>
      </c>
      <c r="E21">
        <f ca="1">C21/1000</f>
        <v>2.1050399999999998</v>
      </c>
    </row>
    <row r="22" spans="1:5" x14ac:dyDescent="0.25">
      <c r="A22" s="1">
        <f t="shared" ca="1" si="8"/>
        <v>46081</v>
      </c>
      <c r="B22">
        <f ca="1">SUMIFS(Tabela1[Ativa (kwh)],Tabela1[data],A22)</f>
        <v>13784.82</v>
      </c>
      <c r="C22">
        <f ca="1">SUMIFS(Tabela1[Reativa (kvarh)],Tabela1[data],A22)</f>
        <v>2298.66</v>
      </c>
      <c r="D22">
        <f t="shared" ref="D22:D30" ca="1" si="9">B22/1000</f>
        <v>13.78482</v>
      </c>
      <c r="E22">
        <f t="shared" ref="E22:E30" ca="1" si="10">C22/1000</f>
        <v>2.2986599999999999</v>
      </c>
    </row>
    <row r="23" spans="1:5" x14ac:dyDescent="0.25">
      <c r="A23" s="1">
        <f t="shared" ca="1" si="8"/>
        <v>46082</v>
      </c>
      <c r="B23">
        <f ca="1">SUMIFS(Tabela1[Ativa (kwh)],Tabela1[data],A23)</f>
        <v>10425.660000000002</v>
      </c>
      <c r="C23">
        <f ca="1">SUMIFS(Tabela1[Reativa (kvarh)],Tabela1[data],A23)</f>
        <v>996.66</v>
      </c>
      <c r="D23">
        <f t="shared" ca="1" si="9"/>
        <v>10.425660000000002</v>
      </c>
      <c r="E23">
        <f t="shared" ca="1" si="10"/>
        <v>0.99665999999999999</v>
      </c>
    </row>
    <row r="24" spans="1:5" x14ac:dyDescent="0.25">
      <c r="A24" s="1">
        <f t="shared" ca="1" si="8"/>
        <v>46083</v>
      </c>
      <c r="B24">
        <f ca="1">SUMIFS(Tabela1[Ativa (kwh)],Tabela1[data],A24)</f>
        <v>13039.32</v>
      </c>
      <c r="C24">
        <f ca="1">SUMIFS(Tabela1[Reativa (kvarh)],Tabela1[data],A24)</f>
        <v>2385.6000000000004</v>
      </c>
      <c r="D24">
        <f t="shared" ca="1" si="9"/>
        <v>13.03932</v>
      </c>
      <c r="E24">
        <f t="shared" ca="1" si="10"/>
        <v>2.3856000000000002</v>
      </c>
    </row>
    <row r="25" spans="1:5" x14ac:dyDescent="0.25">
      <c r="A25" s="1">
        <f t="shared" ca="1" si="8"/>
        <v>46084</v>
      </c>
      <c r="B25">
        <f ca="1">SUMIFS(Tabela1[Ativa (kwh)],Tabela1[data],A25)</f>
        <v>13324.919999999998</v>
      </c>
      <c r="C25">
        <f ca="1">SUMIFS(Tabela1[Reativa (kvarh)],Tabela1[data],A25)</f>
        <v>2279.34</v>
      </c>
      <c r="D25">
        <f t="shared" ca="1" si="9"/>
        <v>13.324919999999999</v>
      </c>
      <c r="E25">
        <f t="shared" ca="1" si="10"/>
        <v>2.2793400000000004</v>
      </c>
    </row>
    <row r="26" spans="1:5" x14ac:dyDescent="0.25">
      <c r="A26" s="1">
        <f t="shared" ca="1" si="8"/>
        <v>46085</v>
      </c>
      <c r="B26">
        <f ca="1">SUMIFS(Tabela1[Ativa (kwh)],Tabela1[data],A26)</f>
        <v>12657.539999999999</v>
      </c>
      <c r="C26">
        <f ca="1">SUMIFS(Tabela1[Reativa (kvarh)],Tabela1[data],A26)</f>
        <v>1992.8999999999999</v>
      </c>
      <c r="D26">
        <f t="shared" ca="1" si="9"/>
        <v>12.657539999999999</v>
      </c>
      <c r="E26">
        <f t="shared" ca="1" si="10"/>
        <v>1.9928999999999999</v>
      </c>
    </row>
    <row r="27" spans="1:5" x14ac:dyDescent="0.25">
      <c r="A27" s="1">
        <f ca="1">A28-1</f>
        <v>46086</v>
      </c>
      <c r="B27">
        <f ca="1">SUMIFS(Tabela1[Ativa (kwh)],Tabela1[data],A27)</f>
        <v>13536.6</v>
      </c>
      <c r="C27">
        <f ca="1">SUMIFS(Tabela1[Reativa (kvarh)],Tabela1[data],A27)</f>
        <v>2356.6200000000003</v>
      </c>
      <c r="D27">
        <f t="shared" ca="1" si="9"/>
        <v>13.5366</v>
      </c>
      <c r="E27">
        <f t="shared" ca="1" si="10"/>
        <v>2.3566200000000004</v>
      </c>
    </row>
    <row r="28" spans="1:5" x14ac:dyDescent="0.25">
      <c r="A28" s="1">
        <f ca="1">A29-1</f>
        <v>46087</v>
      </c>
      <c r="B28">
        <f ca="1">SUMIFS(Tabela1[Ativa (kwh)],Tabela1[data],A28)</f>
        <v>0</v>
      </c>
      <c r="C28">
        <f ca="1">SUMIFS(Tabela1[Reativa (kvarh)],Tabela1[data],A28)</f>
        <v>0</v>
      </c>
      <c r="D28">
        <f t="shared" ca="1" si="9"/>
        <v>0</v>
      </c>
      <c r="E28">
        <f t="shared" ca="1" si="10"/>
        <v>0</v>
      </c>
    </row>
    <row r="29" spans="1:5" x14ac:dyDescent="0.25">
      <c r="A29" s="1">
        <f ca="1">A30-1</f>
        <v>46088</v>
      </c>
      <c r="B29">
        <f ca="1">SUMIFS(Tabela1[Ativa (kwh)],Tabela1[data],A29)</f>
        <v>14110.740000000002</v>
      </c>
      <c r="C29">
        <f ca="1">SUMIFS(Tabela1[Reativa (kvarh)],Tabela1[data],A29)</f>
        <v>2622.9000000000005</v>
      </c>
      <c r="D29">
        <f t="shared" ca="1" si="9"/>
        <v>14.110740000000002</v>
      </c>
      <c r="E29">
        <f t="shared" ca="1" si="10"/>
        <v>2.6229000000000005</v>
      </c>
    </row>
    <row r="30" spans="1:5" x14ac:dyDescent="0.25">
      <c r="A30" s="1">
        <f ca="1">TODAY()-1</f>
        <v>46089</v>
      </c>
      <c r="B30">
        <f ca="1">SUMIFS(Tabela1[Ativa (kwh)],Tabela1[data],A30)</f>
        <v>12908.279999999999</v>
      </c>
      <c r="C30">
        <f ca="1">SUMIFS(Tabela1[Reativa (kvarh)],Tabela1[data],A30)</f>
        <v>2150.8199999999997</v>
      </c>
      <c r="D30">
        <f t="shared" ca="1" si="9"/>
        <v>12.90828</v>
      </c>
      <c r="E30">
        <f t="shared" ca="1" si="10"/>
        <v>2.1508199999999995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topLeftCell="A10"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46089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251.16</v>
      </c>
      <c r="D5" s="4">
        <f ca="1">C5/1000</f>
        <v>0.25115999999999999</v>
      </c>
    </row>
    <row r="6" spans="2:4" x14ac:dyDescent="0.25">
      <c r="B6" s="4">
        <v>2</v>
      </c>
      <c r="C6" s="4">
        <f ca="1">SUMIFS(Tabela1[Ativa (kwh)],Tabela1[data],$C$2,Tabela1[Hora],B6)</f>
        <v>227.22</v>
      </c>
      <c r="D6" s="4">
        <f t="shared" ref="D6:D28" ca="1" si="0">C6/1000</f>
        <v>0.22722000000000001</v>
      </c>
    </row>
    <row r="7" spans="2:4" x14ac:dyDescent="0.25">
      <c r="B7" s="4">
        <v>3</v>
      </c>
      <c r="C7" s="4">
        <f ca="1">SUMIFS(Tabela1[Ativa (kwh)],Tabela1[data],$C$2,Tabela1[Hora],B7)</f>
        <v>226.8</v>
      </c>
      <c r="D7" s="4">
        <f t="shared" ca="1" si="0"/>
        <v>0.2268</v>
      </c>
    </row>
    <row r="8" spans="2:4" x14ac:dyDescent="0.25">
      <c r="B8" s="4">
        <v>4</v>
      </c>
      <c r="C8" s="4">
        <f ca="1">SUMIFS(Tabela1[Ativa (kwh)],Tabela1[data],$C$2,Tabela1[Hora],B8)</f>
        <v>224.7</v>
      </c>
      <c r="D8" s="4">
        <f t="shared" ca="1" si="0"/>
        <v>0.22469999999999998</v>
      </c>
    </row>
    <row r="9" spans="2:4" x14ac:dyDescent="0.25">
      <c r="B9" s="4">
        <v>5</v>
      </c>
      <c r="C9" s="4">
        <f ca="1">SUMIFS(Tabela1[Ativa (kwh)],Tabela1[data],$C$2,Tabela1[Hora],B9)</f>
        <v>230.58</v>
      </c>
      <c r="D9" s="4">
        <f t="shared" ca="1" si="0"/>
        <v>0.23058000000000001</v>
      </c>
    </row>
    <row r="10" spans="2:4" x14ac:dyDescent="0.25">
      <c r="B10" s="4">
        <v>6</v>
      </c>
      <c r="C10" s="4">
        <f ca="1">SUMIFS(Tabela1[Ativa (kwh)],Tabela1[data],$C$2,Tabela1[Hora],B10)</f>
        <v>214.62</v>
      </c>
      <c r="D10" s="4">
        <f t="shared" ca="1" si="0"/>
        <v>0.21462000000000001</v>
      </c>
    </row>
    <row r="11" spans="2:4" x14ac:dyDescent="0.25">
      <c r="B11" s="4">
        <v>7</v>
      </c>
      <c r="C11" s="4">
        <f ca="1">SUMIFS(Tabela1[Ativa (kwh)],Tabela1[data],$C$2,Tabela1[Hora],B11)</f>
        <v>198.66</v>
      </c>
      <c r="D11" s="4">
        <f t="shared" ca="1" si="0"/>
        <v>0.19866</v>
      </c>
    </row>
    <row r="12" spans="2:4" x14ac:dyDescent="0.25">
      <c r="B12" s="4">
        <v>8</v>
      </c>
      <c r="C12" s="4">
        <f ca="1">SUMIFS(Tabela1[Ativa (kwh)],Tabela1[data],$C$2,Tabela1[Hora],B12)</f>
        <v>197.4</v>
      </c>
      <c r="D12" s="4">
        <f t="shared" ca="1" si="0"/>
        <v>0.19739999999999999</v>
      </c>
    </row>
    <row r="13" spans="2:4" x14ac:dyDescent="0.25">
      <c r="B13" s="4">
        <v>9</v>
      </c>
      <c r="C13" s="4">
        <f ca="1">SUMIFS(Tabela1[Ativa (kwh)],Tabela1[data],$C$2,Tabela1[Hora],B13)</f>
        <v>247.8</v>
      </c>
      <c r="D13" s="4">
        <f t="shared" ca="1" si="0"/>
        <v>0.24780000000000002</v>
      </c>
    </row>
    <row r="14" spans="2:4" x14ac:dyDescent="0.25">
      <c r="B14" s="4">
        <v>10</v>
      </c>
      <c r="C14" s="4">
        <f ca="1">SUMIFS(Tabela1[Ativa (kwh)],Tabela1[data],$C$2,Tabela1[Hora],B14)</f>
        <v>311.22000000000003</v>
      </c>
      <c r="D14" s="4">
        <f t="shared" ca="1" si="0"/>
        <v>0.31122000000000005</v>
      </c>
    </row>
    <row r="15" spans="2:4" x14ac:dyDescent="0.25">
      <c r="B15" s="4">
        <v>11</v>
      </c>
      <c r="C15" s="4">
        <f ca="1">SUMIFS(Tabela1[Ativa (kwh)],Tabela1[data],$C$2,Tabela1[Hora],B15)</f>
        <v>592.62</v>
      </c>
      <c r="D15" s="4">
        <f t="shared" ca="1" si="0"/>
        <v>0.59262000000000004</v>
      </c>
    </row>
    <row r="16" spans="2:4" x14ac:dyDescent="0.25">
      <c r="B16" s="4">
        <v>12</v>
      </c>
      <c r="C16" s="4">
        <f ca="1">SUMIFS(Tabela1[Ativa (kwh)],Tabela1[data],$C$2,Tabela1[Hora],B16)</f>
        <v>810.18</v>
      </c>
      <c r="D16" s="4">
        <f t="shared" ca="1" si="0"/>
        <v>0.8101799999999999</v>
      </c>
    </row>
    <row r="17" spans="2:4" x14ac:dyDescent="0.25">
      <c r="B17" s="4">
        <v>13</v>
      </c>
      <c r="C17" s="4">
        <f ca="1">SUMIFS(Tabela1[Ativa (kwh)],Tabela1[data],$C$2,Tabela1[Hora],B17)</f>
        <v>891.24</v>
      </c>
      <c r="D17" s="4">
        <f t="shared" ca="1" si="0"/>
        <v>0.89124000000000003</v>
      </c>
    </row>
    <row r="18" spans="2:4" x14ac:dyDescent="0.25">
      <c r="B18" s="4">
        <v>14</v>
      </c>
      <c r="C18" s="4">
        <f ca="1">SUMIFS(Tabela1[Ativa (kwh)],Tabela1[data],$C$2,Tabela1[Hora],B18)</f>
        <v>939.54</v>
      </c>
      <c r="D18" s="4">
        <f t="shared" ca="1" si="0"/>
        <v>0.93953999999999993</v>
      </c>
    </row>
    <row r="19" spans="2:4" x14ac:dyDescent="0.25">
      <c r="B19" s="4">
        <v>15</v>
      </c>
      <c r="C19" s="4">
        <f ca="1">SUMIFS(Tabela1[Ativa (kwh)],Tabela1[data],$C$2,Tabela1[Hora],B19)</f>
        <v>918.54</v>
      </c>
      <c r="D19" s="4">
        <f t="shared" ca="1" si="0"/>
        <v>0.91853999999999991</v>
      </c>
    </row>
    <row r="20" spans="2:4" x14ac:dyDescent="0.25">
      <c r="B20" s="4">
        <v>16</v>
      </c>
      <c r="C20" s="4">
        <f ca="1">SUMIFS(Tabela1[Ativa (kwh)],Tabela1[data],$C$2,Tabela1[Hora],B20)</f>
        <v>933.24</v>
      </c>
      <c r="D20" s="4">
        <f t="shared" ca="1" si="0"/>
        <v>0.93323999999999996</v>
      </c>
    </row>
    <row r="21" spans="2:4" x14ac:dyDescent="0.25">
      <c r="B21" s="4">
        <v>17</v>
      </c>
      <c r="C21" s="4">
        <f ca="1">SUMIFS(Tabela1[Ativa (kwh)],Tabela1[data],$C$2,Tabela1[Hora],B21)</f>
        <v>915.6</v>
      </c>
      <c r="D21" s="4">
        <f t="shared" ca="1" si="0"/>
        <v>0.91559999999999997</v>
      </c>
    </row>
    <row r="22" spans="2:4" x14ac:dyDescent="0.25">
      <c r="B22" s="4">
        <v>18</v>
      </c>
      <c r="C22" s="4">
        <f ca="1">SUMIFS(Tabela1[Ativa (kwh)],Tabela1[data],$C$2,Tabela1[Hora],B22)</f>
        <v>894.18</v>
      </c>
      <c r="D22" s="4">
        <f t="shared" ca="1" si="0"/>
        <v>0.89417999999999997</v>
      </c>
    </row>
    <row r="23" spans="2:4" x14ac:dyDescent="0.25">
      <c r="B23" s="4">
        <v>19</v>
      </c>
      <c r="C23" s="4">
        <f ca="1">SUMIFS(Tabela1[Ativa (kwh)],Tabela1[data],$C$2,Tabela1[Hora],B23)</f>
        <v>895.86</v>
      </c>
      <c r="D23" s="4">
        <f t="shared" ca="1" si="0"/>
        <v>0.89585999999999999</v>
      </c>
    </row>
    <row r="24" spans="2:4" x14ac:dyDescent="0.25">
      <c r="B24" s="4">
        <v>20</v>
      </c>
      <c r="C24" s="4">
        <f ca="1">SUMIFS(Tabela1[Ativa (kwh)],Tabela1[data],$C$2,Tabela1[Hora],B24)</f>
        <v>887.88</v>
      </c>
      <c r="D24" s="4">
        <f t="shared" ca="1" si="0"/>
        <v>0.88788</v>
      </c>
    </row>
    <row r="25" spans="2:4" x14ac:dyDescent="0.25">
      <c r="B25" s="4">
        <v>21</v>
      </c>
      <c r="C25" s="4">
        <f ca="1">SUMIFS(Tabela1[Ativa (kwh)],Tabela1[data],$C$2,Tabela1[Hora],B25)</f>
        <v>758.94</v>
      </c>
      <c r="D25" s="4">
        <f t="shared" ca="1" si="0"/>
        <v>0.75894000000000006</v>
      </c>
    </row>
    <row r="26" spans="2:4" x14ac:dyDescent="0.25">
      <c r="B26" s="4">
        <v>22</v>
      </c>
      <c r="C26" s="4">
        <f ca="1">SUMIFS(Tabela1[Ativa (kwh)],Tabela1[data],$C$2,Tabela1[Hora],B26)</f>
        <v>514.91999999999996</v>
      </c>
      <c r="D26" s="4">
        <f t="shared" ca="1" si="0"/>
        <v>0.51491999999999993</v>
      </c>
    </row>
    <row r="27" spans="2:4" x14ac:dyDescent="0.25">
      <c r="B27" s="4">
        <v>23</v>
      </c>
      <c r="C27" s="4">
        <f ca="1">SUMIFS(Tabela1[Ativa (kwh)],Tabela1[data],$C$2,Tabela1[Hora],B27)</f>
        <v>341.88</v>
      </c>
      <c r="D27" s="4">
        <f t="shared" ca="1" si="0"/>
        <v>0.34188000000000002</v>
      </c>
    </row>
    <row r="28" spans="2:4" x14ac:dyDescent="0.25">
      <c r="B28" s="4">
        <v>24</v>
      </c>
      <c r="C28" s="4">
        <f ca="1">SUMIFS(Tabela1[Ativa (kwh)],Tabela1[data],$C$2,Tabela1[Hora],B28)</f>
        <v>283.5</v>
      </c>
      <c r="D28" s="4">
        <f t="shared" ca="1" si="0"/>
        <v>0.28349999999999997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D3" sqref="D3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45717</v>
      </c>
      <c r="B2" s="5">
        <f t="shared" ref="B2:B12" si="0">MONTH(A2)</f>
        <v>3</v>
      </c>
      <c r="C2" s="5">
        <f t="shared" ref="C2:C12" si="1">YEAR(A2)</f>
        <v>2025</v>
      </c>
      <c r="D2">
        <f>SUMIFS(Tabela1[Ativa (kwh)],Tabela1[Mês],B2,Tabela1[Ano],C2)</f>
        <v>431352.18000000052</v>
      </c>
      <c r="E2">
        <f t="shared" ref="E2:E10" si="2">D2/1000</f>
        <v>431.35218000000054</v>
      </c>
    </row>
    <row r="3" spans="1:10" x14ac:dyDescent="0.25">
      <c r="A3" s="1">
        <v>45748</v>
      </c>
      <c r="B3" s="5">
        <f t="shared" si="0"/>
        <v>4</v>
      </c>
      <c r="C3" s="5">
        <f t="shared" si="1"/>
        <v>2025</v>
      </c>
      <c r="D3">
        <f>SUMIFS(Tabela1[Ativa (kwh)],Tabela1[Mês],B3,Tabela1[Ano],C3)</f>
        <v>358837.07999999967</v>
      </c>
      <c r="E3">
        <f t="shared" si="2"/>
        <v>358.83707999999967</v>
      </c>
    </row>
    <row r="4" spans="1:10" x14ac:dyDescent="0.25">
      <c r="A4" s="1">
        <v>45778</v>
      </c>
      <c r="B4" s="5">
        <f t="shared" si="0"/>
        <v>5</v>
      </c>
      <c r="C4" s="5">
        <f t="shared" si="1"/>
        <v>2025</v>
      </c>
      <c r="D4">
        <f>SUMIFS(Tabela1[Ativa (kwh)],Tabela1[Mês],B4,Tabela1[Ano],C4)</f>
        <v>350009.52000000025</v>
      </c>
      <c r="E4">
        <f t="shared" si="2"/>
        <v>350.00952000000024</v>
      </c>
    </row>
    <row r="5" spans="1:10" x14ac:dyDescent="0.25">
      <c r="A5" s="1">
        <v>45809</v>
      </c>
      <c r="B5" s="5">
        <f t="shared" si="0"/>
        <v>6</v>
      </c>
      <c r="C5" s="5">
        <f t="shared" si="1"/>
        <v>2025</v>
      </c>
      <c r="D5">
        <f>SUMIFS(Tabela1[Ativa (kwh)],Tabela1[Mês],B5,Tabela1[Ano],C5)</f>
        <v>303693.18000000034</v>
      </c>
      <c r="E5">
        <f t="shared" si="2"/>
        <v>303.69318000000032</v>
      </c>
    </row>
    <row r="6" spans="1:10" x14ac:dyDescent="0.25">
      <c r="A6" s="1">
        <v>45839</v>
      </c>
      <c r="B6" s="5">
        <f t="shared" si="0"/>
        <v>7</v>
      </c>
      <c r="C6" s="5">
        <f t="shared" si="1"/>
        <v>2025</v>
      </c>
      <c r="D6">
        <f>SUMIFS(Tabela1[Ativa (kwh)],Tabela1[Mês],B6,Tabela1[Ano],C6)</f>
        <v>323105.1600000005</v>
      </c>
      <c r="E6">
        <f t="shared" si="2"/>
        <v>323.10516000000052</v>
      </c>
    </row>
    <row r="7" spans="1:10" x14ac:dyDescent="0.25">
      <c r="A7" s="1">
        <v>45870</v>
      </c>
      <c r="B7" s="5">
        <f t="shared" si="0"/>
        <v>8</v>
      </c>
      <c r="C7" s="5">
        <f t="shared" si="1"/>
        <v>2025</v>
      </c>
      <c r="D7">
        <f>SUMIFS(Tabela1[Ativa (kwh)],Tabela1[Mês],B7,Tabela1[Ano],C7)</f>
        <v>318037.01999999984</v>
      </c>
      <c r="E7">
        <f t="shared" si="2"/>
        <v>318.03701999999987</v>
      </c>
    </row>
    <row r="8" spans="1:10" x14ac:dyDescent="0.25">
      <c r="A8" s="1">
        <v>45901</v>
      </c>
      <c r="B8" s="5">
        <f t="shared" si="0"/>
        <v>9</v>
      </c>
      <c r="C8" s="5">
        <f t="shared" si="1"/>
        <v>2025</v>
      </c>
      <c r="D8">
        <f>SUMIFS(Tabela1[Ativa (kwh)],Tabela1[Mês],B8,Tabela1[Ano],C8)</f>
        <v>325728.06000000017</v>
      </c>
      <c r="E8">
        <f t="shared" si="2"/>
        <v>325.7280600000002</v>
      </c>
    </row>
    <row r="9" spans="1:10" x14ac:dyDescent="0.25">
      <c r="A9" s="1">
        <v>45931</v>
      </c>
      <c r="B9" s="5">
        <f t="shared" si="0"/>
        <v>10</v>
      </c>
      <c r="C9" s="5">
        <f t="shared" si="1"/>
        <v>2025</v>
      </c>
      <c r="D9">
        <f>SUMIFS(Tabela1[Ativa (kwh)],Tabela1[Mês],B9,Tabela1[Ano],C9)</f>
        <v>351357.72</v>
      </c>
      <c r="E9">
        <f t="shared" si="2"/>
        <v>351.35771999999997</v>
      </c>
      <c r="J9" s="4"/>
    </row>
    <row r="10" spans="1:10" x14ac:dyDescent="0.25">
      <c r="A10" s="1">
        <v>45962</v>
      </c>
      <c r="B10" s="5">
        <f t="shared" si="0"/>
        <v>11</v>
      </c>
      <c r="C10" s="5">
        <f t="shared" si="1"/>
        <v>2025</v>
      </c>
      <c r="D10">
        <f>SUMIFS(Tabela1[Ativa (kwh)],Tabela1[Mês],B10,Tabela1[Ano],C10)</f>
        <v>379097.45999999961</v>
      </c>
      <c r="E10">
        <f t="shared" si="2"/>
        <v>379.09745999999961</v>
      </c>
      <c r="J10" s="4"/>
    </row>
    <row r="11" spans="1:10" x14ac:dyDescent="0.25">
      <c r="A11" s="1">
        <v>45992</v>
      </c>
      <c r="B11" s="5">
        <f t="shared" si="0"/>
        <v>12</v>
      </c>
      <c r="C11" s="5">
        <f t="shared" si="1"/>
        <v>2025</v>
      </c>
      <c r="D11">
        <f>SUMIFS(Tabela1[Ativa (kwh)],Tabela1[Mês],B11,Tabela1[Ano],C11)</f>
        <v>468099.24000000081</v>
      </c>
      <c r="E11">
        <f>D11/1000</f>
        <v>468.0992400000008</v>
      </c>
    </row>
    <row r="12" spans="1:10" x14ac:dyDescent="0.25">
      <c r="A12" s="1">
        <v>46023</v>
      </c>
      <c r="B12" s="5">
        <f t="shared" si="0"/>
        <v>1</v>
      </c>
      <c r="C12" s="5">
        <f t="shared" si="1"/>
        <v>2026</v>
      </c>
      <c r="D12">
        <f>SUMIFS(Tabela1[Ativa (kwh)],Tabela1[Mês],B12,Tabela1[Ano],C12)</f>
        <v>434799.95999999973</v>
      </c>
      <c r="E12">
        <f>D12/1000</f>
        <v>434.79995999999971</v>
      </c>
    </row>
    <row r="13" spans="1:10" x14ac:dyDescent="0.25">
      <c r="A13" s="1">
        <v>46054</v>
      </c>
      <c r="B13" s="5">
        <f t="shared" ref="B13" si="3">MONTH(A13)</f>
        <v>2</v>
      </c>
      <c r="C13" s="5">
        <f t="shared" ref="C13" si="4">YEAR(A13)</f>
        <v>2026</v>
      </c>
      <c r="D13">
        <f>SUMIFS(Tabela1[Ativa (kwh)],Tabela1[Mês],B13,Tabela1[Ano],C13)</f>
        <v>398883.24000000028</v>
      </c>
      <c r="E13">
        <f>D13/1000</f>
        <v>398.88324000000028</v>
      </c>
    </row>
    <row r="14" spans="1:10" x14ac:dyDescent="0.25">
      <c r="A14" s="1">
        <v>46082</v>
      </c>
      <c r="B14" s="5">
        <f t="shared" ref="B14" si="5">MONTH(A14)</f>
        <v>3</v>
      </c>
      <c r="C14" s="5">
        <f t="shared" ref="C14" si="6">YEAR(A14)</f>
        <v>2026</v>
      </c>
      <c r="D14">
        <f>SUMIFS(Tabela1[Ativa (kwh)],Tabela1[Mês],B14,Tabela1[Ano],C14)</f>
        <v>90003.059999999983</v>
      </c>
      <c r="E14">
        <f>D14/1000</f>
        <v>90.003059999999977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2026-03-09T13:52:45Z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