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91" documentId="8_{8D12E28F-71B1-4F28-B6C5-4462CC8675C5}" xr6:coauthVersionLast="47" xr6:coauthVersionMax="47" xr10:uidLastSave="{CD7A6882-F81F-4C5C-97EF-7D381C601243}"/>
  <bookViews>
    <workbookView xWindow="4635" yWindow="4635" windowWidth="38700" windowHeight="15345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86" i="1" l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<sst xmlns="http://schemas.openxmlformats.org/spreadsheetml/2006/main" count="39863" uniqueCount="46">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</sst>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609" totalsRowShown="0">
  <autoFilter ref="A1:I106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609"/>
  <sheetViews>
    <sheetView tabSelected="1" topLeftCell="A10535" workbookViewId="0">
      <selection activeCell="H10535" sqref="H10535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F10586" t="s">
        <v>44</v>
      </c>
      <c r="G10586" t="s">
        <v>45</v>
      </c>
      <c r="H10586" s="5">
        <f>MONTH(Tabela1[[#This Row],[data]])</f>
        <v>3</v>
      </c>
      <c r="I10586" s="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F10587" t="s">
        <v>44</v>
      </c>
      <c r="G10587" t="s">
        <v>45</v>
      </c>
      <c r="H10587" s="5">
        <f>MONTH(Tabela1[[#This Row],[data]])</f>
        <v>3</v>
      </c>
      <c r="I10587" s="6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F10588" t="s">
        <v>44</v>
      </c>
      <c r="G10588" t="s">
        <v>45</v>
      </c>
      <c r="H10588" s="5">
        <f>MONTH(Tabela1[[#This Row],[data]])</f>
        <v>3</v>
      </c>
      <c r="I10588" s="6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F10589" t="s">
        <v>44</v>
      </c>
      <c r="G10589" t="s">
        <v>45</v>
      </c>
      <c r="H10589" s="5">
        <f>MONTH(Tabela1[[#This Row],[data]])</f>
        <v>3</v>
      </c>
      <c r="I10589" s="6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F10590" t="s">
        <v>44</v>
      </c>
      <c r="G10590" t="s">
        <v>45</v>
      </c>
      <c r="H10590" s="5">
        <f>MONTH(Tabela1[[#This Row],[data]])</f>
        <v>3</v>
      </c>
      <c r="I10590" s="6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F10591" t="s">
        <v>44</v>
      </c>
      <c r="G10591" t="s">
        <v>45</v>
      </c>
      <c r="H10591" s="5">
        <f>MONTH(Tabela1[[#This Row],[data]])</f>
        <v>3</v>
      </c>
      <c r="I10591" s="6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F10592" t="s">
        <v>44</v>
      </c>
      <c r="G10592" t="s">
        <v>45</v>
      </c>
      <c r="H10592" s="5">
        <f>MONTH(Tabela1[[#This Row],[data]])</f>
        <v>3</v>
      </c>
      <c r="I10592" s="6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F10593" t="s">
        <v>44</v>
      </c>
      <c r="G10593" t="s">
        <v>45</v>
      </c>
      <c r="H10593" s="5">
        <f>MONTH(Tabela1[[#This Row],[data]])</f>
        <v>3</v>
      </c>
      <c r="I10593" s="6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F10594" t="s">
        <v>44</v>
      </c>
      <c r="G10594" t="s">
        <v>45</v>
      </c>
      <c r="H10594" s="5">
        <f>MONTH(Tabela1[[#This Row],[data]])</f>
        <v>3</v>
      </c>
      <c r="I10594" s="6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F10595" t="s">
        <v>44</v>
      </c>
      <c r="G10595" t="s">
        <v>45</v>
      </c>
      <c r="H10595" s="5">
        <f>MONTH(Tabela1[[#This Row],[data]])</f>
        <v>3</v>
      </c>
      <c r="I10595" s="6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F10596" t="s">
        <v>44</v>
      </c>
      <c r="G10596" t="s">
        <v>45</v>
      </c>
      <c r="H10596" s="5">
        <f>MONTH(Tabela1[[#This Row],[data]])</f>
        <v>3</v>
      </c>
      <c r="I10596" s="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F10597" t="s">
        <v>44</v>
      </c>
      <c r="G10597" t="s">
        <v>45</v>
      </c>
      <c r="H10597" s="5">
        <f>MONTH(Tabela1[[#This Row],[data]])</f>
        <v>3</v>
      </c>
      <c r="I10597" s="6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F10598" t="s">
        <v>44</v>
      </c>
      <c r="G10598" t="s">
        <v>45</v>
      </c>
      <c r="H10598" s="5">
        <f>MONTH(Tabela1[[#This Row],[data]])</f>
        <v>3</v>
      </c>
      <c r="I10598" s="6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F10599" t="s">
        <v>44</v>
      </c>
      <c r="G10599" t="s">
        <v>45</v>
      </c>
      <c r="H10599" s="5">
        <f>MONTH(Tabela1[[#This Row],[data]])</f>
        <v>3</v>
      </c>
      <c r="I10599" s="6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F10600" t="s">
        <v>44</v>
      </c>
      <c r="G10600" t="s">
        <v>45</v>
      </c>
      <c r="H10600" s="5">
        <f>MONTH(Tabela1[[#This Row],[data]])</f>
        <v>3</v>
      </c>
      <c r="I10600" s="6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F10601" t="s">
        <v>44</v>
      </c>
      <c r="G10601" t="s">
        <v>45</v>
      </c>
      <c r="H10601" s="5">
        <f>MONTH(Tabela1[[#This Row],[data]])</f>
        <v>3</v>
      </c>
      <c r="I10601" s="6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F10602" t="s">
        <v>44</v>
      </c>
      <c r="G10602" t="s">
        <v>45</v>
      </c>
      <c r="H10602" s="5">
        <f>MONTH(Tabela1[[#This Row],[data]])</f>
        <v>3</v>
      </c>
      <c r="I10602" s="6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F10603" t="s">
        <v>44</v>
      </c>
      <c r="G10603" t="s">
        <v>45</v>
      </c>
      <c r="H10603" s="5">
        <f>MONTH(Tabela1[[#This Row],[data]])</f>
        <v>3</v>
      </c>
      <c r="I10603" s="6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F10604" t="s">
        <v>44</v>
      </c>
      <c r="G10604" t="s">
        <v>45</v>
      </c>
      <c r="H10604" s="5">
        <f>MONTH(Tabela1[[#This Row],[data]])</f>
        <v>3</v>
      </c>
      <c r="I10604" s="6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F10605" t="s">
        <v>44</v>
      </c>
      <c r="G10605" t="s">
        <v>45</v>
      </c>
      <c r="H10605" s="5">
        <f>MONTH(Tabela1[[#This Row],[data]])</f>
        <v>3</v>
      </c>
      <c r="I10605" s="6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F10606" t="s">
        <v>44</v>
      </c>
      <c r="G10606" t="s">
        <v>45</v>
      </c>
      <c r="H10606" s="5">
        <f>MONTH(Tabela1[[#This Row],[data]])</f>
        <v>3</v>
      </c>
      <c r="I10606" s="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F10607" t="s">
        <v>44</v>
      </c>
      <c r="G10607" t="s">
        <v>45</v>
      </c>
      <c r="H10607" s="5">
        <f>MONTH(Tabela1[[#This Row],[data]])</f>
        <v>3</v>
      </c>
      <c r="I10607" s="6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F10608" t="s">
        <v>44</v>
      </c>
      <c r="G10608" t="s">
        <v>45</v>
      </c>
      <c r="H10608" s="5">
        <f>MONTH(Tabela1[[#This Row],[data]])</f>
        <v>3</v>
      </c>
      <c r="I10608" s="6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F10609" t="s">
        <v>44</v>
      </c>
      <c r="G10609" t="s">
        <v>45</v>
      </c>
      <c r="H10609" s="5">
        <f>MONTH(Tabela1[[#This Row],[data]])</f>
        <v>3</v>
      </c>
      <c r="I10609" s="6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28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46071</v>
      </c>
      <c r="B2">
        <f ca="1">SUMIFS(Tabela1[Ativa (kwh)],Tabela1[data],A2)</f>
        <v>14146.859999999997</v>
      </c>
      <c r="C2">
        <f ca="1">SUMIFS(Tabela1[Reativa (kvarh)],Tabela1[data],A2)</f>
        <v>2533.86</v>
      </c>
      <c r="D2">
        <f t="shared" ref="D2" ca="1" si="1">B2/1000</f>
        <v>14.146859999999997</v>
      </c>
      <c r="E2">
        <f t="shared" ref="E2" ca="1" si="2">C2/1000</f>
        <v>2.5338600000000002</v>
      </c>
    </row>
    <row r="3" spans="1:5" x14ac:dyDescent="0.25">
      <c r="A3" s="1">
        <f t="shared" ca="1" si="0"/>
        <v>46072</v>
      </c>
      <c r="B3">
        <f ca="1">SUMIFS(Tabela1[Ativa (kwh)],Tabela1[data],A3)</f>
        <v>15716.400000000001</v>
      </c>
      <c r="C3">
        <f ca="1">SUMIFS(Tabela1[Reativa (kvarh)],Tabela1[data],A3)</f>
        <v>3582.6000000000004</v>
      </c>
      <c r="D3">
        <f t="shared" ref="D3" ca="1" si="3">B3/1000</f>
        <v>15.716400000000002</v>
      </c>
      <c r="E3">
        <f t="shared" ref="E3" ca="1" si="4">C3/1000</f>
        <v>3.5826000000000002</v>
      </c>
    </row>
    <row r="4" spans="1:5" x14ac:dyDescent="0.25">
      <c r="A4" s="1">
        <f t="shared" ca="1" si="0"/>
        <v>46073</v>
      </c>
      <c r="B4">
        <f ca="1">SUMIFS(Tabela1[Ativa (kwh)],Tabela1[data],A4)</f>
        <v>15205.68</v>
      </c>
      <c r="C4">
        <f ca="1">SUMIFS(Tabela1[Reativa (kvarh)],Tabela1[data],A4)</f>
        <v>3071.0400000000004</v>
      </c>
      <c r="D4">
        <f t="shared" ref="D4:D20" ca="1" si="5">B4/1000</f>
        <v>15.205680000000001</v>
      </c>
      <c r="E4">
        <f t="shared" ref="E4:E20" ca="1" si="6">C4/1000</f>
        <v>3.0710400000000004</v>
      </c>
    </row>
    <row r="5" spans="1:5" x14ac:dyDescent="0.25">
      <c r="A5" s="1">
        <f t="shared" ca="1" si="0"/>
        <v>46074</v>
      </c>
      <c r="B5">
        <f ca="1">SUMIFS(Tabela1[Ativa (kwh)],Tabela1[data],A5)</f>
        <v>15608.880000000001</v>
      </c>
      <c r="C5">
        <f ca="1">SUMIFS(Tabela1[Reativa (kvarh)],Tabela1[data],A5)</f>
        <v>3656.52</v>
      </c>
      <c r="D5">
        <f t="shared" ca="1" si="5"/>
        <v>15.608880000000001</v>
      </c>
      <c r="E5">
        <f t="shared" ca="1" si="6"/>
        <v>3.65652</v>
      </c>
    </row>
    <row r="6" spans="1:5" x14ac:dyDescent="0.25">
      <c r="A6" s="1">
        <f t="shared" ca="1" si="0"/>
        <v>46075</v>
      </c>
      <c r="B6">
        <f ca="1">SUMIFS(Tabela1[Ativa (kwh)],Tabela1[data],A6)</f>
        <v>13204.8</v>
      </c>
      <c r="C6">
        <f ca="1">SUMIFS(Tabela1[Reativa (kvarh)],Tabela1[data],A6)</f>
        <v>2372.5800000000004</v>
      </c>
      <c r="D6">
        <f t="shared" ca="1" si="5"/>
        <v>13.204799999999999</v>
      </c>
      <c r="E6">
        <f t="shared" ca="1" si="6"/>
        <v>2.3725800000000006</v>
      </c>
    </row>
    <row r="7" spans="1:5" x14ac:dyDescent="0.25">
      <c r="A7" s="1">
        <f t="shared" ca="1" si="0"/>
        <v>46076</v>
      </c>
      <c r="B7">
        <f ca="1">SUMIFS(Tabela1[Ativa (kwh)],Tabela1[data],A7)</f>
        <v>15299.759999999998</v>
      </c>
      <c r="C7">
        <f ca="1">SUMIFS(Tabela1[Reativa (kvarh)],Tabela1[data],A7)</f>
        <v>3145.38</v>
      </c>
      <c r="D7">
        <f t="shared" ca="1" si="5"/>
        <v>15.299759999999999</v>
      </c>
      <c r="E7">
        <f t="shared" ca="1" si="6"/>
        <v>3.1453800000000003</v>
      </c>
    </row>
    <row r="8" spans="1:5" x14ac:dyDescent="0.25">
      <c r="A8" s="1">
        <f t="shared" ca="1" si="0"/>
        <v>46077</v>
      </c>
      <c r="B8">
        <f ca="1">SUMIFS(Tabela1[Ativa (kwh)],Tabela1[data],A8)</f>
        <v>15763.859999999999</v>
      </c>
      <c r="C8">
        <f ca="1">SUMIFS(Tabela1[Reativa (kvarh)],Tabela1[data],A8)</f>
        <v>3323.4599999999996</v>
      </c>
      <c r="D8">
        <f t="shared" ca="1" si="5"/>
        <v>15.763859999999999</v>
      </c>
      <c r="E8">
        <f t="shared" ca="1" si="6"/>
        <v>3.3234599999999994</v>
      </c>
    </row>
    <row r="9" spans="1:5" x14ac:dyDescent="0.25">
      <c r="A9" s="1">
        <f t="shared" ca="1" si="0"/>
        <v>46078</v>
      </c>
      <c r="B9">
        <f ca="1">SUMIFS(Tabela1[Ativa (kwh)],Tabela1[data],A9)</f>
        <v>15613.920000000004</v>
      </c>
      <c r="C9">
        <f ca="1">SUMIFS(Tabela1[Reativa (kvarh)],Tabela1[data],A9)</f>
        <v>3279.3599999999997</v>
      </c>
      <c r="D9">
        <f t="shared" ca="1" si="5"/>
        <v>15.613920000000004</v>
      </c>
      <c r="E9">
        <f t="shared" ca="1" si="6"/>
        <v>3.2793599999999996</v>
      </c>
    </row>
    <row r="10" spans="1:5" x14ac:dyDescent="0.25">
      <c r="A10" s="1">
        <f t="shared" ca="1" si="0"/>
        <v>46079</v>
      </c>
      <c r="B10">
        <f ca="1">SUMIFS(Tabela1[Ativa (kwh)],Tabela1[data],A10)</f>
        <v>14546.699999999999</v>
      </c>
      <c r="C10">
        <f ca="1">SUMIFS(Tabela1[Reativa (kvarh)],Tabela1[data],A10)</f>
        <v>2902.6199999999994</v>
      </c>
      <c r="D10">
        <f t="shared" ca="1" si="5"/>
        <v>14.5467</v>
      </c>
      <c r="E10">
        <f t="shared" ca="1" si="6"/>
        <v>2.9026199999999993</v>
      </c>
    </row>
    <row r="11" spans="1:5" x14ac:dyDescent="0.25">
      <c r="A11" s="1">
        <f t="shared" ca="1" si="0"/>
        <v>46080</v>
      </c>
      <c r="B11">
        <f ca="1">SUMIFS(Tabela1[Ativa (kwh)],Tabela1[data],A11)</f>
        <v>12985.980000000001</v>
      </c>
      <c r="C11">
        <f ca="1">SUMIFS(Tabela1[Reativa (kvarh)],Tabela1[data],A11)</f>
        <v>2105.04</v>
      </c>
      <c r="D11">
        <f t="shared" ca="1" si="5"/>
        <v>12.985980000000001</v>
      </c>
      <c r="E11">
        <f t="shared" ca="1" si="6"/>
        <v>2.1050399999999998</v>
      </c>
    </row>
    <row r="12" spans="1:5" x14ac:dyDescent="0.25">
      <c r="A12" s="1">
        <f t="shared" ca="1" si="0"/>
        <v>46081</v>
      </c>
      <c r="B12">
        <f ca="1">SUMIFS(Tabela1[Ativa (kwh)],Tabela1[data],A12)</f>
        <v>13784.82</v>
      </c>
      <c r="C12">
        <f ca="1">SUMIFS(Tabela1[Reativa (kvarh)],Tabela1[data],A12)</f>
        <v>2298.66</v>
      </c>
      <c r="D12">
        <f t="shared" ca="1" si="5"/>
        <v>13.78482</v>
      </c>
      <c r="E12">
        <f t="shared" ca="1" si="6"/>
        <v>2.2986599999999999</v>
      </c>
    </row>
    <row r="13" spans="1:5" x14ac:dyDescent="0.25">
      <c r="A13" s="1">
        <f t="shared" ca="1" si="0"/>
        <v>46082</v>
      </c>
      <c r="B13">
        <f ca="1">SUMIFS(Tabela1[Ativa (kwh)],Tabela1[data],A13)</f>
        <v>10425.660000000002</v>
      </c>
      <c r="C13">
        <f ca="1">SUMIFS(Tabela1[Reativa (kvarh)],Tabela1[data],A13)</f>
        <v>996.66</v>
      </c>
      <c r="D13">
        <f t="shared" ca="1" si="5"/>
        <v>10.425660000000002</v>
      </c>
      <c r="E13">
        <f t="shared" ca="1" si="6"/>
        <v>0.99665999999999999</v>
      </c>
    </row>
    <row r="14" spans="1:5" x14ac:dyDescent="0.25">
      <c r="A14" s="1">
        <f t="shared" ref="A14:A20" ca="1" si="7">A15-1</f>
        <v>46083</v>
      </c>
      <c r="B14">
        <f ca="1">SUMIFS(Tabela1[Ativa (kwh)],Tabela1[data],A14)</f>
        <v>13039.32</v>
      </c>
      <c r="C14">
        <f ca="1">SUMIFS(Tabela1[Reativa (kvarh)],Tabela1[data],A14)</f>
        <v>2385.6000000000004</v>
      </c>
      <c r="D14">
        <f t="shared" ca="1" si="5"/>
        <v>13.03932</v>
      </c>
      <c r="E14">
        <f t="shared" ca="1" si="6"/>
        <v>2.3856000000000002</v>
      </c>
    </row>
    <row r="15" spans="1:5" x14ac:dyDescent="0.25">
      <c r="A15" s="1">
        <f t="shared" ca="1" si="7"/>
        <v>46084</v>
      </c>
      <c r="B15">
        <f ca="1">SUMIFS(Tabela1[Ativa (kwh)],Tabela1[data],A15)</f>
        <v>13324.919999999998</v>
      </c>
      <c r="C15">
        <f ca="1">SUMIFS(Tabela1[Reativa (kvarh)],Tabela1[data],A15)</f>
        <v>2279.34</v>
      </c>
      <c r="D15">
        <f t="shared" ca="1" si="5"/>
        <v>13.324919999999999</v>
      </c>
      <c r="E15">
        <f t="shared" ca="1" si="6"/>
        <v>2.2793400000000004</v>
      </c>
    </row>
    <row r="16" spans="1:5" x14ac:dyDescent="0.25">
      <c r="A16" s="1">
        <f t="shared" ca="1" si="7"/>
        <v>46085</v>
      </c>
      <c r="B16">
        <f ca="1">SUMIFS(Tabela1[Ativa (kwh)],Tabela1[data],A16)</f>
        <v>12657.539999999999</v>
      </c>
      <c r="C16">
        <f ca="1">SUMIFS(Tabela1[Reativa (kvarh)],Tabela1[data],A16)</f>
        <v>1992.8999999999999</v>
      </c>
      <c r="D16">
        <f t="shared" ca="1" si="5"/>
        <v>12.657539999999999</v>
      </c>
      <c r="E16">
        <f t="shared" ca="1" si="6"/>
        <v>1.9928999999999999</v>
      </c>
    </row>
    <row r="17" spans="1:5" x14ac:dyDescent="0.25">
      <c r="A17" s="1">
        <f t="shared" ca="1" si="7"/>
        <v>46086</v>
      </c>
      <c r="B17">
        <f ca="1">SUMIFS(Tabela1[Ativa (kwh)],Tabela1[data],A17)</f>
        <v>13536.6</v>
      </c>
      <c r="C17">
        <f ca="1">SUMIFS(Tabela1[Reativa (kvarh)],Tabela1[data],A17)</f>
        <v>2356.6200000000003</v>
      </c>
      <c r="D17">
        <f t="shared" ca="1" si="5"/>
        <v>13.5366</v>
      </c>
      <c r="E17">
        <f t="shared" ca="1" si="6"/>
        <v>2.3566200000000004</v>
      </c>
    </row>
    <row r="18" spans="1:5" x14ac:dyDescent="0.25">
      <c r="A18" s="1">
        <f t="shared" ca="1" si="7"/>
        <v>46087</v>
      </c>
      <c r="B18">
        <f ca="1">SUMIFS(Tabela1[Ativa (kwh)],Tabela1[data],A18)</f>
        <v>14145.180000000002</v>
      </c>
      <c r="C18">
        <f ca="1">SUMIFS(Tabela1[Reativa (kvarh)],Tabela1[data],A18)</f>
        <v>2462.46</v>
      </c>
      <c r="D18">
        <f t="shared" ca="1" si="5"/>
        <v>14.145180000000002</v>
      </c>
      <c r="E18">
        <f t="shared" ca="1" si="6"/>
        <v>2.4624600000000001</v>
      </c>
    </row>
    <row r="19" spans="1:5" x14ac:dyDescent="0.25">
      <c r="A19" s="1">
        <f t="shared" ca="1" si="7"/>
        <v>46088</v>
      </c>
      <c r="B19">
        <f ca="1">SUMIFS(Tabela1[Ativa (kwh)],Tabela1[data],A19)</f>
        <v>14110.740000000002</v>
      </c>
      <c r="C19">
        <f ca="1">SUMIFS(Tabela1[Reativa (kvarh)],Tabela1[data],A19)</f>
        <v>2622.9000000000005</v>
      </c>
      <c r="D19">
        <f t="shared" ca="1" si="5"/>
        <v>14.110740000000002</v>
      </c>
      <c r="E19">
        <f t="shared" ca="1" si="6"/>
        <v>2.6229000000000005</v>
      </c>
    </row>
    <row r="20" spans="1:5" x14ac:dyDescent="0.25">
      <c r="A20" s="1">
        <f t="shared" ca="1" si="7"/>
        <v>46089</v>
      </c>
      <c r="B20">
        <f ca="1">SUMIFS(Tabela1[Ativa (kwh)],Tabela1[data],A20)</f>
        <v>12908.279999999999</v>
      </c>
      <c r="C20">
        <f ca="1">SUMIFS(Tabela1[Reativa (kvarh)],Tabela1[data],A20)</f>
        <v>2150.8199999999997</v>
      </c>
      <c r="D20">
        <f t="shared" ca="1" si="5"/>
        <v>12.90828</v>
      </c>
      <c r="E20">
        <f t="shared" ca="1" si="6"/>
        <v>2.1508199999999995</v>
      </c>
    </row>
    <row r="21" spans="1:5" x14ac:dyDescent="0.25">
      <c r="A21" s="1">
        <f t="shared" ref="A21:A26" ca="1" si="8">A22-1</f>
        <v>46090</v>
      </c>
      <c r="B21">
        <f ca="1">SUMIFS(Tabela1[Ativa (kwh)],Tabela1[data],A21)</f>
        <v>12229.140000000001</v>
      </c>
      <c r="C21">
        <f ca="1">SUMIFS(Tabela1[Reativa (kvarh)],Tabela1[data],A21)</f>
        <v>2013.4800000000002</v>
      </c>
      <c r="D21">
        <f ca="1">B21/1000</f>
        <v>12.229140000000001</v>
      </c>
      <c r="E21">
        <f ca="1">C21/1000</f>
        <v>2.0134800000000004</v>
      </c>
    </row>
    <row r="22" spans="1:5" x14ac:dyDescent="0.25">
      <c r="A22" s="1">
        <f t="shared" ca="1" si="8"/>
        <v>46091</v>
      </c>
      <c r="B22">
        <f ca="1">SUMIFS(Tabela1[Ativa (kwh)],Tabela1[data],A22)</f>
        <v>13219.5</v>
      </c>
      <c r="C22">
        <f ca="1">SUMIFS(Tabela1[Reativa (kvarh)],Tabela1[data],A22)</f>
        <v>2540.1599999999994</v>
      </c>
      <c r="D22">
        <f t="shared" ref="D22:D30" ca="1" si="9">B22/1000</f>
        <v>13.2195</v>
      </c>
      <c r="E22">
        <f t="shared" ref="E22:E30" ca="1" si="10">C22/1000</f>
        <v>2.5401599999999993</v>
      </c>
    </row>
    <row r="23" spans="1:5" x14ac:dyDescent="0.25">
      <c r="A23" s="1">
        <f t="shared" ca="1" si="8"/>
        <v>46092</v>
      </c>
      <c r="B23">
        <f ca="1">SUMIFS(Tabela1[Ativa (kwh)],Tabela1[data],A23)</f>
        <v>13353.480000000003</v>
      </c>
      <c r="C23">
        <f ca="1">SUMIFS(Tabela1[Reativa (kvarh)],Tabela1[data],A23)</f>
        <v>2596.8599999999997</v>
      </c>
      <c r="D23">
        <f t="shared" ca="1" si="9"/>
        <v>13.353480000000003</v>
      </c>
      <c r="E23">
        <f t="shared" ca="1" si="10"/>
        <v>2.5968599999999995</v>
      </c>
    </row>
    <row r="24" spans="1:5" x14ac:dyDescent="0.25">
      <c r="A24" s="1">
        <f t="shared" ca="1" si="8"/>
        <v>46093</v>
      </c>
      <c r="B24">
        <f ca="1">SUMIFS(Tabela1[Ativa (kwh)],Tabela1[data],A24)</f>
        <v>12832.679999999998</v>
      </c>
      <c r="C24">
        <f ca="1">SUMIFS(Tabela1[Reativa (kvarh)],Tabela1[data],A24)</f>
        <v>2279.7599999999998</v>
      </c>
      <c r="D24">
        <f t="shared" ca="1" si="9"/>
        <v>12.832679999999998</v>
      </c>
      <c r="E24">
        <f t="shared" ca="1" si="10"/>
        <v>2.2797599999999996</v>
      </c>
    </row>
    <row r="25" spans="1:5" x14ac:dyDescent="0.25">
      <c r="A25" s="1">
        <f t="shared" ca="1" si="8"/>
        <v>46094</v>
      </c>
      <c r="B25">
        <f ca="1">SUMIFS(Tabela1[Ativa (kwh)],Tabela1[data],A25)</f>
        <v>13338.36</v>
      </c>
      <c r="C25">
        <f ca="1">SUMIFS(Tabela1[Reativa (kvarh)],Tabela1[data],A25)</f>
        <v>2354.1</v>
      </c>
      <c r="D25">
        <f t="shared" ca="1" si="9"/>
        <v>13.33836</v>
      </c>
      <c r="E25">
        <f t="shared" ca="1" si="10"/>
        <v>2.3540999999999999</v>
      </c>
    </row>
    <row r="26" spans="1:5" x14ac:dyDescent="0.25">
      <c r="A26" s="1">
        <f t="shared" ca="1" si="8"/>
        <v>46095</v>
      </c>
      <c r="B26">
        <f ca="1">SUMIFS(Tabela1[Ativa (kwh)],Tabela1[data],A26)</f>
        <v>13318.200000000003</v>
      </c>
      <c r="C26">
        <f ca="1">SUMIFS(Tabela1[Reativa (kvarh)],Tabela1[data],A26)</f>
        <v>2328.48</v>
      </c>
      <c r="D26">
        <f t="shared" ca="1" si="9"/>
        <v>13.318200000000003</v>
      </c>
      <c r="E26">
        <f t="shared" ca="1" si="10"/>
        <v>2.3284799999999999</v>
      </c>
    </row>
    <row r="27" spans="1:5" x14ac:dyDescent="0.25">
      <c r="A27" s="1">
        <f ca="1">A28-1</f>
        <v>46096</v>
      </c>
      <c r="B27">
        <f ca="1">SUMIFS(Tabela1[Ativa (kwh)],Tabela1[data],A27)</f>
        <v>12865.86</v>
      </c>
      <c r="C27">
        <f ca="1">SUMIFS(Tabela1[Reativa (kvarh)],Tabela1[data],A27)</f>
        <v>2187.36</v>
      </c>
      <c r="D27">
        <f t="shared" ca="1" si="9"/>
        <v>12.865860000000001</v>
      </c>
      <c r="E27">
        <f t="shared" ca="1" si="10"/>
        <v>2.18736</v>
      </c>
    </row>
    <row r="28" spans="1:5" x14ac:dyDescent="0.25">
      <c r="A28" s="1">
        <f ca="1">A29-1</f>
        <v>46097</v>
      </c>
      <c r="B28">
        <f ca="1">SUMIFS(Tabela1[Ativa (kwh)],Tabela1[data],A28)</f>
        <v>13654.619999999999</v>
      </c>
      <c r="C28">
        <f ca="1">SUMIFS(Tabela1[Reativa (kvarh)],Tabela1[data],A28)</f>
        <v>2482.2000000000003</v>
      </c>
      <c r="D28">
        <f t="shared" ca="1" si="9"/>
        <v>13.65462</v>
      </c>
      <c r="E28">
        <f t="shared" ca="1" si="10"/>
        <v>2.4822000000000002</v>
      </c>
    </row>
    <row r="29" spans="1:5" x14ac:dyDescent="0.25">
      <c r="A29" s="1">
        <f ca="1">A30-1</f>
        <v>46098</v>
      </c>
      <c r="B29">
        <f ca="1">SUMIFS(Tabela1[Ativa (kwh)],Tabela1[data],A29)</f>
        <v>13872.6</v>
      </c>
      <c r="C29">
        <f ca="1">SUMIFS(Tabela1[Reativa (kvarh)],Tabela1[data],A29)</f>
        <v>2816.5200000000004</v>
      </c>
      <c r="D29">
        <f t="shared" ca="1" si="9"/>
        <v>13.8726</v>
      </c>
      <c r="E29">
        <f t="shared" ca="1" si="10"/>
        <v>2.8165200000000006</v>
      </c>
    </row>
    <row r="30" spans="1:5" x14ac:dyDescent="0.25">
      <c r="A30" s="1">
        <f ca="1">TODAY()-1</f>
        <v>46099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0"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46099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45717</v>
      </c>
      <c r="B2" s="5">
        <f t="shared" ref="B2:B12" si="0">MONTH(A2)</f>
        <v>3</v>
      </c>
      <c r="C2" s="5">
        <f t="shared" ref="C2:C12" si="1">YEAR(A2)</f>
        <v>2025</v>
      </c>
      <c r="D2">
        <f>SUMIFS(Tabela1[Ativa (kwh)],Tabela1[Mês],B2,Tabela1[Ano],C2)</f>
        <v>431352.18000000052</v>
      </c>
      <c r="E2">
        <f t="shared" ref="E2:E10" si="2">D2/1000</f>
        <v>431.35218000000054</v>
      </c>
    </row>
    <row r="3" spans="1:10" x14ac:dyDescent="0.25">
      <c r="A3" s="1">
        <v>45748</v>
      </c>
      <c r="B3" s="5">
        <f t="shared" si="0"/>
        <v>4</v>
      </c>
      <c r="C3" s="5">
        <f t="shared" si="1"/>
        <v>2025</v>
      </c>
      <c r="D3">
        <f>SUMIFS(Tabela1[Ativa (kwh)],Tabela1[Mês],B3,Tabela1[Ano],C3)</f>
        <v>358837.07999999967</v>
      </c>
      <c r="E3">
        <f t="shared" si="2"/>
        <v>358.83707999999967</v>
      </c>
    </row>
    <row r="4" spans="1:10" x14ac:dyDescent="0.25">
      <c r="A4" s="1">
        <v>45778</v>
      </c>
      <c r="B4" s="5">
        <f t="shared" si="0"/>
        <v>5</v>
      </c>
      <c r="C4" s="5">
        <f t="shared" si="1"/>
        <v>2025</v>
      </c>
      <c r="D4">
        <f>SUMIFS(Tabela1[Ativa (kwh)],Tabela1[Mês],B4,Tabela1[Ano],C4)</f>
        <v>350009.52000000025</v>
      </c>
      <c r="E4">
        <f t="shared" si="2"/>
        <v>350.00952000000024</v>
      </c>
    </row>
    <row r="5" spans="1:10" x14ac:dyDescent="0.25">
      <c r="A5" s="1">
        <v>45809</v>
      </c>
      <c r="B5" s="5">
        <f t="shared" si="0"/>
        <v>6</v>
      </c>
      <c r="C5" s="5">
        <f t="shared" si="1"/>
        <v>2025</v>
      </c>
      <c r="D5">
        <f>SUMIFS(Tabela1[Ativa (kwh)],Tabela1[Mês],B5,Tabela1[Ano],C5)</f>
        <v>303693.18000000034</v>
      </c>
      <c r="E5">
        <f t="shared" si="2"/>
        <v>303.69318000000032</v>
      </c>
    </row>
    <row r="6" spans="1:10" x14ac:dyDescent="0.25">
      <c r="A6" s="1">
        <v>45839</v>
      </c>
      <c r="B6" s="5">
        <f t="shared" si="0"/>
        <v>7</v>
      </c>
      <c r="C6" s="5">
        <f t="shared" si="1"/>
        <v>2025</v>
      </c>
      <c r="D6">
        <f>SUMIFS(Tabela1[Ativa (kwh)],Tabela1[Mês],B6,Tabela1[Ano],C6)</f>
        <v>323105.1600000005</v>
      </c>
      <c r="E6">
        <f t="shared" si="2"/>
        <v>323.10516000000052</v>
      </c>
    </row>
    <row r="7" spans="1:10" x14ac:dyDescent="0.25">
      <c r="A7" s="1">
        <v>45870</v>
      </c>
      <c r="B7" s="5">
        <f t="shared" si="0"/>
        <v>8</v>
      </c>
      <c r="C7" s="5">
        <f t="shared" si="1"/>
        <v>2025</v>
      </c>
      <c r="D7">
        <f>SUMIFS(Tabela1[Ativa (kwh)],Tabela1[Mês],B7,Tabela1[Ano],C7)</f>
        <v>318037.01999999984</v>
      </c>
      <c r="E7">
        <f t="shared" si="2"/>
        <v>318.03701999999987</v>
      </c>
    </row>
    <row r="8" spans="1:10" x14ac:dyDescent="0.25">
      <c r="A8" s="1">
        <v>45901</v>
      </c>
      <c r="B8" s="5">
        <f t="shared" si="0"/>
        <v>9</v>
      </c>
      <c r="C8" s="5">
        <f t="shared" si="1"/>
        <v>2025</v>
      </c>
      <c r="D8">
        <f>SUMIFS(Tabela1[Ativa (kwh)],Tabela1[Mês],B8,Tabela1[Ano],C8)</f>
        <v>325728.06000000017</v>
      </c>
      <c r="E8">
        <f t="shared" si="2"/>
        <v>325.7280600000002</v>
      </c>
    </row>
    <row r="9" spans="1:10" x14ac:dyDescent="0.25">
      <c r="A9" s="1">
        <v>45931</v>
      </c>
      <c r="B9" s="5">
        <f t="shared" si="0"/>
        <v>10</v>
      </c>
      <c r="C9" s="5">
        <f t="shared" si="1"/>
        <v>2025</v>
      </c>
      <c r="D9">
        <f>SUMIFS(Tabela1[Ativa (kwh)],Tabela1[Mês],B9,Tabela1[Ano],C9)</f>
        <v>351357.72</v>
      </c>
      <c r="E9">
        <f t="shared" si="2"/>
        <v>351.35771999999997</v>
      </c>
      <c r="J9" s="4"/>
    </row>
    <row r="10" spans="1:10" x14ac:dyDescent="0.25">
      <c r="A10" s="1">
        <v>45962</v>
      </c>
      <c r="B10" s="5">
        <f t="shared" si="0"/>
        <v>11</v>
      </c>
      <c r="C10" s="5">
        <f t="shared" si="1"/>
        <v>2025</v>
      </c>
      <c r="D10">
        <f>SUMIFS(Tabela1[Ativa (kwh)],Tabela1[Mês],B10,Tabela1[Ano],C10)</f>
        <v>379097.45999999961</v>
      </c>
      <c r="E10">
        <f t="shared" si="2"/>
        <v>379.09745999999961</v>
      </c>
      <c r="J10" s="4"/>
    </row>
    <row r="11" spans="1:10" x14ac:dyDescent="0.25">
      <c r="A11" s="1">
        <v>45992</v>
      </c>
      <c r="B11" s="5">
        <f t="shared" si="0"/>
        <v>12</v>
      </c>
      <c r="C11" s="5">
        <f t="shared" si="1"/>
        <v>2025</v>
      </c>
      <c r="D11">
        <f>SUMIFS(Tabela1[Ativa (kwh)],Tabela1[Mês],B11,Tabela1[Ano],C11)</f>
        <v>468099.24000000081</v>
      </c>
      <c r="E11">
        <f>D11/1000</f>
        <v>468.0992400000008</v>
      </c>
    </row>
    <row r="12" spans="1:10" x14ac:dyDescent="0.25">
      <c r="A12" s="1">
        <v>46023</v>
      </c>
      <c r="B12" s="5">
        <f t="shared" si="0"/>
        <v>1</v>
      </c>
      <c r="C12" s="5">
        <f t="shared" si="1"/>
        <v>2026</v>
      </c>
      <c r="D12">
        <f>SUMIFS(Tabela1[Ativa (kwh)],Tabela1[Mês],B12,Tabela1[Ano],C12)</f>
        <v>434799.95999999973</v>
      </c>
      <c r="E12">
        <f>D12/1000</f>
        <v>434.79995999999971</v>
      </c>
    </row>
    <row r="13" spans="1:10" x14ac:dyDescent="0.25">
      <c r="A13" s="1">
        <v>46054</v>
      </c>
      <c r="B13" s="5">
        <f t="shared" ref="B13" si="3">MONTH(A13)</f>
        <v>2</v>
      </c>
      <c r="C13" s="5">
        <f t="shared" ref="C13" si="4">YEAR(A13)</f>
        <v>2026</v>
      </c>
      <c r="D13">
        <f>SUMIFS(Tabela1[Ativa (kwh)],Tabela1[Mês],B13,Tabela1[Ano],C13)</f>
        <v>398883.24000000028</v>
      </c>
      <c r="E13">
        <f>D13/1000</f>
        <v>398.88324000000028</v>
      </c>
    </row>
    <row r="14" spans="1:10" x14ac:dyDescent="0.25">
      <c r="A14" s="1">
        <v>46082</v>
      </c>
      <c r="B14" s="5">
        <f t="shared" ref="B14" si="5">MONTH(A14)</f>
        <v>3</v>
      </c>
      <c r="C14" s="5">
        <f t="shared" ref="C14" si="6">YEAR(A14)</f>
        <v>2026</v>
      </c>
      <c r="D14">
        <f>SUMIFS(Tabela1[Ativa (kwh)],Tabela1[Mês],B14,Tabela1[Ano],C14)</f>
        <v>222832.67999999996</v>
      </c>
      <c r="E14">
        <f>D14/1000</f>
        <v>222.83267999999995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2026-03-19T14:27:31Z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